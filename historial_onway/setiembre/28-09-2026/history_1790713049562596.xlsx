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43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Fecha</v>
      </c>
      <c r="J1" t="str">
        <v>Hora</v>
      </c>
      <c r="K1" t="str">
        <v>Latitud</v>
      </c>
      <c r="L1" t="str">
        <v>Longitud</v>
      </c>
      <c r="M1" t="str">
        <v>Dirección</v>
      </c>
      <c r="N1" t="str">
        <v>Velocidad (Km/h)</v>
      </c>
      <c r="O1" t="str">
        <v>% Batería</v>
      </c>
      <c r="P1" t="str">
        <v>Odómetro (Km)</v>
      </c>
      <c r="Q1" t="str">
        <v>Horómetro (Hrs)</v>
      </c>
      <c r="R1" t="str">
        <v>Alerta</v>
      </c>
      <c r="S1" t="str">
        <v>Zona/Marca</v>
      </c>
      <c r="T1" t="str">
        <v>Conductor</v>
      </c>
      <c r="U1" t="str">
        <v>Notas</v>
      </c>
    </row>
    <row r="2">
      <c r="A2" t="str">
        <v>1</v>
      </c>
      <c r="B2" t="str">
        <v>MASS BSF</v>
      </c>
      <c r="C2" t="str">
        <v>AAR-880</v>
      </c>
      <c r="D2" t="str">
        <v>AAR-880</v>
      </c>
      <c r="E2" t="str">
        <v/>
      </c>
      <c r="F2" t="str">
        <v>867806078847433</v>
      </c>
      <c r="G2" t="str">
        <v>Otro</v>
      </c>
      <c r="H2" t="str">
        <v/>
      </c>
      <c r="I2" t="str">
        <v>28/09/2026</v>
      </c>
      <c r="J2" t="str">
        <v>00:03:13</v>
      </c>
      <c r="K2">
        <v>-12.193338</v>
      </c>
      <c r="L2">
        <v>-76.92696</v>
      </c>
      <c r="M2">
        <f>HYPERLINK("https://www.google.com/maps/search/?api=1&amp;query=-12.193338,-76.92696","Avenida La Mariscala, Villa María del Triunfo, Lima")</f>
      </c>
      <c r="N2">
        <v>0</v>
      </c>
      <c r="O2">
        <v>87</v>
      </c>
      <c r="P2">
        <v>2551.03</v>
      </c>
      <c r="Q2" t="str">
        <v>161.02</v>
      </c>
      <c r="R2" t="str">
        <v/>
      </c>
      <c r="S2" t="str">
        <v/>
      </c>
      <c r="T2" t="str">
        <v/>
      </c>
      <c r="U2" t="str">
        <v/>
      </c>
    </row>
    <row r="3">
      <c r="A3" t="str">
        <v>2</v>
      </c>
      <c r="B3" t="str">
        <v>MASS BSF</v>
      </c>
      <c r="C3" t="str">
        <v>AAR-880</v>
      </c>
      <c r="D3" t="str">
        <v>AAR-880</v>
      </c>
      <c r="E3" t="str">
        <v/>
      </c>
      <c r="F3" t="str">
        <v>867806078847433</v>
      </c>
      <c r="G3" t="str">
        <v>Otro</v>
      </c>
      <c r="H3" t="str">
        <v/>
      </c>
      <c r="I3" t="str">
        <v>28/09/2026</v>
      </c>
      <c r="J3" t="str">
        <v>00:13:13</v>
      </c>
      <c r="K3">
        <v>-12.193338</v>
      </c>
      <c r="L3">
        <v>-76.92696</v>
      </c>
      <c r="M3">
        <f>HYPERLINK("https://www.google.com/maps/search/?api=1&amp;query=-12.193338,-76.92696","Avenida La Mariscala, Villa María del Triunfo, Lima")</f>
      </c>
      <c r="N3">
        <v>0</v>
      </c>
      <c r="O3">
        <v>87</v>
      </c>
      <c r="P3">
        <v>2551.03</v>
      </c>
      <c r="Q3" t="str">
        <v>161.02</v>
      </c>
      <c r="R3" t="str">
        <v/>
      </c>
      <c r="S3" t="str">
        <v/>
      </c>
      <c r="T3" t="str">
        <v/>
      </c>
      <c r="U3" t="str">
        <v/>
      </c>
    </row>
    <row r="4">
      <c r="A4" t="str">
        <v>3</v>
      </c>
      <c r="B4" t="str">
        <v>MASS BSF</v>
      </c>
      <c r="C4" t="str">
        <v>AAR-880</v>
      </c>
      <c r="D4" t="str">
        <v>AAR-880</v>
      </c>
      <c r="E4" t="str">
        <v/>
      </c>
      <c r="F4" t="str">
        <v>867806078847433</v>
      </c>
      <c r="G4" t="str">
        <v>Otro</v>
      </c>
      <c r="H4" t="str">
        <v/>
      </c>
      <c r="I4" t="str">
        <v>28/09/2026</v>
      </c>
      <c r="J4" t="str">
        <v>00:23:13</v>
      </c>
      <c r="K4">
        <v>-12.193338</v>
      </c>
      <c r="L4">
        <v>-76.92696</v>
      </c>
      <c r="M4">
        <f>HYPERLINK("https://www.google.com/maps/search/?api=1&amp;query=-12.193338,-76.92696","Avenida La Mariscala, Villa María del Triunfo, Lima")</f>
      </c>
      <c r="N4">
        <v>0</v>
      </c>
      <c r="O4">
        <v>87</v>
      </c>
      <c r="P4">
        <v>2551.03</v>
      </c>
      <c r="Q4" t="str">
        <v>161.02</v>
      </c>
      <c r="R4" t="str">
        <v/>
      </c>
      <c r="S4" t="str">
        <v/>
      </c>
      <c r="T4" t="str">
        <v/>
      </c>
      <c r="U4" t="str">
        <v/>
      </c>
    </row>
    <row r="5">
      <c r="A5" t="str">
        <v>4</v>
      </c>
      <c r="B5" t="str">
        <v>MASS BSF</v>
      </c>
      <c r="C5" t="str">
        <v>AAR-880</v>
      </c>
      <c r="D5" t="str">
        <v>AAR-880</v>
      </c>
      <c r="E5" t="str">
        <v/>
      </c>
      <c r="F5" t="str">
        <v>867806078847433</v>
      </c>
      <c r="G5" t="str">
        <v>Otro</v>
      </c>
      <c r="H5" t="str">
        <v/>
      </c>
      <c r="I5" t="str">
        <v>28/09/2026</v>
      </c>
      <c r="J5" t="str">
        <v>00:33:13</v>
      </c>
      <c r="K5">
        <v>-12.193338</v>
      </c>
      <c r="L5">
        <v>-76.92696</v>
      </c>
      <c r="M5">
        <f>HYPERLINK("https://www.google.com/maps/search/?api=1&amp;query=-12.193338,-76.92696","Avenida La Mariscala, Villa María del Triunfo, Lima")</f>
      </c>
      <c r="N5">
        <v>0</v>
      </c>
      <c r="O5">
        <v>87</v>
      </c>
      <c r="P5">
        <v>2551.03</v>
      </c>
      <c r="Q5" t="str">
        <v>161.02</v>
      </c>
      <c r="R5" t="str">
        <v/>
      </c>
      <c r="S5" t="str">
        <v/>
      </c>
      <c r="T5" t="str">
        <v/>
      </c>
      <c r="U5" t="str">
        <v/>
      </c>
    </row>
    <row r="6">
      <c r="A6" t="str">
        <v>5</v>
      </c>
      <c r="B6" t="str">
        <v>MASS BSF</v>
      </c>
      <c r="C6" t="str">
        <v>AAR-880</v>
      </c>
      <c r="D6" t="str">
        <v>AAR-880</v>
      </c>
      <c r="E6" t="str">
        <v/>
      </c>
      <c r="F6" t="str">
        <v>867806078847433</v>
      </c>
      <c r="G6" t="str">
        <v>Otro</v>
      </c>
      <c r="H6" t="str">
        <v/>
      </c>
      <c r="I6" t="str">
        <v>28/09/2026</v>
      </c>
      <c r="J6" t="str">
        <v>00:43:08</v>
      </c>
      <c r="K6">
        <v>-12.193338</v>
      </c>
      <c r="L6">
        <v>-76.92696</v>
      </c>
      <c r="M6">
        <f>HYPERLINK("https://www.google.com/maps/search/?api=1&amp;query=-12.193338,-76.92696","Avenida La Mariscala, Villa María del Triunfo, Lima")</f>
      </c>
      <c r="N6">
        <v>0</v>
      </c>
      <c r="O6">
        <v>87</v>
      </c>
      <c r="P6">
        <v>2551.03</v>
      </c>
      <c r="Q6" t="str">
        <v>161.02</v>
      </c>
      <c r="R6" t="str">
        <v/>
      </c>
      <c r="S6" t="str">
        <v/>
      </c>
      <c r="T6" t="str">
        <v/>
      </c>
      <c r="U6" t="str">
        <v/>
      </c>
    </row>
    <row r="7">
      <c r="A7" t="str">
        <v>6</v>
      </c>
      <c r="B7" t="str">
        <v>MASS BSF</v>
      </c>
      <c r="C7" t="str">
        <v>AAR-880</v>
      </c>
      <c r="D7" t="str">
        <v>AAR-880</v>
      </c>
      <c r="E7" t="str">
        <v/>
      </c>
      <c r="F7" t="str">
        <v>867806078847433</v>
      </c>
      <c r="G7" t="str">
        <v>Otro</v>
      </c>
      <c r="H7" t="str">
        <v/>
      </c>
      <c r="I7" t="str">
        <v>28/09/2026</v>
      </c>
      <c r="J7" t="str">
        <v>00:53:08</v>
      </c>
      <c r="K7">
        <v>-12.193338</v>
      </c>
      <c r="L7">
        <v>-76.92696</v>
      </c>
      <c r="M7">
        <f>HYPERLINK("https://www.google.com/maps/search/?api=1&amp;query=-12.193338,-76.92696","Avenida La Mariscala, Villa María del Triunfo, Lima")</f>
      </c>
      <c r="N7">
        <v>0</v>
      </c>
      <c r="O7">
        <v>86</v>
      </c>
      <c r="P7">
        <v>2551.03</v>
      </c>
      <c r="Q7" t="str">
        <v>161.02</v>
      </c>
      <c r="R7" t="str">
        <v/>
      </c>
      <c r="S7" t="str">
        <v/>
      </c>
      <c r="T7" t="str">
        <v/>
      </c>
      <c r="U7" t="str">
        <v/>
      </c>
    </row>
    <row r="8">
      <c r="A8" t="str">
        <v>7</v>
      </c>
      <c r="B8" t="str">
        <v>MASS BSF</v>
      </c>
      <c r="C8" t="str">
        <v>AAR-880</v>
      </c>
      <c r="D8" t="str">
        <v>AAR-880</v>
      </c>
      <c r="E8" t="str">
        <v/>
      </c>
      <c r="F8" t="str">
        <v>867806078847433</v>
      </c>
      <c r="G8" t="str">
        <v>Otro</v>
      </c>
      <c r="H8" t="str">
        <v/>
      </c>
      <c r="I8" t="str">
        <v>28/09/2026</v>
      </c>
      <c r="J8" t="str">
        <v>01:03:08</v>
      </c>
      <c r="K8">
        <v>-12.193338</v>
      </c>
      <c r="L8">
        <v>-76.92696</v>
      </c>
      <c r="M8">
        <f>HYPERLINK("https://www.google.com/maps/search/?api=1&amp;query=-12.193338,-76.92696","Avenida La Mariscala, Villa María del Triunfo, Lima")</f>
      </c>
      <c r="N8">
        <v>0</v>
      </c>
      <c r="O8">
        <v>87</v>
      </c>
      <c r="P8">
        <v>2551.03</v>
      </c>
      <c r="Q8" t="str">
        <v>161.02</v>
      </c>
      <c r="R8" t="str">
        <v/>
      </c>
      <c r="S8" t="str">
        <v/>
      </c>
      <c r="T8" t="str">
        <v/>
      </c>
      <c r="U8" t="str">
        <v/>
      </c>
    </row>
    <row r="9">
      <c r="A9" t="str">
        <v>8</v>
      </c>
      <c r="B9" t="str">
        <v>MASS BSF</v>
      </c>
      <c r="C9" t="str">
        <v>AAR-880</v>
      </c>
      <c r="D9" t="str">
        <v>AAR-880</v>
      </c>
      <c r="E9" t="str">
        <v/>
      </c>
      <c r="F9" t="str">
        <v>867806078847433</v>
      </c>
      <c r="G9" t="str">
        <v>Otro</v>
      </c>
      <c r="H9" t="str">
        <v/>
      </c>
      <c r="I9" t="str">
        <v>28/09/2026</v>
      </c>
      <c r="J9" t="str">
        <v>01:13:08</v>
      </c>
      <c r="K9">
        <v>-12.193338</v>
      </c>
      <c r="L9">
        <v>-76.92696</v>
      </c>
      <c r="M9">
        <f>HYPERLINK("https://www.google.com/maps/search/?api=1&amp;query=-12.193338,-76.92696","Avenida La Mariscala, Villa María del Triunfo, Lima")</f>
      </c>
      <c r="N9">
        <v>0</v>
      </c>
      <c r="O9">
        <v>87</v>
      </c>
      <c r="P9">
        <v>2551.03</v>
      </c>
      <c r="Q9" t="str">
        <v>161.02</v>
      </c>
      <c r="R9" t="str">
        <v/>
      </c>
      <c r="S9" t="str">
        <v/>
      </c>
      <c r="T9" t="str">
        <v/>
      </c>
      <c r="U9" t="str">
        <v/>
      </c>
    </row>
    <row r="10">
      <c r="A10" t="str">
        <v>9</v>
      </c>
      <c r="B10" t="str">
        <v>MASS BSF</v>
      </c>
      <c r="C10" t="str">
        <v>AAR-880</v>
      </c>
      <c r="D10" t="str">
        <v>AAR-880</v>
      </c>
      <c r="E10" t="str">
        <v/>
      </c>
      <c r="F10" t="str">
        <v>867806078847433</v>
      </c>
      <c r="G10" t="str">
        <v>Otro</v>
      </c>
      <c r="H10" t="str">
        <v/>
      </c>
      <c r="I10" t="str">
        <v>28/09/2026</v>
      </c>
      <c r="J10" t="str">
        <v>01:23:08</v>
      </c>
      <c r="K10">
        <v>-12.193338</v>
      </c>
      <c r="L10">
        <v>-76.92696</v>
      </c>
      <c r="M10">
        <f>HYPERLINK("https://www.google.com/maps/search/?api=1&amp;query=-12.193338,-76.92696","Avenida La Mariscala, Villa María del Triunfo, Lima")</f>
      </c>
      <c r="N10">
        <v>0</v>
      </c>
      <c r="O10">
        <v>87</v>
      </c>
      <c r="P10">
        <v>2551.03</v>
      </c>
      <c r="Q10" t="str">
        <v>161.02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>10</v>
      </c>
      <c r="B11" t="str">
        <v>MASS BSF</v>
      </c>
      <c r="C11" t="str">
        <v>AAR-880</v>
      </c>
      <c r="D11" t="str">
        <v>AAR-880</v>
      </c>
      <c r="E11" t="str">
        <v/>
      </c>
      <c r="F11" t="str">
        <v>867806078847433</v>
      </c>
      <c r="G11" t="str">
        <v>Otro</v>
      </c>
      <c r="H11" t="str">
        <v/>
      </c>
      <c r="I11" t="str">
        <v>28/09/2026</v>
      </c>
      <c r="J11" t="str">
        <v>01:33:08</v>
      </c>
      <c r="K11">
        <v>-12.193338</v>
      </c>
      <c r="L11">
        <v>-76.92696</v>
      </c>
      <c r="M11">
        <f>HYPERLINK("https://www.google.com/maps/search/?api=1&amp;query=-12.193338,-76.92696","Avenida La Mariscala, Villa María del Triunfo, Lima")</f>
      </c>
      <c r="N11">
        <v>0</v>
      </c>
      <c r="O11">
        <v>85</v>
      </c>
      <c r="P11">
        <v>2551.03</v>
      </c>
      <c r="Q11" t="str">
        <v>161.02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>11</v>
      </c>
      <c r="B12" t="str">
        <v>MASS BSF</v>
      </c>
      <c r="C12" t="str">
        <v>AAR-880</v>
      </c>
      <c r="D12" t="str">
        <v>AAR-880</v>
      </c>
      <c r="E12" t="str">
        <v/>
      </c>
      <c r="F12" t="str">
        <v>867806078847433</v>
      </c>
      <c r="G12" t="str">
        <v>Otro</v>
      </c>
      <c r="H12" t="str">
        <v/>
      </c>
      <c r="I12" t="str">
        <v>28/09/2026</v>
      </c>
      <c r="J12" t="str">
        <v>01:43:08</v>
      </c>
      <c r="K12">
        <v>-12.193338</v>
      </c>
      <c r="L12">
        <v>-76.92696</v>
      </c>
      <c r="M12">
        <f>HYPERLINK("https://www.google.com/maps/search/?api=1&amp;query=-12.193338,-76.92696","Avenida La Mariscala, Villa María del Triunfo, Lima")</f>
      </c>
      <c r="N12">
        <v>0</v>
      </c>
      <c r="O12">
        <v>85</v>
      </c>
      <c r="P12">
        <v>2551.03</v>
      </c>
      <c r="Q12" t="str">
        <v>161.02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>12</v>
      </c>
      <c r="B13" t="str">
        <v>MASS BSF</v>
      </c>
      <c r="C13" t="str">
        <v>AAR-880</v>
      </c>
      <c r="D13" t="str">
        <v>AAR-880</v>
      </c>
      <c r="E13" t="str">
        <v/>
      </c>
      <c r="F13" t="str">
        <v>867806078847433</v>
      </c>
      <c r="G13" t="str">
        <v>Otro</v>
      </c>
      <c r="H13" t="str">
        <v/>
      </c>
      <c r="I13" t="str">
        <v>28/09/2026</v>
      </c>
      <c r="J13" t="str">
        <v>01:53:08</v>
      </c>
      <c r="K13">
        <v>-12.193338</v>
      </c>
      <c r="L13">
        <v>-76.92696</v>
      </c>
      <c r="M13">
        <f>HYPERLINK("https://www.google.com/maps/search/?api=1&amp;query=-12.193338,-76.92696","Avenida La Mariscala, Villa María del Triunfo, Lima")</f>
      </c>
      <c r="N13">
        <v>0</v>
      </c>
      <c r="O13">
        <v>85</v>
      </c>
      <c r="P13">
        <v>2551.03</v>
      </c>
      <c r="Q13" t="str">
        <v>161.02</v>
      </c>
      <c r="R13" t="str">
        <v/>
      </c>
      <c r="S13" t="str">
        <v/>
      </c>
      <c r="T13" t="str">
        <v/>
      </c>
      <c r="U13" t="str">
        <v/>
      </c>
    </row>
    <row r="14">
      <c r="A14" t="str">
        <v>13</v>
      </c>
      <c r="B14" t="str">
        <v>MASS BSF</v>
      </c>
      <c r="C14" t="str">
        <v>AAR-880</v>
      </c>
      <c r="D14" t="str">
        <v>AAR-880</v>
      </c>
      <c r="E14" t="str">
        <v/>
      </c>
      <c r="F14" t="str">
        <v>867806078847433</v>
      </c>
      <c r="G14" t="str">
        <v>Otro</v>
      </c>
      <c r="H14" t="str">
        <v/>
      </c>
      <c r="I14" t="str">
        <v>28/09/2026</v>
      </c>
      <c r="J14" t="str">
        <v>02:03:08</v>
      </c>
      <c r="K14">
        <v>-12.193338</v>
      </c>
      <c r="L14">
        <v>-76.92696</v>
      </c>
      <c r="M14">
        <f>HYPERLINK("https://www.google.com/maps/search/?api=1&amp;query=-12.193338,-76.92696","Avenida La Mariscala, Villa María del Triunfo, Lima")</f>
      </c>
      <c r="N14">
        <v>0</v>
      </c>
      <c r="O14">
        <v>85</v>
      </c>
      <c r="P14">
        <v>2551.03</v>
      </c>
      <c r="Q14" t="str">
        <v>161.02</v>
      </c>
      <c r="R14" t="str">
        <v/>
      </c>
      <c r="S14" t="str">
        <v/>
      </c>
      <c r="T14" t="str">
        <v/>
      </c>
      <c r="U14" t="str">
        <v/>
      </c>
    </row>
    <row r="15">
      <c r="A15" t="str">
        <v>14</v>
      </c>
      <c r="B15" t="str">
        <v>MASS BSF</v>
      </c>
      <c r="C15" t="str">
        <v>AAR-880</v>
      </c>
      <c r="D15" t="str">
        <v>AAR-880</v>
      </c>
      <c r="E15" t="str">
        <v/>
      </c>
      <c r="F15" t="str">
        <v>867806078847433</v>
      </c>
      <c r="G15" t="str">
        <v>Otro</v>
      </c>
      <c r="H15" t="str">
        <v/>
      </c>
      <c r="I15" t="str">
        <v>28/09/2026</v>
      </c>
      <c r="J15" t="str">
        <v>02:13:08</v>
      </c>
      <c r="K15">
        <v>-12.193338</v>
      </c>
      <c r="L15">
        <v>-76.92696</v>
      </c>
      <c r="M15">
        <f>HYPERLINK("https://www.google.com/maps/search/?api=1&amp;query=-12.193338,-76.92696","Avenida La Mariscala, Villa María del Triunfo, Lima")</f>
      </c>
      <c r="N15">
        <v>0</v>
      </c>
      <c r="O15">
        <v>87</v>
      </c>
      <c r="P15">
        <v>2551.03</v>
      </c>
      <c r="Q15" t="str">
        <v>161.02</v>
      </c>
      <c r="R15" t="str">
        <v/>
      </c>
      <c r="S15" t="str">
        <v/>
      </c>
      <c r="T15" t="str">
        <v/>
      </c>
      <c r="U15" t="str">
        <v/>
      </c>
    </row>
    <row r="16">
      <c r="A16" t="str">
        <v>15</v>
      </c>
      <c r="B16" t="str">
        <v>MASS BSF</v>
      </c>
      <c r="C16" t="str">
        <v>AAR-880</v>
      </c>
      <c r="D16" t="str">
        <v>AAR-880</v>
      </c>
      <c r="E16" t="str">
        <v/>
      </c>
      <c r="F16" t="str">
        <v>867806078847433</v>
      </c>
      <c r="G16" t="str">
        <v>Otro</v>
      </c>
      <c r="H16" t="str">
        <v/>
      </c>
      <c r="I16" t="str">
        <v>28/09/2026</v>
      </c>
      <c r="J16" t="str">
        <v>02:23:08</v>
      </c>
      <c r="K16">
        <v>-12.193338</v>
      </c>
      <c r="L16">
        <v>-76.92696</v>
      </c>
      <c r="M16">
        <f>HYPERLINK("https://www.google.com/maps/search/?api=1&amp;query=-12.193338,-76.92696","Avenida La Mariscala, Villa María del Triunfo, Lima")</f>
      </c>
      <c r="N16">
        <v>0</v>
      </c>
      <c r="O16">
        <v>89</v>
      </c>
      <c r="P16">
        <v>2551.03</v>
      </c>
      <c r="Q16" t="str">
        <v>161.02</v>
      </c>
      <c r="R16" t="str">
        <v/>
      </c>
      <c r="S16" t="str">
        <v/>
      </c>
      <c r="T16" t="str">
        <v/>
      </c>
      <c r="U16" t="str">
        <v/>
      </c>
    </row>
    <row r="17">
      <c r="A17" t="str">
        <v>16</v>
      </c>
      <c r="B17" t="str">
        <v>MASS BSF</v>
      </c>
      <c r="C17" t="str">
        <v>AAR-880</v>
      </c>
      <c r="D17" t="str">
        <v>AAR-880</v>
      </c>
      <c r="E17" t="str">
        <v/>
      </c>
      <c r="F17" t="str">
        <v>867806078847433</v>
      </c>
      <c r="G17" t="str">
        <v>Otro</v>
      </c>
      <c r="H17" t="str">
        <v/>
      </c>
      <c r="I17" t="str">
        <v>28/09/2026</v>
      </c>
      <c r="J17" t="str">
        <v>02:33:08</v>
      </c>
      <c r="K17">
        <v>-12.193338</v>
      </c>
      <c r="L17">
        <v>-76.92696</v>
      </c>
      <c r="M17">
        <f>HYPERLINK("https://www.google.com/maps/search/?api=1&amp;query=-12.193338,-76.92696","Avenida La Mariscala, Villa María del Triunfo, Lima")</f>
      </c>
      <c r="N17">
        <v>0</v>
      </c>
      <c r="O17">
        <v>89</v>
      </c>
      <c r="P17">
        <v>2551.03</v>
      </c>
      <c r="Q17" t="str">
        <v>161.02</v>
      </c>
      <c r="R17" t="str">
        <v/>
      </c>
      <c r="S17" t="str">
        <v/>
      </c>
      <c r="T17" t="str">
        <v/>
      </c>
      <c r="U17" t="str">
        <v/>
      </c>
    </row>
    <row r="18">
      <c r="A18" t="str">
        <v>17</v>
      </c>
      <c r="B18" t="str">
        <v>MASS BSF</v>
      </c>
      <c r="C18" t="str">
        <v>AAR-880</v>
      </c>
      <c r="D18" t="str">
        <v>AAR-880</v>
      </c>
      <c r="E18" t="str">
        <v/>
      </c>
      <c r="F18" t="str">
        <v>867806078847433</v>
      </c>
      <c r="G18" t="str">
        <v>Otro</v>
      </c>
      <c r="H18" t="str">
        <v/>
      </c>
      <c r="I18" t="str">
        <v>28/09/2026</v>
      </c>
      <c r="J18" t="str">
        <v>02:43:08</v>
      </c>
      <c r="K18">
        <v>-12.193338</v>
      </c>
      <c r="L18">
        <v>-76.92696</v>
      </c>
      <c r="M18">
        <f>HYPERLINK("https://www.google.com/maps/search/?api=1&amp;query=-12.193338,-76.92696","Avenida La Mariscala, Villa María del Triunfo, Lima")</f>
      </c>
      <c r="N18">
        <v>0</v>
      </c>
      <c r="O18">
        <v>89</v>
      </c>
      <c r="P18">
        <v>2551.03</v>
      </c>
      <c r="Q18" t="str">
        <v>161.02</v>
      </c>
      <c r="R18" t="str">
        <v/>
      </c>
      <c r="S18" t="str">
        <v/>
      </c>
      <c r="T18" t="str">
        <v/>
      </c>
      <c r="U18" t="str">
        <v/>
      </c>
    </row>
    <row r="19">
      <c r="A19" t="str">
        <v>18</v>
      </c>
      <c r="B19" t="str">
        <v>MASS BSF</v>
      </c>
      <c r="C19" t="str">
        <v>AAR-880</v>
      </c>
      <c r="D19" t="str">
        <v>AAR-880</v>
      </c>
      <c r="E19" t="str">
        <v/>
      </c>
      <c r="F19" t="str">
        <v>867806078847433</v>
      </c>
      <c r="G19" t="str">
        <v>Otro</v>
      </c>
      <c r="H19" t="str">
        <v/>
      </c>
      <c r="I19" t="str">
        <v>28/09/2026</v>
      </c>
      <c r="J19" t="str">
        <v>02:53:08</v>
      </c>
      <c r="K19">
        <v>-12.193338</v>
      </c>
      <c r="L19">
        <v>-76.92696</v>
      </c>
      <c r="M19">
        <f>HYPERLINK("https://www.google.com/maps/search/?api=1&amp;query=-12.193338,-76.92696","Avenida La Mariscala, Villa María del Triunfo, Lima")</f>
      </c>
      <c r="N19">
        <v>0</v>
      </c>
      <c r="O19">
        <v>89</v>
      </c>
      <c r="P19">
        <v>2551.03</v>
      </c>
      <c r="Q19" t="str">
        <v>161.02</v>
      </c>
      <c r="R19" t="str">
        <v/>
      </c>
      <c r="S19" t="str">
        <v/>
      </c>
      <c r="T19" t="str">
        <v/>
      </c>
      <c r="U19" t="str">
        <v/>
      </c>
    </row>
    <row r="20">
      <c r="A20" t="str">
        <v>19</v>
      </c>
      <c r="B20" t="str">
        <v>MASS BSF</v>
      </c>
      <c r="C20" t="str">
        <v>AAR-880</v>
      </c>
      <c r="D20" t="str">
        <v>AAR-880</v>
      </c>
      <c r="E20" t="str">
        <v/>
      </c>
      <c r="F20" t="str">
        <v>867806078847433</v>
      </c>
      <c r="G20" t="str">
        <v>Otro</v>
      </c>
      <c r="H20" t="str">
        <v/>
      </c>
      <c r="I20" t="str">
        <v>28/09/2026</v>
      </c>
      <c r="J20" t="str">
        <v>03:03:08</v>
      </c>
      <c r="K20">
        <v>-12.193338</v>
      </c>
      <c r="L20">
        <v>-76.92696</v>
      </c>
      <c r="M20">
        <f>HYPERLINK("https://www.google.com/maps/search/?api=1&amp;query=-12.193338,-76.92696","Avenida La Mariscala, Villa María del Triunfo, Lima")</f>
      </c>
      <c r="N20">
        <v>0</v>
      </c>
      <c r="O20">
        <v>87</v>
      </c>
      <c r="P20">
        <v>2551.03</v>
      </c>
      <c r="Q20" t="str">
        <v>161.02</v>
      </c>
      <c r="R20" t="str">
        <v/>
      </c>
      <c r="S20" t="str">
        <v/>
      </c>
      <c r="T20" t="str">
        <v/>
      </c>
      <c r="U20" t="str">
        <v/>
      </c>
    </row>
    <row r="21">
      <c r="A21" t="str">
        <v>20</v>
      </c>
      <c r="B21" t="str">
        <v>MASS BSF</v>
      </c>
      <c r="C21" t="str">
        <v>AAR-880</v>
      </c>
      <c r="D21" t="str">
        <v>AAR-880</v>
      </c>
      <c r="E21" t="str">
        <v/>
      </c>
      <c r="F21" t="str">
        <v>867806078847433</v>
      </c>
      <c r="G21" t="str">
        <v>Otro</v>
      </c>
      <c r="H21" t="str">
        <v/>
      </c>
      <c r="I21" t="str">
        <v>28/09/2026</v>
      </c>
      <c r="J21" t="str">
        <v>03:13:08</v>
      </c>
      <c r="K21">
        <v>-12.193338</v>
      </c>
      <c r="L21">
        <v>-76.92696</v>
      </c>
      <c r="M21">
        <f>HYPERLINK("https://www.google.com/maps/search/?api=1&amp;query=-12.193338,-76.92696","Avenida La Mariscala, Villa María del Triunfo, Lima")</f>
      </c>
      <c r="N21">
        <v>0</v>
      </c>
      <c r="O21">
        <v>87</v>
      </c>
      <c r="P21">
        <v>2551.03</v>
      </c>
      <c r="Q21" t="str">
        <v>161.02</v>
      </c>
      <c r="R21" t="str">
        <v/>
      </c>
      <c r="S21" t="str">
        <v/>
      </c>
      <c r="T21" t="str">
        <v/>
      </c>
      <c r="U21" t="str">
        <v/>
      </c>
    </row>
    <row r="22">
      <c r="A22" t="str">
        <v>21</v>
      </c>
      <c r="B22" t="str">
        <v>MASS BSF</v>
      </c>
      <c r="C22" t="str">
        <v>AAR-880</v>
      </c>
      <c r="D22" t="str">
        <v>AAR-880</v>
      </c>
      <c r="E22" t="str">
        <v/>
      </c>
      <c r="F22" t="str">
        <v>867806078847433</v>
      </c>
      <c r="G22" t="str">
        <v>Otro</v>
      </c>
      <c r="H22" t="str">
        <v/>
      </c>
      <c r="I22" t="str">
        <v>28/09/2026</v>
      </c>
      <c r="J22" t="str">
        <v>03:23:08</v>
      </c>
      <c r="K22">
        <v>-12.193338</v>
      </c>
      <c r="L22">
        <v>-76.92696</v>
      </c>
      <c r="M22">
        <f>HYPERLINK("https://www.google.com/maps/search/?api=1&amp;query=-12.193338,-76.92696","Avenida La Mariscala, Villa María del Triunfo, Lima")</f>
      </c>
      <c r="N22">
        <v>0</v>
      </c>
      <c r="O22">
        <v>87</v>
      </c>
      <c r="P22">
        <v>2551.03</v>
      </c>
      <c r="Q22" t="str">
        <v>161.02</v>
      </c>
      <c r="R22" t="str">
        <v/>
      </c>
      <c r="S22" t="str">
        <v/>
      </c>
      <c r="T22" t="str">
        <v/>
      </c>
      <c r="U22" t="str">
        <v/>
      </c>
    </row>
    <row r="23">
      <c r="A23" t="str">
        <v>22</v>
      </c>
      <c r="B23" t="str">
        <v>MASS BSF</v>
      </c>
      <c r="C23" t="str">
        <v>AAR-880</v>
      </c>
      <c r="D23" t="str">
        <v>AAR-880</v>
      </c>
      <c r="E23" t="str">
        <v/>
      </c>
      <c r="F23" t="str">
        <v>867806078847433</v>
      </c>
      <c r="G23" t="str">
        <v>Otro</v>
      </c>
      <c r="H23" t="str">
        <v/>
      </c>
      <c r="I23" t="str">
        <v>28/09/2026</v>
      </c>
      <c r="J23" t="str">
        <v>03:33:08</v>
      </c>
      <c r="K23">
        <v>-12.193338</v>
      </c>
      <c r="L23">
        <v>-76.92696</v>
      </c>
      <c r="M23">
        <f>HYPERLINK("https://www.google.com/maps/search/?api=1&amp;query=-12.193338,-76.92696","Avenida La Mariscala, Villa María del Triunfo, Lima")</f>
      </c>
      <c r="N23">
        <v>0</v>
      </c>
      <c r="O23">
        <v>87</v>
      </c>
      <c r="P23">
        <v>2551.03</v>
      </c>
      <c r="Q23" t="str">
        <v>161.02</v>
      </c>
      <c r="R23" t="str">
        <v/>
      </c>
      <c r="S23" t="str">
        <v/>
      </c>
      <c r="T23" t="str">
        <v/>
      </c>
      <c r="U23" t="str">
        <v/>
      </c>
    </row>
    <row r="24">
      <c r="A24" t="str">
        <v>23</v>
      </c>
      <c r="B24" t="str">
        <v>MASS BSF</v>
      </c>
      <c r="C24" t="str">
        <v>AAR-880</v>
      </c>
      <c r="D24" t="str">
        <v>AAR-880</v>
      </c>
      <c r="E24" t="str">
        <v/>
      </c>
      <c r="F24" t="str">
        <v>867806078847433</v>
      </c>
      <c r="G24" t="str">
        <v>Otro</v>
      </c>
      <c r="H24" t="str">
        <v/>
      </c>
      <c r="I24" t="str">
        <v>28/09/2026</v>
      </c>
      <c r="J24" t="str">
        <v>03:43:08</v>
      </c>
      <c r="K24">
        <v>-12.193338</v>
      </c>
      <c r="L24">
        <v>-76.92696</v>
      </c>
      <c r="M24">
        <f>HYPERLINK("https://www.google.com/maps/search/?api=1&amp;query=-12.193338,-76.92696","Avenida La Mariscala, Villa María del Triunfo, Lima")</f>
      </c>
      <c r="N24">
        <v>0</v>
      </c>
      <c r="O24">
        <v>87</v>
      </c>
      <c r="P24">
        <v>2551.03</v>
      </c>
      <c r="Q24" t="str">
        <v>161.02</v>
      </c>
      <c r="R24" t="str">
        <v/>
      </c>
      <c r="S24" t="str">
        <v/>
      </c>
      <c r="T24" t="str">
        <v/>
      </c>
      <c r="U24" t="str">
        <v/>
      </c>
    </row>
    <row r="25">
      <c r="A25" t="str">
        <v>24</v>
      </c>
      <c r="B25" t="str">
        <v>MASS BSF</v>
      </c>
      <c r="C25" t="str">
        <v>AAR-880</v>
      </c>
      <c r="D25" t="str">
        <v>AAR-880</v>
      </c>
      <c r="E25" t="str">
        <v/>
      </c>
      <c r="F25" t="str">
        <v>867806078847433</v>
      </c>
      <c r="G25" t="str">
        <v>Otro</v>
      </c>
      <c r="H25" t="str">
        <v/>
      </c>
      <c r="I25" t="str">
        <v>28/09/2026</v>
      </c>
      <c r="J25" t="str">
        <v>03:53:08</v>
      </c>
      <c r="K25">
        <v>-12.193338</v>
      </c>
      <c r="L25">
        <v>-76.92696</v>
      </c>
      <c r="M25">
        <f>HYPERLINK("https://www.google.com/maps/search/?api=1&amp;query=-12.193338,-76.92696","Avenida La Mariscala, Villa María del Triunfo, Lima")</f>
      </c>
      <c r="N25">
        <v>0</v>
      </c>
      <c r="O25">
        <v>85</v>
      </c>
      <c r="P25">
        <v>2551.03</v>
      </c>
      <c r="Q25" t="str">
        <v>161.02</v>
      </c>
      <c r="R25" t="str">
        <v/>
      </c>
      <c r="S25" t="str">
        <v/>
      </c>
      <c r="T25" t="str">
        <v/>
      </c>
      <c r="U25" t="str">
        <v/>
      </c>
    </row>
    <row r="26">
      <c r="A26" t="str">
        <v>25</v>
      </c>
      <c r="B26" t="str">
        <v>MASS BSF</v>
      </c>
      <c r="C26" t="str">
        <v>AAR-880</v>
      </c>
      <c r="D26" t="str">
        <v>AAR-880</v>
      </c>
      <c r="E26" t="str">
        <v/>
      </c>
      <c r="F26" t="str">
        <v>867806078847433</v>
      </c>
      <c r="G26" t="str">
        <v>Otro</v>
      </c>
      <c r="H26" t="str">
        <v/>
      </c>
      <c r="I26" t="str">
        <v>28/09/2026</v>
      </c>
      <c r="J26" t="str">
        <v>04:03:08</v>
      </c>
      <c r="K26">
        <v>-12.193338</v>
      </c>
      <c r="L26">
        <v>-76.92696</v>
      </c>
      <c r="M26">
        <f>HYPERLINK("https://www.google.com/maps/search/?api=1&amp;query=-12.193338,-76.92696","Avenida La Mariscala, Villa María del Triunfo, Lima")</f>
      </c>
      <c r="N26">
        <v>0</v>
      </c>
      <c r="O26">
        <v>85</v>
      </c>
      <c r="P26">
        <v>2551.03</v>
      </c>
      <c r="Q26" t="str">
        <v>161.02</v>
      </c>
      <c r="R26" t="str">
        <v/>
      </c>
      <c r="S26" t="str">
        <v/>
      </c>
      <c r="T26" t="str">
        <v/>
      </c>
      <c r="U26" t="str">
        <v/>
      </c>
    </row>
    <row r="27">
      <c r="A27" t="str">
        <v>26</v>
      </c>
      <c r="B27" t="str">
        <v>MASS BSF</v>
      </c>
      <c r="C27" t="str">
        <v>AAR-880</v>
      </c>
      <c r="D27" t="str">
        <v>AAR-880</v>
      </c>
      <c r="E27" t="str">
        <v/>
      </c>
      <c r="F27" t="str">
        <v>867806078847433</v>
      </c>
      <c r="G27" t="str">
        <v>Otro</v>
      </c>
      <c r="H27" t="str">
        <v/>
      </c>
      <c r="I27" t="str">
        <v>28/09/2026</v>
      </c>
      <c r="J27" t="str">
        <v>04:13:08</v>
      </c>
      <c r="K27">
        <v>-12.193338</v>
      </c>
      <c r="L27">
        <v>-76.92696</v>
      </c>
      <c r="M27">
        <f>HYPERLINK("https://www.google.com/maps/search/?api=1&amp;query=-12.193338,-76.92696","Avenida La Mariscala, Villa María del Triunfo, Lima")</f>
      </c>
      <c r="N27">
        <v>0</v>
      </c>
      <c r="O27">
        <v>84</v>
      </c>
      <c r="P27">
        <v>2551.03</v>
      </c>
      <c r="Q27" t="str">
        <v>161.02</v>
      </c>
      <c r="R27" t="str">
        <v/>
      </c>
      <c r="S27" t="str">
        <v/>
      </c>
      <c r="T27" t="str">
        <v/>
      </c>
      <c r="U27" t="str">
        <v/>
      </c>
    </row>
    <row r="28">
      <c r="A28" t="str">
        <v>27</v>
      </c>
      <c r="B28" t="str">
        <v>MASS BSF</v>
      </c>
      <c r="C28" t="str">
        <v>AAR-880</v>
      </c>
      <c r="D28" t="str">
        <v>AAR-880</v>
      </c>
      <c r="E28" t="str">
        <v/>
      </c>
      <c r="F28" t="str">
        <v>867806078847433</v>
      </c>
      <c r="G28" t="str">
        <v>Otro</v>
      </c>
      <c r="H28" t="str">
        <v/>
      </c>
      <c r="I28" t="str">
        <v>28/09/2026</v>
      </c>
      <c r="J28" t="str">
        <v>04:23:08</v>
      </c>
      <c r="K28">
        <v>-12.193338</v>
      </c>
      <c r="L28">
        <v>-76.92696</v>
      </c>
      <c r="M28">
        <f>HYPERLINK("https://www.google.com/maps/search/?api=1&amp;query=-12.193338,-76.92696","Avenida La Mariscala, Villa María del Triunfo, Lima")</f>
      </c>
      <c r="N28">
        <v>0</v>
      </c>
      <c r="O28">
        <v>88</v>
      </c>
      <c r="P28">
        <v>2551.03</v>
      </c>
      <c r="Q28" t="str">
        <v>161.02</v>
      </c>
      <c r="R28" t="str">
        <v/>
      </c>
      <c r="S28" t="str">
        <v/>
      </c>
      <c r="T28" t="str">
        <v/>
      </c>
      <c r="U28" t="str">
        <v/>
      </c>
    </row>
    <row r="29">
      <c r="A29" t="str">
        <v>28</v>
      </c>
      <c r="B29" t="str">
        <v>MASS BSF</v>
      </c>
      <c r="C29" t="str">
        <v>AAR-880</v>
      </c>
      <c r="D29" t="str">
        <v>AAR-880</v>
      </c>
      <c r="E29" t="str">
        <v/>
      </c>
      <c r="F29" t="str">
        <v>867806078847433</v>
      </c>
      <c r="G29" t="str">
        <v>Otro</v>
      </c>
      <c r="H29" t="str">
        <v/>
      </c>
      <c r="I29" t="str">
        <v>28/09/2026</v>
      </c>
      <c r="J29" t="str">
        <v>04:33:08</v>
      </c>
      <c r="K29">
        <v>-12.193338</v>
      </c>
      <c r="L29">
        <v>-76.92696</v>
      </c>
      <c r="M29">
        <f>HYPERLINK("https://www.google.com/maps/search/?api=1&amp;query=-12.193338,-76.92696","Avenida La Mariscala, Villa María del Triunfo, Lima")</f>
      </c>
      <c r="N29">
        <v>0</v>
      </c>
      <c r="O29">
        <v>87</v>
      </c>
      <c r="P29">
        <v>2551.03</v>
      </c>
      <c r="Q29" t="str">
        <v>161.02</v>
      </c>
      <c r="R29" t="str">
        <v/>
      </c>
      <c r="S29" t="str">
        <v/>
      </c>
      <c r="T29" t="str">
        <v/>
      </c>
      <c r="U29" t="str">
        <v/>
      </c>
    </row>
    <row r="30">
      <c r="A30" t="str">
        <v>29</v>
      </c>
      <c r="B30" t="str">
        <v>MASS BSF</v>
      </c>
      <c r="C30" t="str">
        <v>AAR-880</v>
      </c>
      <c r="D30" t="str">
        <v>AAR-880</v>
      </c>
      <c r="E30" t="str">
        <v/>
      </c>
      <c r="F30" t="str">
        <v>867806078847433</v>
      </c>
      <c r="G30" t="str">
        <v>Otro</v>
      </c>
      <c r="H30" t="str">
        <v/>
      </c>
      <c r="I30" t="str">
        <v>28/09/2026</v>
      </c>
      <c r="J30" t="str">
        <v>04:43:08</v>
      </c>
      <c r="K30">
        <v>-12.193338</v>
      </c>
      <c r="L30">
        <v>-76.92696</v>
      </c>
      <c r="M30">
        <f>HYPERLINK("https://www.google.com/maps/search/?api=1&amp;query=-12.193338,-76.92696","Avenida La Mariscala, Villa María del Triunfo, Lima")</f>
      </c>
      <c r="N30">
        <v>0</v>
      </c>
      <c r="O30">
        <v>87</v>
      </c>
      <c r="P30">
        <v>2551.03</v>
      </c>
      <c r="Q30" t="str">
        <v>161.02</v>
      </c>
      <c r="R30" t="str">
        <v/>
      </c>
      <c r="S30" t="str">
        <v/>
      </c>
      <c r="T30" t="str">
        <v/>
      </c>
      <c r="U30" t="str">
        <v/>
      </c>
    </row>
    <row r="31">
      <c r="A31" t="str">
        <v>30</v>
      </c>
      <c r="B31" t="str">
        <v>MASS BSF</v>
      </c>
      <c r="C31" t="str">
        <v>AAR-880</v>
      </c>
      <c r="D31" t="str">
        <v>AAR-880</v>
      </c>
      <c r="E31" t="str">
        <v/>
      </c>
      <c r="F31" t="str">
        <v>867806078847433</v>
      </c>
      <c r="G31" t="str">
        <v>Otro</v>
      </c>
      <c r="H31" t="str">
        <v/>
      </c>
      <c r="I31" t="str">
        <v>28/09/2026</v>
      </c>
      <c r="J31" t="str">
        <v>04:53:08</v>
      </c>
      <c r="K31">
        <v>-12.193338</v>
      </c>
      <c r="L31">
        <v>-76.92696</v>
      </c>
      <c r="M31">
        <f>HYPERLINK("https://www.google.com/maps/search/?api=1&amp;query=-12.193338,-76.92696","Avenida La Mariscala, Villa María del Triunfo, Lima")</f>
      </c>
      <c r="N31">
        <v>0</v>
      </c>
      <c r="O31">
        <v>90</v>
      </c>
      <c r="P31">
        <v>2551.03</v>
      </c>
      <c r="Q31" t="str">
        <v>161.02</v>
      </c>
      <c r="R31" t="str">
        <v/>
      </c>
      <c r="S31" t="str">
        <v/>
      </c>
      <c r="T31" t="str">
        <v/>
      </c>
      <c r="U31" t="str">
        <v/>
      </c>
    </row>
    <row r="32">
      <c r="A32" t="str">
        <v>31</v>
      </c>
      <c r="B32" t="str">
        <v>MASS BSF</v>
      </c>
      <c r="C32" t="str">
        <v>AAR-880</v>
      </c>
      <c r="D32" t="str">
        <v>AAR-880</v>
      </c>
      <c r="E32" t="str">
        <v/>
      </c>
      <c r="F32" t="str">
        <v>867806078847433</v>
      </c>
      <c r="G32" t="str">
        <v>Otro</v>
      </c>
      <c r="H32" t="str">
        <v/>
      </c>
      <c r="I32" t="str">
        <v>28/09/2026</v>
      </c>
      <c r="J32" t="str">
        <v>05:03:08</v>
      </c>
      <c r="K32">
        <v>-12.193338</v>
      </c>
      <c r="L32">
        <v>-76.92696</v>
      </c>
      <c r="M32">
        <f>HYPERLINK("https://www.google.com/maps/search/?api=1&amp;query=-12.193338,-76.92696","Avenida La Mariscala, Villa María del Triunfo, Lima")</f>
      </c>
      <c r="N32">
        <v>0</v>
      </c>
      <c r="O32">
        <v>87</v>
      </c>
      <c r="P32">
        <v>2551.03</v>
      </c>
      <c r="Q32" t="str">
        <v>161.02</v>
      </c>
      <c r="R32" t="str">
        <v/>
      </c>
      <c r="S32" t="str">
        <v/>
      </c>
      <c r="T32" t="str">
        <v/>
      </c>
      <c r="U32" t="str">
        <v/>
      </c>
    </row>
    <row r="33">
      <c r="A33" t="str">
        <v>32</v>
      </c>
      <c r="B33" t="str">
        <v>MASS BSF</v>
      </c>
      <c r="C33" t="str">
        <v>AAR-880</v>
      </c>
      <c r="D33" t="str">
        <v>AAR-880</v>
      </c>
      <c r="E33" t="str">
        <v/>
      </c>
      <c r="F33" t="str">
        <v>867806078847433</v>
      </c>
      <c r="G33" t="str">
        <v>Otro</v>
      </c>
      <c r="H33" t="str">
        <v/>
      </c>
      <c r="I33" t="str">
        <v>28/09/2026</v>
      </c>
      <c r="J33" t="str">
        <v>05:13:08</v>
      </c>
      <c r="K33">
        <v>-12.193338</v>
      </c>
      <c r="L33">
        <v>-76.92696</v>
      </c>
      <c r="M33">
        <f>HYPERLINK("https://www.google.com/maps/search/?api=1&amp;query=-12.193338,-76.92696","Avenida La Mariscala, Villa María del Triunfo, Lima")</f>
      </c>
      <c r="N33">
        <v>0</v>
      </c>
      <c r="O33">
        <v>87</v>
      </c>
      <c r="P33">
        <v>2551.03</v>
      </c>
      <c r="Q33" t="str">
        <v>161.02</v>
      </c>
      <c r="R33" t="str">
        <v/>
      </c>
      <c r="S33" t="str">
        <v/>
      </c>
      <c r="T33" t="str">
        <v/>
      </c>
      <c r="U33" t="str">
        <v/>
      </c>
    </row>
    <row r="34">
      <c r="A34" t="str">
        <v>33</v>
      </c>
      <c r="B34" t="str">
        <v>MASS BSF</v>
      </c>
      <c r="C34" t="str">
        <v>AAR-880</v>
      </c>
      <c r="D34" t="str">
        <v>AAR-880</v>
      </c>
      <c r="E34" t="str">
        <v/>
      </c>
      <c r="F34" t="str">
        <v>867806078847433</v>
      </c>
      <c r="G34" t="str">
        <v>Otro</v>
      </c>
      <c r="H34" t="str">
        <v/>
      </c>
      <c r="I34" t="str">
        <v>28/09/2026</v>
      </c>
      <c r="J34" t="str">
        <v>05:23:08</v>
      </c>
      <c r="K34">
        <v>-12.193338</v>
      </c>
      <c r="L34">
        <v>-76.92696</v>
      </c>
      <c r="M34">
        <f>HYPERLINK("https://www.google.com/maps/search/?api=1&amp;query=-12.193338,-76.92696","Avenida La Mariscala, Villa María del Triunfo, Lima")</f>
      </c>
      <c r="N34">
        <v>0</v>
      </c>
      <c r="O34">
        <v>84</v>
      </c>
      <c r="P34">
        <v>2551.03</v>
      </c>
      <c r="Q34" t="str">
        <v>161.02</v>
      </c>
      <c r="R34" t="str">
        <v/>
      </c>
      <c r="S34" t="str">
        <v/>
      </c>
      <c r="T34" t="str">
        <v/>
      </c>
      <c r="U34" t="str">
        <v/>
      </c>
    </row>
    <row r="35">
      <c r="A35" t="str">
        <v>34</v>
      </c>
      <c r="B35" t="str">
        <v>MASS BSF</v>
      </c>
      <c r="C35" t="str">
        <v>AAR-880</v>
      </c>
      <c r="D35" t="str">
        <v>AAR-880</v>
      </c>
      <c r="E35" t="str">
        <v/>
      </c>
      <c r="F35" t="str">
        <v>867806078847433</v>
      </c>
      <c r="G35" t="str">
        <v>Otro</v>
      </c>
      <c r="H35" t="str">
        <v/>
      </c>
      <c r="I35" t="str">
        <v>28/09/2026</v>
      </c>
      <c r="J35" t="str">
        <v>05:33:08</v>
      </c>
      <c r="K35">
        <v>-12.193338</v>
      </c>
      <c r="L35">
        <v>-76.92696</v>
      </c>
      <c r="M35">
        <f>HYPERLINK("https://www.google.com/maps/search/?api=1&amp;query=-12.193338,-76.92696","Avenida La Mariscala, Villa María del Triunfo, Lima")</f>
      </c>
      <c r="N35">
        <v>0</v>
      </c>
      <c r="O35">
        <v>87</v>
      </c>
      <c r="P35">
        <v>2551.03</v>
      </c>
      <c r="Q35" t="str">
        <v>161.02</v>
      </c>
      <c r="R35" t="str">
        <v/>
      </c>
      <c r="S35" t="str">
        <v/>
      </c>
      <c r="T35" t="str">
        <v/>
      </c>
      <c r="U35" t="str">
        <v/>
      </c>
    </row>
    <row r="36">
      <c r="A36" t="str">
        <v>35</v>
      </c>
      <c r="B36" t="str">
        <v>MASS BSF</v>
      </c>
      <c r="C36" t="str">
        <v>AAR-880</v>
      </c>
      <c r="D36" t="str">
        <v>AAR-880</v>
      </c>
      <c r="E36" t="str">
        <v/>
      </c>
      <c r="F36" t="str">
        <v>867806078847433</v>
      </c>
      <c r="G36" t="str">
        <v>Otro</v>
      </c>
      <c r="H36" t="str">
        <v/>
      </c>
      <c r="I36" t="str">
        <v>28/09/2026</v>
      </c>
      <c r="J36" t="str">
        <v>05:43:08</v>
      </c>
      <c r="K36">
        <v>-12.193338</v>
      </c>
      <c r="L36">
        <v>-76.92696</v>
      </c>
      <c r="M36">
        <f>HYPERLINK("https://www.google.com/maps/search/?api=1&amp;query=-12.193338,-76.92696","Avenida La Mariscala, Villa María del Triunfo, Lima")</f>
      </c>
      <c r="N36">
        <v>0</v>
      </c>
      <c r="O36">
        <v>87</v>
      </c>
      <c r="P36">
        <v>2551.03</v>
      </c>
      <c r="Q36" t="str">
        <v>161.02</v>
      </c>
      <c r="R36" t="str">
        <v/>
      </c>
      <c r="S36" t="str">
        <v/>
      </c>
      <c r="T36" t="str">
        <v/>
      </c>
      <c r="U36" t="str">
        <v/>
      </c>
    </row>
    <row r="37">
      <c r="A37" t="str">
        <v>36</v>
      </c>
      <c r="B37" t="str">
        <v>MASS BSF</v>
      </c>
      <c r="C37" t="str">
        <v>AAR-880</v>
      </c>
      <c r="D37" t="str">
        <v>AAR-880</v>
      </c>
      <c r="E37" t="str">
        <v/>
      </c>
      <c r="F37" t="str">
        <v>867806078847433</v>
      </c>
      <c r="G37" t="str">
        <v>Otro</v>
      </c>
      <c r="H37" t="str">
        <v/>
      </c>
      <c r="I37" t="str">
        <v>28/09/2026</v>
      </c>
      <c r="J37" t="str">
        <v>05:53:08</v>
      </c>
      <c r="K37">
        <v>-12.193338</v>
      </c>
      <c r="L37">
        <v>-76.92696</v>
      </c>
      <c r="M37">
        <f>HYPERLINK("https://www.google.com/maps/search/?api=1&amp;query=-12.193338,-76.92696","Avenida La Mariscala, Villa María del Triunfo, Lima")</f>
      </c>
      <c r="N37">
        <v>0</v>
      </c>
      <c r="O37">
        <v>87</v>
      </c>
      <c r="P37">
        <v>2551.03</v>
      </c>
      <c r="Q37" t="str">
        <v>161.02</v>
      </c>
      <c r="R37" t="str">
        <v/>
      </c>
      <c r="S37" t="str">
        <v/>
      </c>
      <c r="T37" t="str">
        <v/>
      </c>
      <c r="U37" t="str">
        <v/>
      </c>
    </row>
    <row r="38">
      <c r="A38" t="str">
        <v>37</v>
      </c>
      <c r="B38" t="str">
        <v>MASS BSF</v>
      </c>
      <c r="C38" t="str">
        <v>AAR-880</v>
      </c>
      <c r="D38" t="str">
        <v>AAR-880</v>
      </c>
      <c r="E38" t="str">
        <v/>
      </c>
      <c r="F38" t="str">
        <v>867806078847433</v>
      </c>
      <c r="G38" t="str">
        <v>Otro</v>
      </c>
      <c r="H38" t="str">
        <v/>
      </c>
      <c r="I38" t="str">
        <v>28/09/2026</v>
      </c>
      <c r="J38" t="str">
        <v>06:03:08</v>
      </c>
      <c r="K38">
        <v>-12.193338</v>
      </c>
      <c r="L38">
        <v>-76.92696</v>
      </c>
      <c r="M38">
        <f>HYPERLINK("https://www.google.com/maps/search/?api=1&amp;query=-12.193338,-76.92696","Avenida La Mariscala, Villa María del Triunfo, Lima")</f>
      </c>
      <c r="N38">
        <v>0</v>
      </c>
      <c r="O38">
        <v>87</v>
      </c>
      <c r="P38">
        <v>2551.03</v>
      </c>
      <c r="Q38" t="str">
        <v>161.02</v>
      </c>
      <c r="R38" t="str">
        <v/>
      </c>
      <c r="S38" t="str">
        <v/>
      </c>
      <c r="T38" t="str">
        <v/>
      </c>
      <c r="U38" t="str">
        <v/>
      </c>
    </row>
    <row r="39">
      <c r="A39" t="str">
        <v>38</v>
      </c>
      <c r="B39" t="str">
        <v>MASS BSF</v>
      </c>
      <c r="C39" t="str">
        <v>AAR-880</v>
      </c>
      <c r="D39" t="str">
        <v>AAR-880</v>
      </c>
      <c r="E39" t="str">
        <v/>
      </c>
      <c r="F39" t="str">
        <v>867806078847433</v>
      </c>
      <c r="G39" t="str">
        <v>Otro</v>
      </c>
      <c r="H39" t="str">
        <v/>
      </c>
      <c r="I39" t="str">
        <v>28/09/2026</v>
      </c>
      <c r="J39" t="str">
        <v>06:13:08</v>
      </c>
      <c r="K39">
        <v>-12.193338</v>
      </c>
      <c r="L39">
        <v>-76.92696</v>
      </c>
      <c r="M39">
        <f>HYPERLINK("https://www.google.com/maps/search/?api=1&amp;query=-12.193338,-76.92696","Avenida La Mariscala, Villa María del Triunfo, Lima")</f>
      </c>
      <c r="N39">
        <v>0</v>
      </c>
      <c r="O39">
        <v>87</v>
      </c>
      <c r="P39">
        <v>2551.03</v>
      </c>
      <c r="Q39" t="str">
        <v>161.02</v>
      </c>
      <c r="R39" t="str">
        <v/>
      </c>
      <c r="S39" t="str">
        <v/>
      </c>
      <c r="T39" t="str">
        <v/>
      </c>
      <c r="U39" t="str">
        <v/>
      </c>
    </row>
    <row r="40">
      <c r="A40" t="str">
        <v>39</v>
      </c>
      <c r="B40" t="str">
        <v>MASS BSF</v>
      </c>
      <c r="C40" t="str">
        <v>AAR-880</v>
      </c>
      <c r="D40" t="str">
        <v>AAR-880</v>
      </c>
      <c r="E40" t="str">
        <v/>
      </c>
      <c r="F40" t="str">
        <v>867806078847433</v>
      </c>
      <c r="G40" t="str">
        <v>Otro</v>
      </c>
      <c r="H40" t="str">
        <v/>
      </c>
      <c r="I40" t="str">
        <v>28/09/2026</v>
      </c>
      <c r="J40" t="str">
        <v>06:23:08</v>
      </c>
      <c r="K40">
        <v>-12.193338</v>
      </c>
      <c r="L40">
        <v>-76.92696</v>
      </c>
      <c r="M40">
        <f>HYPERLINK("https://www.google.com/maps/search/?api=1&amp;query=-12.193338,-76.92696","Avenida La Mariscala, Villa María del Triunfo, Lima")</f>
      </c>
      <c r="N40">
        <v>0</v>
      </c>
      <c r="O40">
        <v>87</v>
      </c>
      <c r="P40">
        <v>2551.03</v>
      </c>
      <c r="Q40" t="str">
        <v>161.02</v>
      </c>
      <c r="R40" t="str">
        <v/>
      </c>
      <c r="S40" t="str">
        <v/>
      </c>
      <c r="T40" t="str">
        <v/>
      </c>
      <c r="U40" t="str">
        <v/>
      </c>
    </row>
    <row r="41">
      <c r="A41" t="str">
        <v>40</v>
      </c>
      <c r="B41" t="str">
        <v>MASS BSF</v>
      </c>
      <c r="C41" t="str">
        <v>AAR-880</v>
      </c>
      <c r="D41" t="str">
        <v>AAR-880</v>
      </c>
      <c r="E41" t="str">
        <v/>
      </c>
      <c r="F41" t="str">
        <v>867806078847433</v>
      </c>
      <c r="G41" t="str">
        <v>Otro</v>
      </c>
      <c r="H41" t="str">
        <v/>
      </c>
      <c r="I41" t="str">
        <v>28/09/2026</v>
      </c>
      <c r="J41" t="str">
        <v>06:33:08</v>
      </c>
      <c r="K41">
        <v>-12.193338</v>
      </c>
      <c r="L41">
        <v>-76.92696</v>
      </c>
      <c r="M41">
        <f>HYPERLINK("https://www.google.com/maps/search/?api=1&amp;query=-12.193338,-76.92696","Avenida La Mariscala, Villa María del Triunfo, Lima")</f>
      </c>
      <c r="N41">
        <v>0</v>
      </c>
      <c r="O41">
        <v>85</v>
      </c>
      <c r="P41">
        <v>2551.03</v>
      </c>
      <c r="Q41" t="str">
        <v>161.02</v>
      </c>
      <c r="R41" t="str">
        <v/>
      </c>
      <c r="S41" t="str">
        <v/>
      </c>
      <c r="T41" t="str">
        <v/>
      </c>
      <c r="U41" t="str">
        <v/>
      </c>
    </row>
    <row r="42">
      <c r="A42" t="str">
        <v>41</v>
      </c>
      <c r="B42" t="str">
        <v>MASS BSF</v>
      </c>
      <c r="C42" t="str">
        <v>AAR-880</v>
      </c>
      <c r="D42" t="str">
        <v>AAR-880</v>
      </c>
      <c r="E42" t="str">
        <v/>
      </c>
      <c r="F42" t="str">
        <v>867806078847433</v>
      </c>
      <c r="G42" t="str">
        <v>Otro</v>
      </c>
      <c r="H42" t="str">
        <v/>
      </c>
      <c r="I42" t="str">
        <v>28/09/2026</v>
      </c>
      <c r="J42" t="str">
        <v>06:43:08</v>
      </c>
      <c r="K42">
        <v>-12.193338</v>
      </c>
      <c r="L42">
        <v>-76.92696</v>
      </c>
      <c r="M42">
        <f>HYPERLINK("https://www.google.com/maps/search/?api=1&amp;query=-12.193338,-76.92696","Avenida La Mariscala, Villa María del Triunfo, Lima")</f>
      </c>
      <c r="N42">
        <v>0</v>
      </c>
      <c r="O42">
        <v>85</v>
      </c>
      <c r="P42">
        <v>2551.03</v>
      </c>
      <c r="Q42" t="str">
        <v>161.02</v>
      </c>
      <c r="R42" t="str">
        <v/>
      </c>
      <c r="S42" t="str">
        <v/>
      </c>
      <c r="T42" t="str">
        <v/>
      </c>
      <c r="U42" t="str">
        <v/>
      </c>
    </row>
    <row r="43">
      <c r="A43" t="str">
        <v>42</v>
      </c>
      <c r="B43" t="str">
        <v>MASS BSF</v>
      </c>
      <c r="C43" t="str">
        <v>AAR-880</v>
      </c>
      <c r="D43" t="str">
        <v>AAR-880</v>
      </c>
      <c r="E43" t="str">
        <v/>
      </c>
      <c r="F43" t="str">
        <v>867806078847433</v>
      </c>
      <c r="G43" t="str">
        <v>Otro</v>
      </c>
      <c r="H43" t="str">
        <v/>
      </c>
      <c r="I43" t="str">
        <v>28/09/2026</v>
      </c>
      <c r="J43" t="str">
        <v>06:53:08</v>
      </c>
      <c r="K43">
        <v>-12.193338</v>
      </c>
      <c r="L43">
        <v>-76.92696</v>
      </c>
      <c r="M43">
        <f>HYPERLINK("https://www.google.com/maps/search/?api=1&amp;query=-12.193338,-76.92696","Avenida La Mariscala, Villa María del Triunfo, Lima")</f>
      </c>
      <c r="N43">
        <v>0</v>
      </c>
      <c r="O43">
        <v>85</v>
      </c>
      <c r="P43">
        <v>2551.03</v>
      </c>
      <c r="Q43" t="str">
        <v>161.02</v>
      </c>
      <c r="R43" t="str">
        <v/>
      </c>
      <c r="S43" t="str">
        <v/>
      </c>
      <c r="T43" t="str">
        <v/>
      </c>
      <c r="U43" t="str">
        <v/>
      </c>
    </row>
    <row r="44">
      <c r="A44" t="str">
        <v>43</v>
      </c>
      <c r="B44" t="str">
        <v>MASS BSF</v>
      </c>
      <c r="C44" t="str">
        <v>AAR-880</v>
      </c>
      <c r="D44" t="str">
        <v>AAR-880</v>
      </c>
      <c r="E44" t="str">
        <v/>
      </c>
      <c r="F44" t="str">
        <v>867806078847433</v>
      </c>
      <c r="G44" t="str">
        <v>Otro</v>
      </c>
      <c r="H44" t="str">
        <v/>
      </c>
      <c r="I44" t="str">
        <v>28/09/2026</v>
      </c>
      <c r="J44" t="str">
        <v>07:03:08</v>
      </c>
      <c r="K44">
        <v>-12.193338</v>
      </c>
      <c r="L44">
        <v>-76.92696</v>
      </c>
      <c r="M44">
        <f>HYPERLINK("https://www.google.com/maps/search/?api=1&amp;query=-12.193338,-76.92696","Avenida La Mariscala, Villa María del Triunfo, Lima")</f>
      </c>
      <c r="N44">
        <v>0</v>
      </c>
      <c r="O44">
        <v>85</v>
      </c>
      <c r="P44">
        <v>2551.03</v>
      </c>
      <c r="Q44" t="str">
        <v>161.02</v>
      </c>
      <c r="R44" t="str">
        <v/>
      </c>
      <c r="S44" t="str">
        <v/>
      </c>
      <c r="T44" t="str">
        <v/>
      </c>
      <c r="U44" t="str">
        <v/>
      </c>
    </row>
    <row r="45">
      <c r="A45" t="str">
        <v>44</v>
      </c>
      <c r="B45" t="str">
        <v>MASS BSF</v>
      </c>
      <c r="C45" t="str">
        <v>AAR-880</v>
      </c>
      <c r="D45" t="str">
        <v>AAR-880</v>
      </c>
      <c r="E45" t="str">
        <v/>
      </c>
      <c r="F45" t="str">
        <v>867806078847433</v>
      </c>
      <c r="G45" t="str">
        <v>Otro</v>
      </c>
      <c r="H45" t="str">
        <v/>
      </c>
      <c r="I45" t="str">
        <v>28/09/2026</v>
      </c>
      <c r="J45" t="str">
        <v>07:13:08</v>
      </c>
      <c r="K45">
        <v>-12.193338</v>
      </c>
      <c r="L45">
        <v>-76.92696</v>
      </c>
      <c r="M45">
        <f>HYPERLINK("https://www.google.com/maps/search/?api=1&amp;query=-12.193338,-76.92696","Avenida La Mariscala, Villa María del Triunfo, Lima")</f>
      </c>
      <c r="N45">
        <v>0</v>
      </c>
      <c r="O45">
        <v>85</v>
      </c>
      <c r="P45">
        <v>2551.03</v>
      </c>
      <c r="Q45" t="str">
        <v>161.02</v>
      </c>
      <c r="R45" t="str">
        <v/>
      </c>
      <c r="S45" t="str">
        <v/>
      </c>
      <c r="T45" t="str">
        <v/>
      </c>
      <c r="U45" t="str">
        <v/>
      </c>
    </row>
    <row r="46">
      <c r="A46" t="str">
        <v>45</v>
      </c>
      <c r="B46" t="str">
        <v>MASS BSF</v>
      </c>
      <c r="C46" t="str">
        <v>AAR-880</v>
      </c>
      <c r="D46" t="str">
        <v>AAR-880</v>
      </c>
      <c r="E46" t="str">
        <v/>
      </c>
      <c r="F46" t="str">
        <v>867806078847433</v>
      </c>
      <c r="G46" t="str">
        <v>Otro</v>
      </c>
      <c r="H46" t="str">
        <v/>
      </c>
      <c r="I46" t="str">
        <v>28/09/2026</v>
      </c>
      <c r="J46" t="str">
        <v>07:23:08</v>
      </c>
      <c r="K46">
        <v>-12.193338</v>
      </c>
      <c r="L46">
        <v>-76.92696</v>
      </c>
      <c r="M46">
        <f>HYPERLINK("https://www.google.com/maps/search/?api=1&amp;query=-12.193338,-76.92696","Avenida La Mariscala, Villa María del Triunfo, Lima")</f>
      </c>
      <c r="N46">
        <v>0</v>
      </c>
      <c r="O46">
        <v>85</v>
      </c>
      <c r="P46">
        <v>2551.03</v>
      </c>
      <c r="Q46" t="str">
        <v>161.02</v>
      </c>
      <c r="R46" t="str">
        <v/>
      </c>
      <c r="S46" t="str">
        <v/>
      </c>
      <c r="T46" t="str">
        <v/>
      </c>
      <c r="U46" t="str">
        <v/>
      </c>
    </row>
    <row r="47">
      <c r="A47" t="str">
        <v>46</v>
      </c>
      <c r="B47" t="str">
        <v>MASS BSF</v>
      </c>
      <c r="C47" t="str">
        <v>AAR-880</v>
      </c>
      <c r="D47" t="str">
        <v>AAR-880</v>
      </c>
      <c r="E47" t="str">
        <v/>
      </c>
      <c r="F47" t="str">
        <v>867806078847433</v>
      </c>
      <c r="G47" t="str">
        <v>Otro</v>
      </c>
      <c r="H47" t="str">
        <v/>
      </c>
      <c r="I47" t="str">
        <v>28/09/2026</v>
      </c>
      <c r="J47" t="str">
        <v>07:33:08</v>
      </c>
      <c r="K47">
        <v>-12.193338</v>
      </c>
      <c r="L47">
        <v>-76.92696</v>
      </c>
      <c r="M47">
        <f>HYPERLINK("https://www.google.com/maps/search/?api=1&amp;query=-12.193338,-76.92696","Avenida La Mariscala, Villa María del Triunfo, Lima")</f>
      </c>
      <c r="N47">
        <v>0</v>
      </c>
      <c r="O47">
        <v>89</v>
      </c>
      <c r="P47">
        <v>2551.03</v>
      </c>
      <c r="Q47" t="str">
        <v>161.02</v>
      </c>
      <c r="R47" t="str">
        <v/>
      </c>
      <c r="S47" t="str">
        <v/>
      </c>
      <c r="T47" t="str">
        <v/>
      </c>
      <c r="U47" t="str">
        <v/>
      </c>
    </row>
    <row r="48">
      <c r="A48" t="str">
        <v>47</v>
      </c>
      <c r="B48" t="str">
        <v>MASS BSF</v>
      </c>
      <c r="C48" t="str">
        <v>AAR-880</v>
      </c>
      <c r="D48" t="str">
        <v>AAR-880</v>
      </c>
      <c r="E48" t="str">
        <v/>
      </c>
      <c r="F48" t="str">
        <v>867806078847433</v>
      </c>
      <c r="G48" t="str">
        <v>Otro</v>
      </c>
      <c r="H48" t="str">
        <v/>
      </c>
      <c r="I48" t="str">
        <v>28/09/2026</v>
      </c>
      <c r="J48" t="str">
        <v>07:43:08</v>
      </c>
      <c r="K48">
        <v>-12.193338</v>
      </c>
      <c r="L48">
        <v>-76.92696</v>
      </c>
      <c r="M48">
        <f>HYPERLINK("https://www.google.com/maps/search/?api=1&amp;query=-12.193338,-76.92696","Avenida La Mariscala, Villa María del Triunfo, Lima")</f>
      </c>
      <c r="N48">
        <v>0</v>
      </c>
      <c r="O48">
        <v>89</v>
      </c>
      <c r="P48">
        <v>2551.03</v>
      </c>
      <c r="Q48" t="str">
        <v>161.02</v>
      </c>
      <c r="R48" t="str">
        <v/>
      </c>
      <c r="S48" t="str">
        <v/>
      </c>
      <c r="T48" t="str">
        <v/>
      </c>
      <c r="U48" t="str">
        <v/>
      </c>
    </row>
    <row r="49">
      <c r="A49" t="str">
        <v>48</v>
      </c>
      <c r="B49" t="str">
        <v>MASS BSF</v>
      </c>
      <c r="C49" t="str">
        <v>AAR-880</v>
      </c>
      <c r="D49" t="str">
        <v>AAR-880</v>
      </c>
      <c r="E49" t="str">
        <v/>
      </c>
      <c r="F49" t="str">
        <v>867806078847433</v>
      </c>
      <c r="G49" t="str">
        <v>Otro</v>
      </c>
      <c r="H49" t="str">
        <v/>
      </c>
      <c r="I49" t="str">
        <v>28/09/2026</v>
      </c>
      <c r="J49" t="str">
        <v>07:53:08</v>
      </c>
      <c r="K49">
        <v>-12.193338</v>
      </c>
      <c r="L49">
        <v>-76.92696</v>
      </c>
      <c r="M49">
        <f>HYPERLINK("https://www.google.com/maps/search/?api=1&amp;query=-12.193338,-76.92696","Avenida La Mariscala, Villa María del Triunfo, Lima")</f>
      </c>
      <c r="N49">
        <v>0</v>
      </c>
      <c r="O49">
        <v>89</v>
      </c>
      <c r="P49">
        <v>2551.03</v>
      </c>
      <c r="Q49" t="str">
        <v>161.02</v>
      </c>
      <c r="R49" t="str">
        <v/>
      </c>
      <c r="S49" t="str">
        <v/>
      </c>
      <c r="T49" t="str">
        <v/>
      </c>
      <c r="U49" t="str">
        <v/>
      </c>
    </row>
    <row r="50">
      <c r="A50" t="str">
        <v>49</v>
      </c>
      <c r="B50" t="str">
        <v>MASS BSF</v>
      </c>
      <c r="C50" t="str">
        <v>AAR-880</v>
      </c>
      <c r="D50" t="str">
        <v>AAR-880</v>
      </c>
      <c r="E50" t="str">
        <v/>
      </c>
      <c r="F50" t="str">
        <v>867806078847433</v>
      </c>
      <c r="G50" t="str">
        <v>Otro</v>
      </c>
      <c r="H50" t="str">
        <v/>
      </c>
      <c r="I50" t="str">
        <v>28/09/2026</v>
      </c>
      <c r="J50" t="str">
        <v>08:03:08</v>
      </c>
      <c r="K50">
        <v>-12.193338</v>
      </c>
      <c r="L50">
        <v>-76.92696</v>
      </c>
      <c r="M50">
        <f>HYPERLINK("https://www.google.com/maps/search/?api=1&amp;query=-12.193338,-76.92696","Avenida La Mariscala, Villa María del Triunfo, Lima")</f>
      </c>
      <c r="N50">
        <v>0</v>
      </c>
      <c r="O50">
        <v>89</v>
      </c>
      <c r="P50">
        <v>2551.03</v>
      </c>
      <c r="Q50" t="str">
        <v>161.02</v>
      </c>
      <c r="R50" t="str">
        <v/>
      </c>
      <c r="S50" t="str">
        <v/>
      </c>
      <c r="T50" t="str">
        <v/>
      </c>
      <c r="U50" t="str">
        <v/>
      </c>
    </row>
    <row r="51">
      <c r="A51" t="str">
        <v>50</v>
      </c>
      <c r="B51" t="str">
        <v>MASS BSF</v>
      </c>
      <c r="C51" t="str">
        <v>AAR-880</v>
      </c>
      <c r="D51" t="str">
        <v>AAR-880</v>
      </c>
      <c r="E51" t="str">
        <v/>
      </c>
      <c r="F51" t="str">
        <v>867806078847433</v>
      </c>
      <c r="G51" t="str">
        <v>Otro</v>
      </c>
      <c r="H51" t="str">
        <v/>
      </c>
      <c r="I51" t="str">
        <v>28/09/2026</v>
      </c>
      <c r="J51" t="str">
        <v>08:13:08</v>
      </c>
      <c r="K51">
        <v>-12.193338</v>
      </c>
      <c r="L51">
        <v>-76.92696</v>
      </c>
      <c r="M51">
        <f>HYPERLINK("https://www.google.com/maps/search/?api=1&amp;query=-12.193338,-76.92696","Avenida La Mariscala, Villa María del Triunfo, Lima")</f>
      </c>
      <c r="N51">
        <v>0</v>
      </c>
      <c r="O51">
        <v>89</v>
      </c>
      <c r="P51">
        <v>2551.03</v>
      </c>
      <c r="Q51" t="str">
        <v>161.02</v>
      </c>
      <c r="R51" t="str">
        <v/>
      </c>
      <c r="S51" t="str">
        <v/>
      </c>
      <c r="T51" t="str">
        <v/>
      </c>
      <c r="U51" t="str">
        <v/>
      </c>
    </row>
    <row r="52">
      <c r="A52" t="str">
        <v>51</v>
      </c>
      <c r="B52" t="str">
        <v>MASS BSF</v>
      </c>
      <c r="C52" t="str">
        <v>AAR-880</v>
      </c>
      <c r="D52" t="str">
        <v>AAR-880</v>
      </c>
      <c r="E52" t="str">
        <v/>
      </c>
      <c r="F52" t="str">
        <v>867806078847433</v>
      </c>
      <c r="G52" t="str">
        <v>Otro</v>
      </c>
      <c r="H52" t="str">
        <v/>
      </c>
      <c r="I52" t="str">
        <v>28/09/2026</v>
      </c>
      <c r="J52" t="str">
        <v>08:23:08</v>
      </c>
      <c r="K52">
        <v>-12.193338</v>
      </c>
      <c r="L52">
        <v>-76.92696</v>
      </c>
      <c r="M52">
        <f>HYPERLINK("https://www.google.com/maps/search/?api=1&amp;query=-12.193338,-76.92696","Avenida La Mariscala, Villa María del Triunfo, Lima")</f>
      </c>
      <c r="N52">
        <v>0</v>
      </c>
      <c r="O52">
        <v>89</v>
      </c>
      <c r="P52">
        <v>2551.03</v>
      </c>
      <c r="Q52" t="str">
        <v>161.02</v>
      </c>
      <c r="R52" t="str">
        <v/>
      </c>
      <c r="S52" t="str">
        <v/>
      </c>
      <c r="T52" t="str">
        <v/>
      </c>
      <c r="U52" t="str">
        <v/>
      </c>
    </row>
    <row r="53">
      <c r="A53" t="str">
        <v>52</v>
      </c>
      <c r="B53" t="str">
        <v>MASS BSF</v>
      </c>
      <c r="C53" t="str">
        <v>AAR-880</v>
      </c>
      <c r="D53" t="str">
        <v>AAR-880</v>
      </c>
      <c r="E53" t="str">
        <v/>
      </c>
      <c r="F53" t="str">
        <v>867806078847433</v>
      </c>
      <c r="G53" t="str">
        <v>Otro</v>
      </c>
      <c r="H53" t="str">
        <v/>
      </c>
      <c r="I53" t="str">
        <v>28/09/2026</v>
      </c>
      <c r="J53" t="str">
        <v>08:33:08</v>
      </c>
      <c r="K53">
        <v>-12.193338</v>
      </c>
      <c r="L53">
        <v>-76.92696</v>
      </c>
      <c r="M53">
        <f>HYPERLINK("https://www.google.com/maps/search/?api=1&amp;query=-12.193338,-76.92696","Avenida La Mariscala, Villa María del Triunfo, Lima")</f>
      </c>
      <c r="N53">
        <v>0</v>
      </c>
      <c r="O53">
        <v>89</v>
      </c>
      <c r="P53">
        <v>2551.03</v>
      </c>
      <c r="Q53" t="str">
        <v>161.02</v>
      </c>
      <c r="R53" t="str">
        <v/>
      </c>
      <c r="S53" t="str">
        <v/>
      </c>
      <c r="T53" t="str">
        <v/>
      </c>
      <c r="U53" t="str">
        <v/>
      </c>
    </row>
    <row r="54">
      <c r="A54" t="str">
        <v>53</v>
      </c>
      <c r="B54" t="str">
        <v>MASS BSF</v>
      </c>
      <c r="C54" t="str">
        <v>AAR-880</v>
      </c>
      <c r="D54" t="str">
        <v>AAR-880</v>
      </c>
      <c r="E54" t="str">
        <v/>
      </c>
      <c r="F54" t="str">
        <v>867806078847433</v>
      </c>
      <c r="G54" t="str">
        <v>Otro</v>
      </c>
      <c r="H54" t="str">
        <v/>
      </c>
      <c r="I54" t="str">
        <v>28/09/2026</v>
      </c>
      <c r="J54" t="str">
        <v>08:43:08</v>
      </c>
      <c r="K54">
        <v>-12.193338</v>
      </c>
      <c r="L54">
        <v>-76.92696</v>
      </c>
      <c r="M54">
        <f>HYPERLINK("https://www.google.com/maps/search/?api=1&amp;query=-12.193338,-76.92696","Avenida La Mariscala, Villa María del Triunfo, Lima")</f>
      </c>
      <c r="N54">
        <v>0</v>
      </c>
      <c r="O54">
        <v>89</v>
      </c>
      <c r="P54">
        <v>2551.03</v>
      </c>
      <c r="Q54" t="str">
        <v>161.02</v>
      </c>
      <c r="R54" t="str">
        <v/>
      </c>
      <c r="S54" t="str">
        <v/>
      </c>
      <c r="T54" t="str">
        <v/>
      </c>
      <c r="U54" t="str">
        <v/>
      </c>
    </row>
    <row r="55">
      <c r="A55" t="str">
        <v>54</v>
      </c>
      <c r="B55" t="str">
        <v>MASS BSF</v>
      </c>
      <c r="C55" t="str">
        <v>AAR-880</v>
      </c>
      <c r="D55" t="str">
        <v>AAR-880</v>
      </c>
      <c r="E55" t="str">
        <v/>
      </c>
      <c r="F55" t="str">
        <v>867806078847433</v>
      </c>
      <c r="G55" t="str">
        <v>Otro</v>
      </c>
      <c r="H55" t="str">
        <v/>
      </c>
      <c r="I55" t="str">
        <v>28/09/2026</v>
      </c>
      <c r="J55" t="str">
        <v>08:53:08</v>
      </c>
      <c r="K55">
        <v>-12.193338</v>
      </c>
      <c r="L55">
        <v>-76.92696</v>
      </c>
      <c r="M55">
        <f>HYPERLINK("https://www.google.com/maps/search/?api=1&amp;query=-12.193338,-76.92696","Avenida La Mariscala, Villa María del Triunfo, Lima")</f>
      </c>
      <c r="N55">
        <v>0</v>
      </c>
      <c r="O55">
        <v>89</v>
      </c>
      <c r="P55">
        <v>2551.03</v>
      </c>
      <c r="Q55" t="str">
        <v>161.02</v>
      </c>
      <c r="R55" t="str">
        <v/>
      </c>
      <c r="S55" t="str">
        <v/>
      </c>
      <c r="T55" t="str">
        <v/>
      </c>
      <c r="U55" t="str">
        <v/>
      </c>
    </row>
    <row r="56">
      <c r="A56" t="str">
        <v>55</v>
      </c>
      <c r="B56" t="str">
        <v>MASS BSF</v>
      </c>
      <c r="C56" t="str">
        <v>AAR-880</v>
      </c>
      <c r="D56" t="str">
        <v>AAR-880</v>
      </c>
      <c r="E56" t="str">
        <v/>
      </c>
      <c r="F56" t="str">
        <v>867806078847433</v>
      </c>
      <c r="G56" t="str">
        <v>Otro</v>
      </c>
      <c r="H56" t="str">
        <v/>
      </c>
      <c r="I56" t="str">
        <v>28/09/2026</v>
      </c>
      <c r="J56" t="str">
        <v>09:03:08</v>
      </c>
      <c r="K56">
        <v>-12.193338</v>
      </c>
      <c r="L56">
        <v>-76.92696</v>
      </c>
      <c r="M56">
        <f>HYPERLINK("https://www.google.com/maps/search/?api=1&amp;query=-12.193338,-76.92696","Avenida La Mariscala, Villa María del Triunfo, Lima")</f>
      </c>
      <c r="N56">
        <v>0</v>
      </c>
      <c r="O56">
        <v>89</v>
      </c>
      <c r="P56">
        <v>2551.03</v>
      </c>
      <c r="Q56" t="str">
        <v>161.02</v>
      </c>
      <c r="R56" t="str">
        <v/>
      </c>
      <c r="S56" t="str">
        <v/>
      </c>
      <c r="T56" t="str">
        <v/>
      </c>
      <c r="U56" t="str">
        <v/>
      </c>
    </row>
    <row r="57">
      <c r="A57" t="str">
        <v>56</v>
      </c>
      <c r="B57" t="str">
        <v>MASS BSF</v>
      </c>
      <c r="C57" t="str">
        <v>AAR-880</v>
      </c>
      <c r="D57" t="str">
        <v>AAR-880</v>
      </c>
      <c r="E57" t="str">
        <v/>
      </c>
      <c r="F57" t="str">
        <v>867806078847433</v>
      </c>
      <c r="G57" t="str">
        <v>Otro</v>
      </c>
      <c r="H57" t="str">
        <v/>
      </c>
      <c r="I57" t="str">
        <v>28/09/2026</v>
      </c>
      <c r="J57" t="str">
        <v>09:13:08</v>
      </c>
      <c r="K57">
        <v>-12.193338</v>
      </c>
      <c r="L57">
        <v>-76.92696</v>
      </c>
      <c r="M57">
        <f>HYPERLINK("https://www.google.com/maps/search/?api=1&amp;query=-12.193338,-76.92696","Avenida La Mariscala, Villa María del Triunfo, Lima")</f>
      </c>
      <c r="N57">
        <v>0</v>
      </c>
      <c r="O57">
        <v>85</v>
      </c>
      <c r="P57">
        <v>2551.03</v>
      </c>
      <c r="Q57" t="str">
        <v>161.02</v>
      </c>
      <c r="R57" t="str">
        <v/>
      </c>
      <c r="S57" t="str">
        <v/>
      </c>
      <c r="T57" t="str">
        <v/>
      </c>
      <c r="U57" t="str">
        <v/>
      </c>
    </row>
    <row r="58">
      <c r="A58" t="str">
        <v>57</v>
      </c>
      <c r="B58" t="str">
        <v>MASS BSF</v>
      </c>
      <c r="C58" t="str">
        <v>AAR-880</v>
      </c>
      <c r="D58" t="str">
        <v>AAR-880</v>
      </c>
      <c r="E58" t="str">
        <v/>
      </c>
      <c r="F58" t="str">
        <v>867806078847433</v>
      </c>
      <c r="G58" t="str">
        <v>Otro</v>
      </c>
      <c r="H58" t="str">
        <v/>
      </c>
      <c r="I58" t="str">
        <v>28/09/2026</v>
      </c>
      <c r="J58" t="str">
        <v>09:23:08</v>
      </c>
      <c r="K58">
        <v>-12.193338</v>
      </c>
      <c r="L58">
        <v>-76.92696</v>
      </c>
      <c r="M58">
        <f>HYPERLINK("https://www.google.com/maps/search/?api=1&amp;query=-12.193338,-76.92696","Avenida La Mariscala, Villa María del Triunfo, Lima")</f>
      </c>
      <c r="N58">
        <v>0</v>
      </c>
      <c r="O58">
        <v>85</v>
      </c>
      <c r="P58">
        <v>2551.03</v>
      </c>
      <c r="Q58" t="str">
        <v>161.02</v>
      </c>
      <c r="R58" t="str">
        <v/>
      </c>
      <c r="S58" t="str">
        <v/>
      </c>
      <c r="T58" t="str">
        <v/>
      </c>
      <c r="U58" t="str">
        <v/>
      </c>
    </row>
    <row r="59">
      <c r="A59" t="str">
        <v>58</v>
      </c>
      <c r="B59" t="str">
        <v>MASS BSF</v>
      </c>
      <c r="C59" t="str">
        <v>AAR-880</v>
      </c>
      <c r="D59" t="str">
        <v>AAR-880</v>
      </c>
      <c r="E59" t="str">
        <v/>
      </c>
      <c r="F59" t="str">
        <v>867806078847433</v>
      </c>
      <c r="G59" t="str">
        <v>Otro</v>
      </c>
      <c r="H59" t="str">
        <v/>
      </c>
      <c r="I59" t="str">
        <v>28/09/2026</v>
      </c>
      <c r="J59" t="str">
        <v>09:33:08</v>
      </c>
      <c r="K59">
        <v>-12.193338</v>
      </c>
      <c r="L59">
        <v>-76.92696</v>
      </c>
      <c r="M59">
        <f>HYPERLINK("https://www.google.com/maps/search/?api=1&amp;query=-12.193338,-76.92696","Avenida La Mariscala, Villa María del Triunfo, Lima")</f>
      </c>
      <c r="N59">
        <v>0</v>
      </c>
      <c r="O59">
        <v>85</v>
      </c>
      <c r="P59">
        <v>2551.03</v>
      </c>
      <c r="Q59" t="str">
        <v>161.02</v>
      </c>
      <c r="R59" t="str">
        <v/>
      </c>
      <c r="S59" t="str">
        <v/>
      </c>
      <c r="T59" t="str">
        <v/>
      </c>
      <c r="U59" t="str">
        <v/>
      </c>
    </row>
    <row r="60">
      <c r="A60" t="str">
        <v>59</v>
      </c>
      <c r="B60" t="str">
        <v>MASS BSF</v>
      </c>
      <c r="C60" t="str">
        <v>AAR-880</v>
      </c>
      <c r="D60" t="str">
        <v>AAR-880</v>
      </c>
      <c r="E60" t="str">
        <v/>
      </c>
      <c r="F60" t="str">
        <v>867806078847433</v>
      </c>
      <c r="G60" t="str">
        <v>Otro</v>
      </c>
      <c r="H60" t="str">
        <v/>
      </c>
      <c r="I60" t="str">
        <v>28/09/2026</v>
      </c>
      <c r="J60" t="str">
        <v>09:43:08</v>
      </c>
      <c r="K60">
        <v>-12.193338</v>
      </c>
      <c r="L60">
        <v>-76.92696</v>
      </c>
      <c r="M60">
        <f>HYPERLINK("https://www.google.com/maps/search/?api=1&amp;query=-12.193338,-76.92696","Avenida La Mariscala, Villa María del Triunfo, Lima")</f>
      </c>
      <c r="N60">
        <v>0</v>
      </c>
      <c r="O60">
        <v>85</v>
      </c>
      <c r="P60">
        <v>2551.03</v>
      </c>
      <c r="Q60" t="str">
        <v>161.02</v>
      </c>
      <c r="R60" t="str">
        <v/>
      </c>
      <c r="S60" t="str">
        <v/>
      </c>
      <c r="T60" t="str">
        <v/>
      </c>
      <c r="U60" t="str">
        <v/>
      </c>
    </row>
    <row r="61">
      <c r="A61" t="str">
        <v>60</v>
      </c>
      <c r="B61" t="str">
        <v>MASS BSF</v>
      </c>
      <c r="C61" t="str">
        <v>AAR-880</v>
      </c>
      <c r="D61" t="str">
        <v>AAR-880</v>
      </c>
      <c r="E61" t="str">
        <v/>
      </c>
      <c r="F61" t="str">
        <v>867806078847433</v>
      </c>
      <c r="G61" t="str">
        <v>Otro</v>
      </c>
      <c r="H61" t="str">
        <v/>
      </c>
      <c r="I61" t="str">
        <v>28/09/2026</v>
      </c>
      <c r="J61" t="str">
        <v>09:53:08</v>
      </c>
      <c r="K61">
        <v>-12.193338</v>
      </c>
      <c r="L61">
        <v>-76.92696</v>
      </c>
      <c r="M61">
        <f>HYPERLINK("https://www.google.com/maps/search/?api=1&amp;query=-12.193338,-76.92696","Avenida La Mariscala, Villa María del Triunfo, Lima")</f>
      </c>
      <c r="N61">
        <v>0</v>
      </c>
      <c r="O61">
        <v>85</v>
      </c>
      <c r="P61">
        <v>2551.03</v>
      </c>
      <c r="Q61" t="str">
        <v>161.02</v>
      </c>
      <c r="R61" t="str">
        <v/>
      </c>
      <c r="S61" t="str">
        <v/>
      </c>
      <c r="T61" t="str">
        <v/>
      </c>
      <c r="U61" t="str">
        <v/>
      </c>
    </row>
    <row r="62">
      <c r="A62" t="str">
        <v>61</v>
      </c>
      <c r="B62" t="str">
        <v>MASS BSF</v>
      </c>
      <c r="C62" t="str">
        <v>AAR-880</v>
      </c>
      <c r="D62" t="str">
        <v>AAR-880</v>
      </c>
      <c r="E62" t="str">
        <v/>
      </c>
      <c r="F62" t="str">
        <v>867806078847433</v>
      </c>
      <c r="G62" t="str">
        <v>Otro</v>
      </c>
      <c r="H62" t="str">
        <v/>
      </c>
      <c r="I62" t="str">
        <v>28/09/2026</v>
      </c>
      <c r="J62" t="str">
        <v>10:03:08</v>
      </c>
      <c r="K62">
        <v>-12.193338</v>
      </c>
      <c r="L62">
        <v>-76.92696</v>
      </c>
      <c r="M62">
        <f>HYPERLINK("https://www.google.com/maps/search/?api=1&amp;query=-12.193338,-76.92696","Avenida La Mariscala, Villa María del Triunfo, Lima")</f>
      </c>
      <c r="N62">
        <v>0</v>
      </c>
      <c r="O62">
        <v>85</v>
      </c>
      <c r="P62">
        <v>2551.03</v>
      </c>
      <c r="Q62" t="str">
        <v>161.02</v>
      </c>
      <c r="R62" t="str">
        <v/>
      </c>
      <c r="S62" t="str">
        <v/>
      </c>
      <c r="T62" t="str">
        <v/>
      </c>
      <c r="U62" t="str">
        <v/>
      </c>
    </row>
    <row r="63">
      <c r="A63" t="str">
        <v>62</v>
      </c>
      <c r="B63" t="str">
        <v>MASS BSF</v>
      </c>
      <c r="C63" t="str">
        <v>AAR-880</v>
      </c>
      <c r="D63" t="str">
        <v>AAR-880</v>
      </c>
      <c r="E63" t="str">
        <v/>
      </c>
      <c r="F63" t="str">
        <v>867806078847433</v>
      </c>
      <c r="G63" t="str">
        <v>Otro</v>
      </c>
      <c r="H63" t="str">
        <v/>
      </c>
      <c r="I63" t="str">
        <v>28/09/2026</v>
      </c>
      <c r="J63" t="str">
        <v>10:13:08</v>
      </c>
      <c r="K63">
        <v>-12.193338</v>
      </c>
      <c r="L63">
        <v>-76.92696</v>
      </c>
      <c r="M63">
        <f>HYPERLINK("https://www.google.com/maps/search/?api=1&amp;query=-12.193338,-76.92696","Avenida La Mariscala, Villa María del Triunfo, Lima")</f>
      </c>
      <c r="N63">
        <v>0</v>
      </c>
      <c r="O63">
        <v>85</v>
      </c>
      <c r="P63">
        <v>2551.03</v>
      </c>
      <c r="Q63" t="str">
        <v>161.02</v>
      </c>
      <c r="R63" t="str">
        <v/>
      </c>
      <c r="S63" t="str">
        <v/>
      </c>
      <c r="T63" t="str">
        <v/>
      </c>
      <c r="U63" t="str">
        <v/>
      </c>
    </row>
    <row r="64">
      <c r="A64" t="str">
        <v>63</v>
      </c>
      <c r="B64" t="str">
        <v>MASS BSF</v>
      </c>
      <c r="C64" t="str">
        <v>AAR-880</v>
      </c>
      <c r="D64" t="str">
        <v>AAR-880</v>
      </c>
      <c r="E64" t="str">
        <v/>
      </c>
      <c r="F64" t="str">
        <v>867806078847433</v>
      </c>
      <c r="G64" t="str">
        <v>Otro</v>
      </c>
      <c r="H64" t="str">
        <v/>
      </c>
      <c r="I64" t="str">
        <v>28/09/2026</v>
      </c>
      <c r="J64" t="str">
        <v>10:23:08</v>
      </c>
      <c r="K64">
        <v>-12.193338</v>
      </c>
      <c r="L64">
        <v>-76.92696</v>
      </c>
      <c r="M64">
        <f>HYPERLINK("https://www.google.com/maps/search/?api=1&amp;query=-12.193338,-76.92696","Avenida La Mariscala, Villa María del Triunfo, Lima")</f>
      </c>
      <c r="N64">
        <v>0</v>
      </c>
      <c r="O64">
        <v>85</v>
      </c>
      <c r="P64">
        <v>2551.03</v>
      </c>
      <c r="Q64" t="str">
        <v>161.02</v>
      </c>
      <c r="R64" t="str">
        <v/>
      </c>
      <c r="S64" t="str">
        <v/>
      </c>
      <c r="T64" t="str">
        <v/>
      </c>
      <c r="U64" t="str">
        <v/>
      </c>
    </row>
    <row r="65">
      <c r="A65" t="str">
        <v>64</v>
      </c>
      <c r="B65" t="str">
        <v>MASS BSF</v>
      </c>
      <c r="C65" t="str">
        <v>AAR-880</v>
      </c>
      <c r="D65" t="str">
        <v>AAR-880</v>
      </c>
      <c r="E65" t="str">
        <v/>
      </c>
      <c r="F65" t="str">
        <v>867806078847433</v>
      </c>
      <c r="G65" t="str">
        <v>Otro</v>
      </c>
      <c r="H65" t="str">
        <v/>
      </c>
      <c r="I65" t="str">
        <v>28/09/2026</v>
      </c>
      <c r="J65" t="str">
        <v>10:33:08</v>
      </c>
      <c r="K65">
        <v>-12.193338</v>
      </c>
      <c r="L65">
        <v>-76.92696</v>
      </c>
      <c r="M65">
        <f>HYPERLINK("https://www.google.com/maps/search/?api=1&amp;query=-12.193338,-76.92696","Avenida La Mariscala, Villa María del Triunfo, Lima")</f>
      </c>
      <c r="N65">
        <v>0</v>
      </c>
      <c r="O65">
        <v>85</v>
      </c>
      <c r="P65">
        <v>2551.03</v>
      </c>
      <c r="Q65" t="str">
        <v>161.02</v>
      </c>
      <c r="R65" t="str">
        <v/>
      </c>
      <c r="S65" t="str">
        <v/>
      </c>
      <c r="T65" t="str">
        <v/>
      </c>
      <c r="U65" t="str">
        <v/>
      </c>
    </row>
    <row r="66">
      <c r="A66" t="str">
        <v>65</v>
      </c>
      <c r="B66" t="str">
        <v>MASS BSF</v>
      </c>
      <c r="C66" t="str">
        <v>AAR-880</v>
      </c>
      <c r="D66" t="str">
        <v>AAR-880</v>
      </c>
      <c r="E66" t="str">
        <v/>
      </c>
      <c r="F66" t="str">
        <v>867806078847433</v>
      </c>
      <c r="G66" t="str">
        <v>Otro</v>
      </c>
      <c r="H66" t="str">
        <v/>
      </c>
      <c r="I66" t="str">
        <v>28/09/2026</v>
      </c>
      <c r="J66" t="str">
        <v>10:42:42</v>
      </c>
      <c r="K66">
        <v>-12.193338</v>
      </c>
      <c r="L66">
        <v>-76.92696</v>
      </c>
      <c r="M66">
        <f>HYPERLINK("https://www.google.com/maps/search/?api=1&amp;query=-12.193338,-76.92696","Avenida La Mariscala, Villa María del Triunfo, Lima")</f>
      </c>
      <c r="N66">
        <v>0</v>
      </c>
      <c r="O66">
        <v>85</v>
      </c>
      <c r="P66">
        <v>2551.03</v>
      </c>
      <c r="Q66" t="str">
        <v>161.02</v>
      </c>
      <c r="R66" t="str">
        <v>Fuente principal desconectada</v>
      </c>
      <c r="S66" t="str">
        <v/>
      </c>
      <c r="T66" t="str">
        <v/>
      </c>
      <c r="U66" t="str">
        <v/>
      </c>
    </row>
    <row r="67">
      <c r="A67" t="str">
        <v>66</v>
      </c>
      <c r="B67" t="str">
        <v>MASS BSF</v>
      </c>
      <c r="C67" t="str">
        <v>AAR-880</v>
      </c>
      <c r="D67" t="str">
        <v>AAR-880</v>
      </c>
      <c r="E67" t="str">
        <v/>
      </c>
      <c r="F67" t="str">
        <v>867806078847433</v>
      </c>
      <c r="G67" t="str">
        <v>Otro</v>
      </c>
      <c r="H67" t="str">
        <v/>
      </c>
      <c r="I67" t="str">
        <v>28/09/2026</v>
      </c>
      <c r="J67" t="str">
        <v>10:43:08</v>
      </c>
      <c r="K67">
        <v>-12.193338</v>
      </c>
      <c r="L67">
        <v>-76.92696</v>
      </c>
      <c r="M67">
        <f>HYPERLINK("https://www.google.com/maps/search/?api=1&amp;query=-12.193338,-76.92696","Avenida La Mariscala, Villa María del Triunfo, Lima")</f>
      </c>
      <c r="N67">
        <v>0</v>
      </c>
      <c r="O67">
        <v>85</v>
      </c>
      <c r="P67">
        <v>2551.03</v>
      </c>
      <c r="Q67" t="str">
        <v>161.02</v>
      </c>
      <c r="R67" t="str">
        <v/>
      </c>
      <c r="S67" t="str">
        <v/>
      </c>
      <c r="T67" t="str">
        <v/>
      </c>
      <c r="U67" t="str">
        <v/>
      </c>
    </row>
    <row r="68">
      <c r="A68" t="str">
        <v>67</v>
      </c>
      <c r="B68" t="str">
        <v>MASS BSF</v>
      </c>
      <c r="C68" t="str">
        <v>AAR-880</v>
      </c>
      <c r="D68" t="str">
        <v>AAR-880</v>
      </c>
      <c r="E68" t="str">
        <v/>
      </c>
      <c r="F68" t="str">
        <v>867806078847433</v>
      </c>
      <c r="G68" t="str">
        <v>Otro</v>
      </c>
      <c r="H68" t="str">
        <v/>
      </c>
      <c r="I68" t="str">
        <v>28/09/2026</v>
      </c>
      <c r="J68" t="str">
        <v>10:45:38</v>
      </c>
      <c r="K68">
        <v>-12.193338</v>
      </c>
      <c r="L68">
        <v>-76.92696</v>
      </c>
      <c r="M68">
        <f>HYPERLINK("https://www.google.com/maps/search/?api=1&amp;query=-12.193338,-76.92696","Avenida La Mariscala, Villa María del Triunfo, Lima")</f>
      </c>
      <c r="N68">
        <v>0</v>
      </c>
      <c r="O68">
        <v>85</v>
      </c>
      <c r="P68">
        <v>2551.03</v>
      </c>
      <c r="Q68" t="str">
        <v>161.02</v>
      </c>
      <c r="R68" t="str">
        <v>Fuente principal conectada</v>
      </c>
      <c r="S68" t="str">
        <v/>
      </c>
      <c r="T68" t="str">
        <v/>
      </c>
      <c r="U68" t="str">
        <v/>
      </c>
    </row>
    <row r="69">
      <c r="A69" t="str">
        <v>68</v>
      </c>
      <c r="B69" t="str">
        <v>MASS BSF</v>
      </c>
      <c r="C69" t="str">
        <v>AAR-880</v>
      </c>
      <c r="D69" t="str">
        <v>AAR-880</v>
      </c>
      <c r="E69" t="str">
        <v/>
      </c>
      <c r="F69" t="str">
        <v>867806078847433</v>
      </c>
      <c r="G69" t="str">
        <v>Otro</v>
      </c>
      <c r="H69" t="str">
        <v/>
      </c>
      <c r="I69" t="str">
        <v>28/09/2026</v>
      </c>
      <c r="J69" t="str">
        <v>10:53:08</v>
      </c>
      <c r="K69">
        <v>-12.193338</v>
      </c>
      <c r="L69">
        <v>-76.92696</v>
      </c>
      <c r="M69">
        <f>HYPERLINK("https://www.google.com/maps/search/?api=1&amp;query=-12.193338,-76.92696","Avenida La Mariscala, Villa María del Triunfo, Lima")</f>
      </c>
      <c r="N69">
        <v>0</v>
      </c>
      <c r="O69">
        <v>85</v>
      </c>
      <c r="P69">
        <v>2551.03</v>
      </c>
      <c r="Q69" t="str">
        <v>161.02</v>
      </c>
      <c r="R69" t="str">
        <v/>
      </c>
      <c r="S69" t="str">
        <v/>
      </c>
      <c r="T69" t="str">
        <v/>
      </c>
      <c r="U69" t="str">
        <v/>
      </c>
    </row>
    <row r="70">
      <c r="A70" t="str">
        <v>69</v>
      </c>
      <c r="B70" t="str">
        <v>MASS BSF</v>
      </c>
      <c r="C70" t="str">
        <v>AAR-880</v>
      </c>
      <c r="D70" t="str">
        <v>AAR-880</v>
      </c>
      <c r="E70" t="str">
        <v/>
      </c>
      <c r="F70" t="str">
        <v>867806078847433</v>
      </c>
      <c r="G70" t="str">
        <v>Otro</v>
      </c>
      <c r="H70" t="str">
        <v/>
      </c>
      <c r="I70" t="str">
        <v>28/09/2026</v>
      </c>
      <c r="J70" t="str">
        <v>11:03:08</v>
      </c>
      <c r="K70">
        <v>-12.193338</v>
      </c>
      <c r="L70">
        <v>-76.92696</v>
      </c>
      <c r="M70">
        <f>HYPERLINK("https://www.google.com/maps/search/?api=1&amp;query=-12.193338,-76.92696","Avenida La Mariscala, Villa María del Triunfo, Lima")</f>
      </c>
      <c r="N70">
        <v>0</v>
      </c>
      <c r="O70">
        <v>83</v>
      </c>
      <c r="P70">
        <v>2551.03</v>
      </c>
      <c r="Q70" t="str">
        <v>161.02</v>
      </c>
      <c r="R70" t="str">
        <v/>
      </c>
      <c r="S70" t="str">
        <v/>
      </c>
      <c r="T70" t="str">
        <v/>
      </c>
      <c r="U70" t="str">
        <v/>
      </c>
    </row>
    <row r="71">
      <c r="A71" t="str">
        <v>70</v>
      </c>
      <c r="B71" t="str">
        <v>MASS BSF</v>
      </c>
      <c r="C71" t="str">
        <v>AAR-880</v>
      </c>
      <c r="D71" t="str">
        <v>AAR-880</v>
      </c>
      <c r="E71" t="str">
        <v/>
      </c>
      <c r="F71" t="str">
        <v>867806078847433</v>
      </c>
      <c r="G71" t="str">
        <v>Otro</v>
      </c>
      <c r="H71" t="str">
        <v/>
      </c>
      <c r="I71" t="str">
        <v>28/09/2026</v>
      </c>
      <c r="J71" t="str">
        <v>11:13:08</v>
      </c>
      <c r="K71">
        <v>-12.193338</v>
      </c>
      <c r="L71">
        <v>-76.92696</v>
      </c>
      <c r="M71">
        <f>HYPERLINK("https://www.google.com/maps/search/?api=1&amp;query=-12.193338,-76.92696","Avenida La Mariscala, Villa María del Triunfo, Lima")</f>
      </c>
      <c r="N71">
        <v>0</v>
      </c>
      <c r="O71">
        <v>83</v>
      </c>
      <c r="P71">
        <v>2551.03</v>
      </c>
      <c r="Q71" t="str">
        <v>161.02</v>
      </c>
      <c r="R71" t="str">
        <v/>
      </c>
      <c r="S71" t="str">
        <v/>
      </c>
      <c r="T71" t="str">
        <v/>
      </c>
      <c r="U71" t="str">
        <v/>
      </c>
    </row>
    <row r="72">
      <c r="A72" t="str">
        <v>71</v>
      </c>
      <c r="B72" t="str">
        <v>MASS BSF</v>
      </c>
      <c r="C72" t="str">
        <v>AAR-880</v>
      </c>
      <c r="D72" t="str">
        <v>AAR-880</v>
      </c>
      <c r="E72" t="str">
        <v/>
      </c>
      <c r="F72" t="str">
        <v>867806078847433</v>
      </c>
      <c r="G72" t="str">
        <v>Otro</v>
      </c>
      <c r="H72" t="str">
        <v/>
      </c>
      <c r="I72" t="str">
        <v>28/09/2026</v>
      </c>
      <c r="J72" t="str">
        <v>11:23:08</v>
      </c>
      <c r="K72">
        <v>-12.193338</v>
      </c>
      <c r="L72">
        <v>-76.92696</v>
      </c>
      <c r="M72">
        <f>HYPERLINK("https://www.google.com/maps/search/?api=1&amp;query=-12.193338,-76.92696","Avenida La Mariscala, Villa María del Triunfo, Lima")</f>
      </c>
      <c r="N72">
        <v>0</v>
      </c>
      <c r="O72">
        <v>83</v>
      </c>
      <c r="P72">
        <v>2551.03</v>
      </c>
      <c r="Q72" t="str">
        <v>161.02</v>
      </c>
      <c r="R72" t="str">
        <v/>
      </c>
      <c r="S72" t="str">
        <v/>
      </c>
      <c r="T72" t="str">
        <v/>
      </c>
      <c r="U72" t="str">
        <v/>
      </c>
    </row>
    <row r="73">
      <c r="A73" t="str">
        <v>72</v>
      </c>
      <c r="B73" t="str">
        <v>MASS BSF</v>
      </c>
      <c r="C73" t="str">
        <v>AAR-880</v>
      </c>
      <c r="D73" t="str">
        <v>AAR-880</v>
      </c>
      <c r="E73" t="str">
        <v/>
      </c>
      <c r="F73" t="str">
        <v>867806078847433</v>
      </c>
      <c r="G73" t="str">
        <v>Otro</v>
      </c>
      <c r="H73" t="str">
        <v/>
      </c>
      <c r="I73" t="str">
        <v>28/09/2026</v>
      </c>
      <c r="J73" t="str">
        <v>11:33:08</v>
      </c>
      <c r="K73">
        <v>-12.193338</v>
      </c>
      <c r="L73">
        <v>-76.92696</v>
      </c>
      <c r="M73">
        <f>HYPERLINK("https://www.google.com/maps/search/?api=1&amp;query=-12.193338,-76.92696","Avenida La Mariscala, Villa María del Triunfo, Lima")</f>
      </c>
      <c r="N73">
        <v>0</v>
      </c>
      <c r="O73">
        <v>86</v>
      </c>
      <c r="P73">
        <v>2551.03</v>
      </c>
      <c r="Q73" t="str">
        <v>161.02</v>
      </c>
      <c r="R73" t="str">
        <v/>
      </c>
      <c r="S73" t="str">
        <v/>
      </c>
      <c r="T73" t="str">
        <v/>
      </c>
      <c r="U73" t="str">
        <v/>
      </c>
    </row>
    <row r="74">
      <c r="A74" t="str">
        <v>73</v>
      </c>
      <c r="B74" t="str">
        <v>MASS BSF</v>
      </c>
      <c r="C74" t="str">
        <v>AAR-880</v>
      </c>
      <c r="D74" t="str">
        <v>AAR-880</v>
      </c>
      <c r="E74" t="str">
        <v/>
      </c>
      <c r="F74" t="str">
        <v>867806078847433</v>
      </c>
      <c r="G74" t="str">
        <v>Otro</v>
      </c>
      <c r="H74" t="str">
        <v/>
      </c>
      <c r="I74" t="str">
        <v>28/09/2026</v>
      </c>
      <c r="J74" t="str">
        <v>11:39:42</v>
      </c>
      <c r="K74">
        <v>-12.193338</v>
      </c>
      <c r="L74">
        <v>-76.92696</v>
      </c>
      <c r="M74">
        <f>HYPERLINK("https://www.google.com/maps/search/?api=1&amp;query=-12.193338,-76.92696","Avenida La Mariscala, Villa María del Triunfo, Lima")</f>
      </c>
      <c r="N74">
        <v>0</v>
      </c>
      <c r="O74">
        <v>86</v>
      </c>
      <c r="P74">
        <v>2551.03</v>
      </c>
      <c r="Q74" t="str">
        <v>161.02</v>
      </c>
      <c r="R74" t="str">
        <v>Fuente principal desconectada</v>
      </c>
      <c r="S74" t="str">
        <v/>
      </c>
      <c r="T74" t="str">
        <v/>
      </c>
      <c r="U74" t="str">
        <v/>
      </c>
    </row>
    <row r="75">
      <c r="A75" t="str">
        <v>74</v>
      </c>
      <c r="B75" t="str">
        <v>MASS BSF</v>
      </c>
      <c r="C75" t="str">
        <v>AAR-880</v>
      </c>
      <c r="D75" t="str">
        <v>AAR-880</v>
      </c>
      <c r="E75" t="str">
        <v/>
      </c>
      <c r="F75" t="str">
        <v>867806078847433</v>
      </c>
      <c r="G75" t="str">
        <v>Otro</v>
      </c>
      <c r="H75" t="str">
        <v/>
      </c>
      <c r="I75" t="str">
        <v>28/09/2026</v>
      </c>
      <c r="J75" t="str">
        <v>11:40:07</v>
      </c>
      <c r="K75">
        <v>-12.193338</v>
      </c>
      <c r="L75">
        <v>-76.92696</v>
      </c>
      <c r="M75">
        <f>HYPERLINK("https://www.google.com/maps/search/?api=1&amp;query=-12.193338,-76.92696","Avenida La Mariscala, Villa María del Triunfo, Lima")</f>
      </c>
      <c r="N75">
        <v>0</v>
      </c>
      <c r="O75">
        <v>86</v>
      </c>
      <c r="P75">
        <v>2551.03</v>
      </c>
      <c r="Q75" t="str">
        <v>161.02</v>
      </c>
      <c r="R75" t="str">
        <v>Fuente principal conectada</v>
      </c>
      <c r="S75" t="str">
        <v/>
      </c>
      <c r="T75" t="str">
        <v/>
      </c>
      <c r="U75" t="str">
        <v/>
      </c>
    </row>
    <row r="76">
      <c r="A76" t="str">
        <v>75</v>
      </c>
      <c r="B76" t="str">
        <v>MASS BSF</v>
      </c>
      <c r="C76" t="str">
        <v>AAR-880</v>
      </c>
      <c r="D76" t="str">
        <v>AAR-880</v>
      </c>
      <c r="E76" t="str">
        <v/>
      </c>
      <c r="F76" t="str">
        <v>867806078847433</v>
      </c>
      <c r="G76" t="str">
        <v>Otro</v>
      </c>
      <c r="H76" t="str">
        <v/>
      </c>
      <c r="I76" t="str">
        <v>28/09/2026</v>
      </c>
      <c r="J76" t="str">
        <v>11:43:08</v>
      </c>
      <c r="K76">
        <v>-12.193338</v>
      </c>
      <c r="L76">
        <v>-76.92696</v>
      </c>
      <c r="M76">
        <f>HYPERLINK("https://www.google.com/maps/search/?api=1&amp;query=-12.193338,-76.92696","Avenida La Mariscala, Villa María del Triunfo, Lima")</f>
      </c>
      <c r="N76">
        <v>0</v>
      </c>
      <c r="O76">
        <v>86</v>
      </c>
      <c r="P76">
        <v>2551.03</v>
      </c>
      <c r="Q76" t="str">
        <v>161.02</v>
      </c>
      <c r="R76" t="str">
        <v/>
      </c>
      <c r="S76" t="str">
        <v/>
      </c>
      <c r="T76" t="str">
        <v/>
      </c>
      <c r="U76" t="str">
        <v/>
      </c>
    </row>
    <row r="77">
      <c r="A77" t="str">
        <v>76</v>
      </c>
      <c r="B77" t="str">
        <v>MASS BSF</v>
      </c>
      <c r="C77" t="str">
        <v>AAR-880</v>
      </c>
      <c r="D77" t="str">
        <v>AAR-880</v>
      </c>
      <c r="E77" t="str">
        <v/>
      </c>
      <c r="F77" t="str">
        <v>867806078847433</v>
      </c>
      <c r="G77" t="str">
        <v>Otro</v>
      </c>
      <c r="H77" t="str">
        <v/>
      </c>
      <c r="I77" t="str">
        <v>28/09/2026</v>
      </c>
      <c r="J77" t="str">
        <v>11:45:29</v>
      </c>
      <c r="K77">
        <v>-12.193338</v>
      </c>
      <c r="L77">
        <v>-76.92696</v>
      </c>
      <c r="M77">
        <f>HYPERLINK("https://www.google.com/maps/search/?api=1&amp;query=-12.193338,-76.92696","Avenida La Mariscala, Villa María del Triunfo, Lima")</f>
      </c>
      <c r="N77">
        <v>0</v>
      </c>
      <c r="O77">
        <v>84</v>
      </c>
      <c r="P77">
        <v>2551.03</v>
      </c>
      <c r="Q77" t="str">
        <v>161.02</v>
      </c>
      <c r="R77" t="str">
        <v>Fuente principal desconectada</v>
      </c>
      <c r="S77" t="str">
        <v/>
      </c>
      <c r="T77" t="str">
        <v/>
      </c>
      <c r="U77" t="str">
        <v/>
      </c>
    </row>
    <row r="78">
      <c r="A78" t="str">
        <v>77</v>
      </c>
      <c r="B78" t="str">
        <v>MASS BSF</v>
      </c>
      <c r="C78" t="str">
        <v>AAR-880</v>
      </c>
      <c r="D78" t="str">
        <v>AAR-880</v>
      </c>
      <c r="E78" t="str">
        <v/>
      </c>
      <c r="F78" t="str">
        <v>867806078847433</v>
      </c>
      <c r="G78" t="str">
        <v>Otro</v>
      </c>
      <c r="H78" t="str">
        <v/>
      </c>
      <c r="I78" t="str">
        <v>28/09/2026</v>
      </c>
      <c r="J78" t="str">
        <v>11:47:26</v>
      </c>
      <c r="K78">
        <v>-12.193338</v>
      </c>
      <c r="L78">
        <v>-76.92696</v>
      </c>
      <c r="M78">
        <f>HYPERLINK("https://www.google.com/maps/search/?api=1&amp;query=-12.193338,-76.92696","Avenida La Mariscala, Villa María del Triunfo, Lima")</f>
      </c>
      <c r="N78">
        <v>0</v>
      </c>
      <c r="O78">
        <v>84</v>
      </c>
      <c r="P78">
        <v>2551.03</v>
      </c>
      <c r="Q78" t="str">
        <v>161.02</v>
      </c>
      <c r="R78" t="str">
        <v>Fuente principal conectada</v>
      </c>
      <c r="S78" t="str">
        <v/>
      </c>
      <c r="T78" t="str">
        <v/>
      </c>
      <c r="U78" t="str">
        <v/>
      </c>
    </row>
    <row r="79">
      <c r="A79" t="str">
        <v>78</v>
      </c>
      <c r="B79" t="str">
        <v>MASS BSF</v>
      </c>
      <c r="C79" t="str">
        <v>AAR-880</v>
      </c>
      <c r="D79" t="str">
        <v>AAR-880</v>
      </c>
      <c r="E79" t="str">
        <v/>
      </c>
      <c r="F79" t="str">
        <v>867806078847433</v>
      </c>
      <c r="G79" t="str">
        <v>Otro</v>
      </c>
      <c r="H79" t="str">
        <v/>
      </c>
      <c r="I79" t="str">
        <v>28/09/2026</v>
      </c>
      <c r="J79" t="str">
        <v>11:47:36</v>
      </c>
      <c r="K79">
        <v>-12.193338</v>
      </c>
      <c r="L79">
        <v>-76.92696</v>
      </c>
      <c r="M79">
        <f>HYPERLINK("https://www.google.com/maps/search/?api=1&amp;query=-12.193338,-76.92696","Avenida La Mariscala, Villa María del Triunfo, Lima")</f>
      </c>
      <c r="N79">
        <v>0</v>
      </c>
      <c r="O79">
        <v>84</v>
      </c>
      <c r="P79">
        <v>2551.03</v>
      </c>
      <c r="Q79" t="str">
        <v>161.02</v>
      </c>
      <c r="R79" t="str">
        <v>Fuente principal desconectada</v>
      </c>
      <c r="S79" t="str">
        <v/>
      </c>
      <c r="T79" t="str">
        <v/>
      </c>
      <c r="U79" t="str">
        <v/>
      </c>
    </row>
    <row r="80">
      <c r="A80" t="str">
        <v>79</v>
      </c>
      <c r="B80" t="str">
        <v>MASS BSF</v>
      </c>
      <c r="C80" t="str">
        <v>AAR-880</v>
      </c>
      <c r="D80" t="str">
        <v>AAR-880</v>
      </c>
      <c r="E80" t="str">
        <v/>
      </c>
      <c r="F80" t="str">
        <v>867806078847433</v>
      </c>
      <c r="G80" t="str">
        <v>Otro</v>
      </c>
      <c r="H80" t="str">
        <v/>
      </c>
      <c r="I80" t="str">
        <v>28/09/2026</v>
      </c>
      <c r="J80" t="str">
        <v>11:53:08</v>
      </c>
      <c r="K80">
        <v>-12.193338</v>
      </c>
      <c r="L80">
        <v>-76.92696</v>
      </c>
      <c r="M80">
        <f>HYPERLINK("https://www.google.com/maps/search/?api=1&amp;query=-12.193338,-76.92696","Avenida La Mariscala, Villa María del Triunfo, Lima")</f>
      </c>
      <c r="N80">
        <v>0</v>
      </c>
      <c r="O80">
        <v>84</v>
      </c>
      <c r="P80">
        <v>2551.03</v>
      </c>
      <c r="Q80" t="str">
        <v>161.02</v>
      </c>
      <c r="R80" t="str">
        <v/>
      </c>
      <c r="S80" t="str">
        <v/>
      </c>
      <c r="T80" t="str">
        <v/>
      </c>
      <c r="U80" t="str">
        <v/>
      </c>
    </row>
    <row r="81">
      <c r="A81" t="str">
        <v>80</v>
      </c>
      <c r="B81" t="str">
        <v>MASS BSF</v>
      </c>
      <c r="C81" t="str">
        <v>AAR-880</v>
      </c>
      <c r="D81" t="str">
        <v>AAR-880</v>
      </c>
      <c r="E81" t="str">
        <v/>
      </c>
      <c r="F81" t="str">
        <v>867806078847433</v>
      </c>
      <c r="G81" t="str">
        <v>Otro</v>
      </c>
      <c r="H81" t="str">
        <v/>
      </c>
      <c r="I81" t="str">
        <v>28/09/2026</v>
      </c>
      <c r="J81" t="str">
        <v>12:02:29</v>
      </c>
      <c r="K81">
        <v>-12.193338</v>
      </c>
      <c r="L81">
        <v>-76.92696</v>
      </c>
      <c r="M81">
        <f>HYPERLINK("https://www.google.com/maps/search/?api=1&amp;query=-12.193338,-76.92696","Avenida La Mariscala, Villa María del Triunfo, Lima")</f>
      </c>
      <c r="N81">
        <v>0</v>
      </c>
      <c r="O81">
        <v>84</v>
      </c>
      <c r="P81">
        <v>2551.03</v>
      </c>
      <c r="Q81" t="str">
        <v>161.02</v>
      </c>
      <c r="R81" t="str">
        <v>Fuente principal conectada</v>
      </c>
      <c r="S81" t="str">
        <v/>
      </c>
      <c r="T81" t="str">
        <v/>
      </c>
      <c r="U81" t="str">
        <v/>
      </c>
    </row>
    <row r="82">
      <c r="A82" t="str">
        <v>81</v>
      </c>
      <c r="B82" t="str">
        <v>MASS BSF</v>
      </c>
      <c r="C82" t="str">
        <v>AAR-880</v>
      </c>
      <c r="D82" t="str">
        <v>AAR-880</v>
      </c>
      <c r="E82" t="str">
        <v/>
      </c>
      <c r="F82" t="str">
        <v>867806078847433</v>
      </c>
      <c r="G82" t="str">
        <v>Otro</v>
      </c>
      <c r="H82" t="str">
        <v/>
      </c>
      <c r="I82" t="str">
        <v>28/09/2026</v>
      </c>
      <c r="J82" t="str">
        <v>12:03:08</v>
      </c>
      <c r="K82">
        <v>-12.193338</v>
      </c>
      <c r="L82">
        <v>-76.92696</v>
      </c>
      <c r="M82">
        <f>HYPERLINK("https://www.google.com/maps/search/?api=1&amp;query=-12.193338,-76.92696","Avenida La Mariscala, Villa María del Triunfo, Lima")</f>
      </c>
      <c r="N82">
        <v>0</v>
      </c>
      <c r="O82">
        <v>84</v>
      </c>
      <c r="P82">
        <v>2551.03</v>
      </c>
      <c r="Q82" t="str">
        <v>161.02</v>
      </c>
      <c r="R82" t="str">
        <v/>
      </c>
      <c r="S82" t="str">
        <v/>
      </c>
      <c r="T82" t="str">
        <v/>
      </c>
      <c r="U82" t="str">
        <v/>
      </c>
    </row>
    <row r="83">
      <c r="A83" t="str">
        <v>82</v>
      </c>
      <c r="B83" t="str">
        <v>MASS BSF</v>
      </c>
      <c r="C83" t="str">
        <v>AAR-880</v>
      </c>
      <c r="D83" t="str">
        <v>AAR-880</v>
      </c>
      <c r="E83" t="str">
        <v/>
      </c>
      <c r="F83" t="str">
        <v>867806078847433</v>
      </c>
      <c r="G83" t="str">
        <v>Otro</v>
      </c>
      <c r="H83" t="str">
        <v/>
      </c>
      <c r="I83" t="str">
        <v>28/09/2026</v>
      </c>
      <c r="J83" t="str">
        <v>12:13:08</v>
      </c>
      <c r="K83">
        <v>-12.193338</v>
      </c>
      <c r="L83">
        <v>-76.92696</v>
      </c>
      <c r="M83">
        <f>HYPERLINK("https://www.google.com/maps/search/?api=1&amp;query=-12.193338,-76.92696","Avenida La Mariscala, Villa María del Triunfo, Lima")</f>
      </c>
      <c r="N83">
        <v>0</v>
      </c>
      <c r="O83">
        <v>88</v>
      </c>
      <c r="P83">
        <v>2551.03</v>
      </c>
      <c r="Q83" t="str">
        <v>161.02</v>
      </c>
      <c r="R83" t="str">
        <v/>
      </c>
      <c r="S83" t="str">
        <v/>
      </c>
      <c r="T83" t="str">
        <v/>
      </c>
      <c r="U83" t="str">
        <v/>
      </c>
    </row>
    <row r="84">
      <c r="A84" t="str">
        <v>83</v>
      </c>
      <c r="B84" t="str">
        <v>MASS BSF</v>
      </c>
      <c r="C84" t="str">
        <v>AAR-880</v>
      </c>
      <c r="D84" t="str">
        <v>AAR-880</v>
      </c>
      <c r="E84" t="str">
        <v/>
      </c>
      <c r="F84" t="str">
        <v>867806078847433</v>
      </c>
      <c r="G84" t="str">
        <v>Otro</v>
      </c>
      <c r="H84" t="str">
        <v/>
      </c>
      <c r="I84" t="str">
        <v>28/09/2026</v>
      </c>
      <c r="J84" t="str">
        <v>12:14:59</v>
      </c>
      <c r="K84">
        <v>-12.193338</v>
      </c>
      <c r="L84">
        <v>-76.92696</v>
      </c>
      <c r="M84">
        <f>HYPERLINK("https://www.google.com/maps/search/?api=1&amp;query=-12.193338,-76.92696","Avenida La Mariscala, Villa María del Triunfo, Lima")</f>
      </c>
      <c r="N84">
        <v>0</v>
      </c>
      <c r="O84">
        <v>88</v>
      </c>
      <c r="P84">
        <v>2551.03</v>
      </c>
      <c r="Q84" t="str">
        <v>161.02</v>
      </c>
      <c r="R84" t="str">
        <v>Fuente principal desconectada</v>
      </c>
      <c r="S84" t="str">
        <v/>
      </c>
      <c r="T84" t="str">
        <v/>
      </c>
      <c r="U84" t="str">
        <v/>
      </c>
    </row>
    <row r="85">
      <c r="A85" t="str">
        <v>84</v>
      </c>
      <c r="B85" t="str">
        <v>MASS BSF</v>
      </c>
      <c r="C85" t="str">
        <v>AAR-880</v>
      </c>
      <c r="D85" t="str">
        <v>AAR-880</v>
      </c>
      <c r="E85" t="str">
        <v/>
      </c>
      <c r="F85" t="str">
        <v>867806078847433</v>
      </c>
      <c r="G85" t="str">
        <v>Otro</v>
      </c>
      <c r="H85" t="str">
        <v/>
      </c>
      <c r="I85" t="str">
        <v>28/09/2026</v>
      </c>
      <c r="J85" t="str">
        <v>12:23:08</v>
      </c>
      <c r="K85">
        <v>-12.193338</v>
      </c>
      <c r="L85">
        <v>-76.92696</v>
      </c>
      <c r="M85">
        <f>HYPERLINK("https://www.google.com/maps/search/?api=1&amp;query=-12.193338,-76.92696","Avenida La Mariscala, Villa María del Triunfo, Lima")</f>
      </c>
      <c r="N85">
        <v>0</v>
      </c>
      <c r="O85">
        <v>88</v>
      </c>
      <c r="P85">
        <v>2551.03</v>
      </c>
      <c r="Q85" t="str">
        <v>161.02</v>
      </c>
      <c r="R85" t="str">
        <v/>
      </c>
      <c r="S85" t="str">
        <v/>
      </c>
      <c r="T85" t="str">
        <v/>
      </c>
      <c r="U85" t="str">
        <v/>
      </c>
    </row>
    <row r="86">
      <c r="A86" t="str">
        <v>85</v>
      </c>
      <c r="B86" t="str">
        <v>MASS BSF</v>
      </c>
      <c r="C86" t="str">
        <v>AAR-880</v>
      </c>
      <c r="D86" t="str">
        <v>AAR-880</v>
      </c>
      <c r="E86" t="str">
        <v/>
      </c>
      <c r="F86" t="str">
        <v>867806078847433</v>
      </c>
      <c r="G86" t="str">
        <v>Otro</v>
      </c>
      <c r="H86" t="str">
        <v/>
      </c>
      <c r="I86" t="str">
        <v>28/09/2026</v>
      </c>
      <c r="J86" t="str">
        <v>12:33:08</v>
      </c>
      <c r="K86">
        <v>-12.193338</v>
      </c>
      <c r="L86">
        <v>-76.92696</v>
      </c>
      <c r="M86">
        <f>HYPERLINK("https://www.google.com/maps/search/?api=1&amp;query=-12.193338,-76.92696","Avenida La Mariscala, Villa María del Triunfo, Lima")</f>
      </c>
      <c r="N86">
        <v>0</v>
      </c>
      <c r="O86">
        <v>88</v>
      </c>
      <c r="P86">
        <v>2551.03</v>
      </c>
      <c r="Q86" t="str">
        <v>161.02</v>
      </c>
      <c r="R86" t="str">
        <v/>
      </c>
      <c r="S86" t="str">
        <v/>
      </c>
      <c r="T86" t="str">
        <v/>
      </c>
      <c r="U86" t="str">
        <v/>
      </c>
    </row>
    <row r="87">
      <c r="A87" t="str">
        <v>86</v>
      </c>
      <c r="B87" t="str">
        <v>MASS BSF</v>
      </c>
      <c r="C87" t="str">
        <v>AAR-880</v>
      </c>
      <c r="D87" t="str">
        <v>AAR-880</v>
      </c>
      <c r="E87" t="str">
        <v/>
      </c>
      <c r="F87" t="str">
        <v>867806078847433</v>
      </c>
      <c r="G87" t="str">
        <v>Otro</v>
      </c>
      <c r="H87" t="str">
        <v/>
      </c>
      <c r="I87" t="str">
        <v>28/09/2026</v>
      </c>
      <c r="J87" t="str">
        <v>12:43:08</v>
      </c>
      <c r="K87">
        <v>-12.193338</v>
      </c>
      <c r="L87">
        <v>-76.92696</v>
      </c>
      <c r="M87">
        <f>HYPERLINK("https://www.google.com/maps/search/?api=1&amp;query=-12.193338,-76.92696","Avenida La Mariscala, Villa María del Triunfo, Lima")</f>
      </c>
      <c r="N87">
        <v>0</v>
      </c>
      <c r="O87">
        <v>88</v>
      </c>
      <c r="P87">
        <v>2551.03</v>
      </c>
      <c r="Q87" t="str">
        <v>161.02</v>
      </c>
      <c r="R87" t="str">
        <v/>
      </c>
      <c r="S87" t="str">
        <v/>
      </c>
      <c r="T87" t="str">
        <v/>
      </c>
      <c r="U87" t="str">
        <v/>
      </c>
    </row>
    <row r="88">
      <c r="A88" t="str">
        <v>87</v>
      </c>
      <c r="B88" t="str">
        <v>MASS BSF</v>
      </c>
      <c r="C88" t="str">
        <v>AAR-880</v>
      </c>
      <c r="D88" t="str">
        <v>AAR-880</v>
      </c>
      <c r="E88" t="str">
        <v/>
      </c>
      <c r="F88" t="str">
        <v>867806078847433</v>
      </c>
      <c r="G88" t="str">
        <v>Otro</v>
      </c>
      <c r="H88" t="str">
        <v/>
      </c>
      <c r="I88" t="str">
        <v>28/09/2026</v>
      </c>
      <c r="J88" t="str">
        <v>12:53:08</v>
      </c>
      <c r="K88">
        <v>-12.193338</v>
      </c>
      <c r="L88">
        <v>-76.92696</v>
      </c>
      <c r="M88">
        <f>HYPERLINK("https://www.google.com/maps/search/?api=1&amp;query=-12.193338,-76.92696","Avenida La Mariscala, Villa María del Triunfo, Lima")</f>
      </c>
      <c r="N88">
        <v>0</v>
      </c>
      <c r="O88">
        <v>88</v>
      </c>
      <c r="P88">
        <v>2551.03</v>
      </c>
      <c r="Q88" t="str">
        <v>161.02</v>
      </c>
      <c r="R88" t="str">
        <v/>
      </c>
      <c r="S88" t="str">
        <v/>
      </c>
      <c r="T88" t="str">
        <v/>
      </c>
      <c r="U88" t="str">
        <v/>
      </c>
    </row>
    <row r="89">
      <c r="A89" t="str">
        <v>88</v>
      </c>
      <c r="B89" t="str">
        <v>MASS BSF</v>
      </c>
      <c r="C89" t="str">
        <v>AAR-880</v>
      </c>
      <c r="D89" t="str">
        <v>AAR-880</v>
      </c>
      <c r="E89" t="str">
        <v/>
      </c>
      <c r="F89" t="str">
        <v>867806078847433</v>
      </c>
      <c r="G89" t="str">
        <v>Otro</v>
      </c>
      <c r="H89" t="str">
        <v/>
      </c>
      <c r="I89" t="str">
        <v>28/09/2026</v>
      </c>
      <c r="J89" t="str">
        <v>13:03:03</v>
      </c>
      <c r="K89">
        <v>-12.193338</v>
      </c>
      <c r="L89">
        <v>-76.92696</v>
      </c>
      <c r="M89">
        <f>HYPERLINK("https://www.google.com/maps/search/?api=1&amp;query=-12.193338,-76.92696","Avenida La Mariscala, Villa María del Triunfo, Lima")</f>
      </c>
      <c r="N89">
        <v>0</v>
      </c>
      <c r="O89">
        <v>88</v>
      </c>
      <c r="P89">
        <v>2551.03</v>
      </c>
      <c r="Q89" t="str">
        <v>161.02</v>
      </c>
      <c r="R89" t="str">
        <v/>
      </c>
      <c r="S89" t="str">
        <v/>
      </c>
      <c r="T89" t="str">
        <v/>
      </c>
      <c r="U89" t="str">
        <v/>
      </c>
    </row>
    <row r="90">
      <c r="A90" t="str">
        <v>89</v>
      </c>
      <c r="B90" t="str">
        <v>MASS BSF</v>
      </c>
      <c r="C90" t="str">
        <v>AAR-880</v>
      </c>
      <c r="D90" t="str">
        <v>AAR-880</v>
      </c>
      <c r="E90" t="str">
        <v/>
      </c>
      <c r="F90" t="str">
        <v>867806078847433</v>
      </c>
      <c r="G90" t="str">
        <v>Otro</v>
      </c>
      <c r="H90" t="str">
        <v/>
      </c>
      <c r="I90" t="str">
        <v>28/09/2026</v>
      </c>
      <c r="J90" t="str">
        <v>13:13:03</v>
      </c>
      <c r="K90">
        <v>-12.193338</v>
      </c>
      <c r="L90">
        <v>-76.92696</v>
      </c>
      <c r="M90">
        <f>HYPERLINK("https://www.google.com/maps/search/?api=1&amp;query=-12.193338,-76.92696","Avenida La Mariscala, Villa María del Triunfo, Lima")</f>
      </c>
      <c r="N90">
        <v>0</v>
      </c>
      <c r="O90">
        <v>88</v>
      </c>
      <c r="P90">
        <v>2551.03</v>
      </c>
      <c r="Q90" t="str">
        <v>161.02</v>
      </c>
      <c r="R90" t="str">
        <v/>
      </c>
      <c r="S90" t="str">
        <v/>
      </c>
      <c r="T90" t="str">
        <v/>
      </c>
      <c r="U90" t="str">
        <v/>
      </c>
    </row>
    <row r="91">
      <c r="A91" t="str">
        <v>90</v>
      </c>
      <c r="B91" t="str">
        <v>MASS BSF</v>
      </c>
      <c r="C91" t="str">
        <v>AAR-880</v>
      </c>
      <c r="D91" t="str">
        <v>AAR-880</v>
      </c>
      <c r="E91" t="str">
        <v/>
      </c>
      <c r="F91" t="str">
        <v>867806078847433</v>
      </c>
      <c r="G91" t="str">
        <v>Otro</v>
      </c>
      <c r="H91" t="str">
        <v/>
      </c>
      <c r="I91" t="str">
        <v>28/09/2026</v>
      </c>
      <c r="J91" t="str">
        <v>13:23:03</v>
      </c>
      <c r="K91">
        <v>-12.193338</v>
      </c>
      <c r="L91">
        <v>-76.92696</v>
      </c>
      <c r="M91">
        <f>HYPERLINK("https://www.google.com/maps/search/?api=1&amp;query=-12.193338,-76.92696","Avenida La Mariscala, Villa María del Triunfo, Lima")</f>
      </c>
      <c r="N91">
        <v>0</v>
      </c>
      <c r="O91">
        <v>88</v>
      </c>
      <c r="P91">
        <v>2551.03</v>
      </c>
      <c r="Q91" t="str">
        <v>161.02</v>
      </c>
      <c r="R91" t="str">
        <v/>
      </c>
      <c r="S91" t="str">
        <v/>
      </c>
      <c r="T91" t="str">
        <v/>
      </c>
      <c r="U91" t="str">
        <v/>
      </c>
    </row>
    <row r="92">
      <c r="A92" t="str">
        <v>91</v>
      </c>
      <c r="B92" t="str">
        <v>MASS BSF</v>
      </c>
      <c r="C92" t="str">
        <v>AAR-880</v>
      </c>
      <c r="D92" t="str">
        <v>AAR-880</v>
      </c>
      <c r="E92" t="str">
        <v/>
      </c>
      <c r="F92" t="str">
        <v>867806078847433</v>
      </c>
      <c r="G92" t="str">
        <v>Otro</v>
      </c>
      <c r="H92" t="str">
        <v/>
      </c>
      <c r="I92" t="str">
        <v>28/09/2026</v>
      </c>
      <c r="J92" t="str">
        <v>13:33:03</v>
      </c>
      <c r="K92">
        <v>-12.193338</v>
      </c>
      <c r="L92">
        <v>-76.92696</v>
      </c>
      <c r="M92">
        <f>HYPERLINK("https://www.google.com/maps/search/?api=1&amp;query=-12.193338,-76.92696","Avenida La Mariscala, Villa María del Triunfo, Lima")</f>
      </c>
      <c r="N92">
        <v>0</v>
      </c>
      <c r="O92">
        <v>88</v>
      </c>
      <c r="P92">
        <v>2551.03</v>
      </c>
      <c r="Q92" t="str">
        <v>161.02</v>
      </c>
      <c r="R92" t="str">
        <v/>
      </c>
      <c r="S92" t="str">
        <v/>
      </c>
      <c r="T92" t="str">
        <v/>
      </c>
      <c r="U92" t="str">
        <v/>
      </c>
    </row>
    <row r="93">
      <c r="A93" t="str">
        <v>92</v>
      </c>
      <c r="B93" t="str">
        <v>MASS BSF</v>
      </c>
      <c r="C93" t="str">
        <v>AAR-880</v>
      </c>
      <c r="D93" t="str">
        <v>AAR-880</v>
      </c>
      <c r="E93" t="str">
        <v/>
      </c>
      <c r="F93" t="str">
        <v>867806078847433</v>
      </c>
      <c r="G93" t="str">
        <v>Otro</v>
      </c>
      <c r="H93" t="str">
        <v/>
      </c>
      <c r="I93" t="str">
        <v>28/09/2026</v>
      </c>
      <c r="J93" t="str">
        <v>13:43:03</v>
      </c>
      <c r="K93">
        <v>-12.193338</v>
      </c>
      <c r="L93">
        <v>-76.92696</v>
      </c>
      <c r="M93">
        <f>HYPERLINK("https://www.google.com/maps/search/?api=1&amp;query=-12.193338,-76.92696","Avenida La Mariscala, Villa María del Triunfo, Lima")</f>
      </c>
      <c r="N93">
        <v>0</v>
      </c>
      <c r="O93">
        <v>88</v>
      </c>
      <c r="P93">
        <v>2551.03</v>
      </c>
      <c r="Q93" t="str">
        <v>161.02</v>
      </c>
      <c r="R93" t="str">
        <v/>
      </c>
      <c r="S93" t="str">
        <v/>
      </c>
      <c r="T93" t="str">
        <v/>
      </c>
      <c r="U93" t="str">
        <v/>
      </c>
    </row>
    <row r="94">
      <c r="A94" t="str">
        <v>93</v>
      </c>
      <c r="B94" t="str">
        <v>MASS BSF</v>
      </c>
      <c r="C94" t="str">
        <v>AAR-880</v>
      </c>
      <c r="D94" t="str">
        <v>AAR-880</v>
      </c>
      <c r="E94" t="str">
        <v/>
      </c>
      <c r="F94" t="str">
        <v>867806078847433</v>
      </c>
      <c r="G94" t="str">
        <v>Otro</v>
      </c>
      <c r="H94" t="str">
        <v/>
      </c>
      <c r="I94" t="str">
        <v>28/09/2026</v>
      </c>
      <c r="J94" t="str">
        <v>13:53:03</v>
      </c>
      <c r="K94">
        <v>-12.193338</v>
      </c>
      <c r="L94">
        <v>-76.92696</v>
      </c>
      <c r="M94">
        <f>HYPERLINK("https://www.google.com/maps/search/?api=1&amp;query=-12.193338,-76.92696","Avenida La Mariscala, Villa María del Triunfo, Lima")</f>
      </c>
      <c r="N94">
        <v>0</v>
      </c>
      <c r="O94">
        <v>88</v>
      </c>
      <c r="P94">
        <v>2551.03</v>
      </c>
      <c r="Q94" t="str">
        <v>161.02</v>
      </c>
      <c r="R94" t="str">
        <v/>
      </c>
      <c r="S94" t="str">
        <v/>
      </c>
      <c r="T94" t="str">
        <v/>
      </c>
      <c r="U94" t="str">
        <v/>
      </c>
    </row>
    <row r="95">
      <c r="A95" t="str">
        <v>94</v>
      </c>
      <c r="B95" t="str">
        <v>MASS BSF</v>
      </c>
      <c r="C95" t="str">
        <v>AAR-880</v>
      </c>
      <c r="D95" t="str">
        <v>AAR-880</v>
      </c>
      <c r="E95" t="str">
        <v/>
      </c>
      <c r="F95" t="str">
        <v>867806078847433</v>
      </c>
      <c r="G95" t="str">
        <v>Otro</v>
      </c>
      <c r="H95" t="str">
        <v/>
      </c>
      <c r="I95" t="str">
        <v>28/09/2026</v>
      </c>
      <c r="J95" t="str">
        <v>14:03:03</v>
      </c>
      <c r="K95">
        <v>-12.193338</v>
      </c>
      <c r="L95">
        <v>-76.92696</v>
      </c>
      <c r="M95">
        <f>HYPERLINK("https://www.google.com/maps/search/?api=1&amp;query=-12.193338,-76.92696","Avenida La Mariscala, Villa María del Triunfo, Lima")</f>
      </c>
      <c r="N95">
        <v>0</v>
      </c>
      <c r="O95">
        <v>55</v>
      </c>
      <c r="P95">
        <v>2551.03</v>
      </c>
      <c r="Q95" t="str">
        <v>161.18</v>
      </c>
      <c r="R95" t="str">
        <v/>
      </c>
      <c r="S95" t="str">
        <v/>
      </c>
      <c r="T95" t="str">
        <v/>
      </c>
      <c r="U95" t="str">
        <v/>
      </c>
    </row>
    <row r="96">
      <c r="A96" t="str">
        <v>95</v>
      </c>
      <c r="B96" t="str">
        <v>MASS BSF</v>
      </c>
      <c r="C96" t="str">
        <v>AAR-880</v>
      </c>
      <c r="D96" t="str">
        <v>AAR-880</v>
      </c>
      <c r="E96" t="str">
        <v/>
      </c>
      <c r="F96" t="str">
        <v>867806078847433</v>
      </c>
      <c r="G96" t="str">
        <v>Otro</v>
      </c>
      <c r="H96" t="str">
        <v/>
      </c>
      <c r="I96" t="str">
        <v>28/09/2026</v>
      </c>
      <c r="J96" t="str">
        <v>14:13:03</v>
      </c>
      <c r="K96">
        <v>-12.193338</v>
      </c>
      <c r="L96">
        <v>-76.92696</v>
      </c>
      <c r="M96">
        <f>HYPERLINK("https://www.google.com/maps/search/?api=1&amp;query=-12.193338,-76.92696","Avenida La Mariscala, Villa María del Triunfo, Lima")</f>
      </c>
      <c r="N96">
        <v>0</v>
      </c>
      <c r="O96">
        <v>55</v>
      </c>
      <c r="P96">
        <v>2551.03</v>
      </c>
      <c r="Q96" t="str">
        <v>161.18</v>
      </c>
      <c r="R96" t="str">
        <v/>
      </c>
      <c r="S96" t="str">
        <v/>
      </c>
      <c r="T96" t="str">
        <v/>
      </c>
      <c r="U96" t="str">
        <v/>
      </c>
    </row>
    <row r="97">
      <c r="A97" t="str">
        <v>96</v>
      </c>
      <c r="B97" t="str">
        <v>MASS BSF</v>
      </c>
      <c r="C97" t="str">
        <v>AAR-880</v>
      </c>
      <c r="D97" t="str">
        <v>AAR-880</v>
      </c>
      <c r="E97" t="str">
        <v/>
      </c>
      <c r="F97" t="str">
        <v>867806078847433</v>
      </c>
      <c r="G97" t="str">
        <v>Otro</v>
      </c>
      <c r="H97" t="str">
        <v/>
      </c>
      <c r="I97" t="str">
        <v>28/09/2026</v>
      </c>
      <c r="J97" t="str">
        <v>14:14:42</v>
      </c>
      <c r="K97">
        <v>-12.193338</v>
      </c>
      <c r="L97">
        <v>-76.92696</v>
      </c>
      <c r="M97">
        <f>HYPERLINK("https://www.google.com/maps/search/?api=1&amp;query=-12.193338,-76.92696","Avenida La Mariscala, Villa María del Triunfo, Lima")</f>
      </c>
      <c r="N97">
        <v>0</v>
      </c>
      <c r="O97">
        <v>51</v>
      </c>
      <c r="P97">
        <v>2551.03</v>
      </c>
      <c r="Q97" t="str">
        <v>161.18</v>
      </c>
      <c r="R97" t="str">
        <v>Fuente principal conectada</v>
      </c>
      <c r="S97" t="str">
        <v/>
      </c>
      <c r="T97" t="str">
        <v/>
      </c>
      <c r="U97" t="str">
        <v/>
      </c>
    </row>
    <row r="98">
      <c r="A98" t="str">
        <v>97</v>
      </c>
      <c r="B98" t="str">
        <v>MASS BSF</v>
      </c>
      <c r="C98" t="str">
        <v>AAR-880</v>
      </c>
      <c r="D98" t="str">
        <v>AAR-880</v>
      </c>
      <c r="E98" t="str">
        <v/>
      </c>
      <c r="F98" t="str">
        <v>867806078847433</v>
      </c>
      <c r="G98" t="str">
        <v>Otro</v>
      </c>
      <c r="H98" t="str">
        <v/>
      </c>
      <c r="I98" t="str">
        <v>28/09/2026</v>
      </c>
      <c r="J98" t="str">
        <v>14:18:17</v>
      </c>
      <c r="K98">
        <v>-12.193338</v>
      </c>
      <c r="L98">
        <v>-76.92696</v>
      </c>
      <c r="M98">
        <f>HYPERLINK("https://www.google.com/maps/search/?api=1&amp;query=-12.193338,-76.92696","Avenida La Mariscala, Villa María del Triunfo, Lima")</f>
      </c>
      <c r="N98">
        <v>0</v>
      </c>
      <c r="O98">
        <v>51</v>
      </c>
      <c r="P98">
        <v>2551.03</v>
      </c>
      <c r="Q98" t="str">
        <v>161.18</v>
      </c>
      <c r="R98" t="str">
        <v>Vehículo encendido</v>
      </c>
      <c r="S98" t="str">
        <v/>
      </c>
      <c r="T98" t="str">
        <v/>
      </c>
      <c r="U98" t="str">
        <v/>
      </c>
    </row>
    <row r="99">
      <c r="A99" t="str">
        <v>98</v>
      </c>
      <c r="B99" t="str">
        <v>MASS BSF</v>
      </c>
      <c r="C99" t="str">
        <v>AAR-880</v>
      </c>
      <c r="D99" t="str">
        <v>AAR-880</v>
      </c>
      <c r="E99" t="str">
        <v/>
      </c>
      <c r="F99" t="str">
        <v>867806078847433</v>
      </c>
      <c r="G99" t="str">
        <v>Otro</v>
      </c>
      <c r="H99" t="str">
        <v/>
      </c>
      <c r="I99" t="str">
        <v>28/09/2026</v>
      </c>
      <c r="J99" t="str">
        <v>14:18:17</v>
      </c>
      <c r="K99">
        <v>-12.193338</v>
      </c>
      <c r="L99">
        <v>-76.92696</v>
      </c>
      <c r="M99">
        <f>HYPERLINK("https://www.google.com/maps/search/?api=1&amp;query=-12.193338,-76.92696","Avenida La Mariscala, Villa María del Triunfo, Lima")</f>
      </c>
      <c r="N99">
        <v>0</v>
      </c>
      <c r="O99">
        <v>51</v>
      </c>
      <c r="P99">
        <v>2551.03</v>
      </c>
      <c r="Q99" t="str">
        <v>161.18</v>
      </c>
      <c r="R99" t="str">
        <v>Se movio</v>
      </c>
      <c r="S99" t="str">
        <v/>
      </c>
      <c r="T99" t="str">
        <v/>
      </c>
      <c r="U99" t="str">
        <v/>
      </c>
    </row>
    <row r="100">
      <c r="A100" t="str">
        <v>99</v>
      </c>
      <c r="B100" t="str">
        <v>MASS BSF</v>
      </c>
      <c r="C100" t="str">
        <v>AAR-880</v>
      </c>
      <c r="D100" t="str">
        <v>AAR-880</v>
      </c>
      <c r="E100" t="str">
        <v/>
      </c>
      <c r="F100" t="str">
        <v>867806078847433</v>
      </c>
      <c r="G100" t="str">
        <v>Otro</v>
      </c>
      <c r="H100" t="str">
        <v/>
      </c>
      <c r="I100" t="str">
        <v>28/09/2026</v>
      </c>
      <c r="J100" t="str">
        <v>14:18:24</v>
      </c>
      <c r="K100">
        <v>-12.193343</v>
      </c>
      <c r="L100">
        <v>-76.92703</v>
      </c>
      <c r="M100">
        <f>HYPERLINK("https://www.google.com/maps/search/?api=1&amp;query=-12.193343,-76.92703","Avenida La Mariscala, Villa María del Triunfo, Lima")</f>
      </c>
      <c r="N100">
        <v>6.4</v>
      </c>
      <c r="O100">
        <v>51</v>
      </c>
      <c r="P100">
        <v>2551.05</v>
      </c>
      <c r="Q100" t="str">
        <v>161.18</v>
      </c>
      <c r="R100" t="str">
        <v/>
      </c>
      <c r="S100" t="str">
        <v/>
      </c>
      <c r="T100" t="str">
        <v/>
      </c>
      <c r="U100" t="str">
        <v/>
      </c>
    </row>
    <row r="101">
      <c r="A101" t="str">
        <v>100</v>
      </c>
      <c r="B101" t="str">
        <v>MASS BSF</v>
      </c>
      <c r="C101" t="str">
        <v>AAR-880</v>
      </c>
      <c r="D101" t="str">
        <v>AAR-880</v>
      </c>
      <c r="E101" t="str">
        <v/>
      </c>
      <c r="F101" t="str">
        <v>867806078847433</v>
      </c>
      <c r="G101" t="str">
        <v>Otro</v>
      </c>
      <c r="H101" t="str">
        <v/>
      </c>
      <c r="I101" t="str">
        <v>28/09/2026</v>
      </c>
      <c r="J101" t="str">
        <v>14:19:00</v>
      </c>
      <c r="K101">
        <v>-12.19345</v>
      </c>
      <c r="L101">
        <v>-76.92718</v>
      </c>
      <c r="M101">
        <f>HYPERLINK("https://www.google.com/maps/search/?api=1&amp;query=-12.19345,-76.92718","Jirón Ramón Castilla, Villa María del Triunfo, Lima")</f>
      </c>
      <c r="N101">
        <v>6.1</v>
      </c>
      <c r="O101">
        <v>51</v>
      </c>
      <c r="P101">
        <v>2551.06</v>
      </c>
      <c r="Q101" t="str">
        <v>161.18</v>
      </c>
      <c r="R101" t="str">
        <v/>
      </c>
      <c r="S101" t="str">
        <v/>
      </c>
      <c r="T101" t="str">
        <v/>
      </c>
      <c r="U101" t="str">
        <v/>
      </c>
    </row>
    <row r="102">
      <c r="A102" t="str">
        <v>101</v>
      </c>
      <c r="B102" t="str">
        <v>MASS BSF</v>
      </c>
      <c r="C102" t="str">
        <v>AAR-880</v>
      </c>
      <c r="D102" t="str">
        <v>AAR-880</v>
      </c>
      <c r="E102" t="str">
        <v/>
      </c>
      <c r="F102" t="str">
        <v>867806078847433</v>
      </c>
      <c r="G102" t="str">
        <v>Otro</v>
      </c>
      <c r="H102" t="str">
        <v/>
      </c>
      <c r="I102" t="str">
        <v>28/09/2026</v>
      </c>
      <c r="J102" t="str">
        <v>14:19:05</v>
      </c>
      <c r="K102">
        <v>-12.193499</v>
      </c>
      <c r="L102">
        <v>-76.92724</v>
      </c>
      <c r="M102">
        <f>HYPERLINK("https://www.google.com/maps/search/?api=1&amp;query=-12.193499,-76.92724","Jirón Ramón Castilla, Villa María del Triunfo, Lima")</f>
      </c>
      <c r="N102">
        <v>7.2</v>
      </c>
      <c r="O102">
        <v>51</v>
      </c>
      <c r="P102">
        <v>2551.07</v>
      </c>
      <c r="Q102" t="str">
        <v>161.18</v>
      </c>
      <c r="R102" t="str">
        <v/>
      </c>
      <c r="S102" t="str">
        <v/>
      </c>
      <c r="T102" t="str">
        <v/>
      </c>
      <c r="U102" t="str">
        <v/>
      </c>
    </row>
    <row r="103">
      <c r="A103" t="str">
        <v>102</v>
      </c>
      <c r="B103" t="str">
        <v>MASS BSF</v>
      </c>
      <c r="C103" t="str">
        <v>AAR-880</v>
      </c>
      <c r="D103" t="str">
        <v>AAR-880</v>
      </c>
      <c r="E103" t="str">
        <v/>
      </c>
      <c r="F103" t="str">
        <v>867806078847433</v>
      </c>
      <c r="G103" t="str">
        <v>Otro</v>
      </c>
      <c r="H103" t="str">
        <v/>
      </c>
      <c r="I103" t="str">
        <v>28/09/2026</v>
      </c>
      <c r="J103" t="str">
        <v>14:19:10</v>
      </c>
      <c r="K103">
        <v>-12.19357</v>
      </c>
      <c r="L103">
        <v>-76.9272</v>
      </c>
      <c r="M103">
        <f>HYPERLINK("https://www.google.com/maps/search/?api=1&amp;query=-12.19357,-76.9272","Jirón Ramón Castilla, Villa María del Triunfo, Lima")</f>
      </c>
      <c r="N103">
        <v>6.8</v>
      </c>
      <c r="O103">
        <v>51</v>
      </c>
      <c r="P103">
        <v>2551.08</v>
      </c>
      <c r="Q103" t="str">
        <v>161.18</v>
      </c>
      <c r="R103" t="str">
        <v/>
      </c>
      <c r="S103" t="str">
        <v/>
      </c>
      <c r="T103" t="str">
        <v/>
      </c>
      <c r="U103" t="str">
        <v/>
      </c>
    </row>
    <row r="104">
      <c r="A104" t="str">
        <v>103</v>
      </c>
      <c r="B104" t="str">
        <v>MASS BSF</v>
      </c>
      <c r="C104" t="str">
        <v>AAR-880</v>
      </c>
      <c r="D104" t="str">
        <v>AAR-880</v>
      </c>
      <c r="E104" t="str">
        <v/>
      </c>
      <c r="F104" t="str">
        <v>867806078847433</v>
      </c>
      <c r="G104" t="str">
        <v>Otro</v>
      </c>
      <c r="H104" t="str">
        <v/>
      </c>
      <c r="I104" t="str">
        <v>28/09/2026</v>
      </c>
      <c r="J104" t="str">
        <v>14:19:15</v>
      </c>
      <c r="K104">
        <v>-12.193651</v>
      </c>
      <c r="L104">
        <v>-76.92717</v>
      </c>
      <c r="M104">
        <f>HYPERLINK("https://www.google.com/maps/search/?api=1&amp;query=-12.193651,-76.92717","Jirón Ramón Castilla, Villa María del Triunfo, Lima")</f>
      </c>
      <c r="N104">
        <v>7.2</v>
      </c>
      <c r="O104">
        <v>51</v>
      </c>
      <c r="P104">
        <v>2551.09</v>
      </c>
      <c r="Q104" t="str">
        <v>161.18</v>
      </c>
      <c r="R104" t="str">
        <v/>
      </c>
      <c r="S104" t="str">
        <v/>
      </c>
      <c r="T104" t="str">
        <v/>
      </c>
      <c r="U104" t="str">
        <v/>
      </c>
    </row>
    <row r="105">
      <c r="A105" t="str">
        <v>104</v>
      </c>
      <c r="B105" t="str">
        <v>MASS BSF</v>
      </c>
      <c r="C105" t="str">
        <v>AAR-880</v>
      </c>
      <c r="D105" t="str">
        <v>AAR-880</v>
      </c>
      <c r="E105" t="str">
        <v/>
      </c>
      <c r="F105" t="str">
        <v>867806078847433</v>
      </c>
      <c r="G105" t="str">
        <v>Otro</v>
      </c>
      <c r="H105" t="str">
        <v/>
      </c>
      <c r="I105" t="str">
        <v>28/09/2026</v>
      </c>
      <c r="J105" t="str">
        <v>14:19:20</v>
      </c>
      <c r="K105">
        <v>-12.193645</v>
      </c>
      <c r="L105">
        <v>-76.92708</v>
      </c>
      <c r="M105">
        <f>HYPERLINK("https://www.google.com/maps/search/?api=1&amp;query=-12.193645,-76.92708","Avenida La Mariscala, Villa María del Triunfo, Lima")</f>
      </c>
      <c r="N105">
        <v>7.9</v>
      </c>
      <c r="O105">
        <v>78</v>
      </c>
      <c r="P105">
        <v>2551.1</v>
      </c>
      <c r="Q105" t="str">
        <v>161.18</v>
      </c>
      <c r="R105" t="str">
        <v/>
      </c>
      <c r="S105" t="str">
        <v/>
      </c>
      <c r="T105" t="str">
        <v/>
      </c>
      <c r="U105" t="str">
        <v/>
      </c>
    </row>
    <row r="106">
      <c r="A106" t="str">
        <v>105</v>
      </c>
      <c r="B106" t="str">
        <v>MASS BSF</v>
      </c>
      <c r="C106" t="str">
        <v>AAR-880</v>
      </c>
      <c r="D106" t="str">
        <v>AAR-880</v>
      </c>
      <c r="E106" t="str">
        <v/>
      </c>
      <c r="F106" t="str">
        <v>867806078847433</v>
      </c>
      <c r="G106" t="str">
        <v>Otro</v>
      </c>
      <c r="H106" t="str">
        <v/>
      </c>
      <c r="I106" t="str">
        <v>28/09/2026</v>
      </c>
      <c r="J106" t="str">
        <v>14:19:37</v>
      </c>
      <c r="K106">
        <v>-12.193397</v>
      </c>
      <c r="L106">
        <v>-76.92666</v>
      </c>
      <c r="M106">
        <f>HYPERLINK("https://www.google.com/maps/search/?api=1&amp;query=-12.193397,-76.92666","Avenida La Mariscala, Villa María del Triunfo, Lima")</f>
      </c>
      <c r="N106">
        <v>11.1</v>
      </c>
      <c r="O106">
        <v>78</v>
      </c>
      <c r="P106">
        <v>2551.15</v>
      </c>
      <c r="Q106" t="str">
        <v>161.18</v>
      </c>
      <c r="R106" t="str">
        <v/>
      </c>
      <c r="S106" t="str">
        <v/>
      </c>
      <c r="T106" t="str">
        <v/>
      </c>
      <c r="U106" t="str">
        <v/>
      </c>
    </row>
    <row r="107">
      <c r="A107" t="str">
        <v>106</v>
      </c>
      <c r="B107" t="str">
        <v>MASS BSF</v>
      </c>
      <c r="C107" t="str">
        <v>AAR-880</v>
      </c>
      <c r="D107" t="str">
        <v>AAR-880</v>
      </c>
      <c r="E107" t="str">
        <v/>
      </c>
      <c r="F107" t="str">
        <v>867806078847433</v>
      </c>
      <c r="G107" t="str">
        <v>Otro</v>
      </c>
      <c r="H107" t="str">
        <v/>
      </c>
      <c r="I107" t="str">
        <v>28/09/2026</v>
      </c>
      <c r="J107" t="str">
        <v>14:20:37</v>
      </c>
      <c r="K107">
        <v>-12.193407</v>
      </c>
      <c r="L107">
        <v>-76.926674</v>
      </c>
      <c r="M107">
        <f>HYPERLINK("https://www.google.com/maps/search/?api=1&amp;query=-12.193407,-76.926674","Avenida La Mariscala, Villa María del Triunfo, Lima")</f>
      </c>
      <c r="N107">
        <v>0</v>
      </c>
      <c r="O107">
        <v>78</v>
      </c>
      <c r="P107">
        <v>2551.16</v>
      </c>
      <c r="Q107" t="str">
        <v>161.18</v>
      </c>
      <c r="R107" t="str">
        <v/>
      </c>
      <c r="S107" t="str">
        <v/>
      </c>
      <c r="T107" t="str">
        <v/>
      </c>
      <c r="U107" t="str">
        <v/>
      </c>
    </row>
    <row r="108">
      <c r="A108" t="str">
        <v>107</v>
      </c>
      <c r="B108" t="str">
        <v>MASS BSF</v>
      </c>
      <c r="C108" t="str">
        <v>AAR-880</v>
      </c>
      <c r="D108" t="str">
        <v>AAR-880</v>
      </c>
      <c r="E108" t="str">
        <v/>
      </c>
      <c r="F108" t="str">
        <v>867806078847433</v>
      </c>
      <c r="G108" t="str">
        <v>Otro</v>
      </c>
      <c r="H108" t="str">
        <v/>
      </c>
      <c r="I108" t="str">
        <v>28/09/2026</v>
      </c>
      <c r="J108" t="str">
        <v>14:20:46</v>
      </c>
      <c r="K108">
        <v>-12.193354</v>
      </c>
      <c r="L108">
        <v>-76.92656</v>
      </c>
      <c r="M108">
        <f>HYPERLINK("https://www.google.com/maps/search/?api=1&amp;query=-12.193354,-76.92656","Avenida La Mariscala, Villa María del Triunfo, Lima")</f>
      </c>
      <c r="N108">
        <v>10.1</v>
      </c>
      <c r="O108">
        <v>78</v>
      </c>
      <c r="P108">
        <v>2551.17</v>
      </c>
      <c r="Q108" t="str">
        <v>161.18</v>
      </c>
      <c r="R108" t="str">
        <v/>
      </c>
      <c r="S108" t="str">
        <v/>
      </c>
      <c r="T108" t="str">
        <v/>
      </c>
      <c r="U108" t="str">
        <v/>
      </c>
    </row>
    <row r="109">
      <c r="A109" t="str">
        <v>108</v>
      </c>
      <c r="B109" t="str">
        <v>MASS BSF</v>
      </c>
      <c r="C109" t="str">
        <v>AAR-880</v>
      </c>
      <c r="D109" t="str">
        <v>AAR-880</v>
      </c>
      <c r="E109" t="str">
        <v/>
      </c>
      <c r="F109" t="str">
        <v>867806078847433</v>
      </c>
      <c r="G109" t="str">
        <v>Otro</v>
      </c>
      <c r="H109" t="str">
        <v/>
      </c>
      <c r="I109" t="str">
        <v>28/09/2026</v>
      </c>
      <c r="J109" t="str">
        <v>14:21:46</v>
      </c>
      <c r="K109">
        <v>-12.193334</v>
      </c>
      <c r="L109">
        <v>-76.92649</v>
      </c>
      <c r="M109">
        <f>HYPERLINK("https://www.google.com/maps/search/?api=1&amp;query=-12.193334,-76.92649","Avenida La Mariscala, Villa María del Triunfo, Lima")</f>
      </c>
      <c r="N109">
        <v>0</v>
      </c>
      <c r="O109">
        <v>78</v>
      </c>
      <c r="P109">
        <v>2551.2</v>
      </c>
      <c r="Q109" t="str">
        <v>161.18</v>
      </c>
      <c r="R109" t="str">
        <v/>
      </c>
      <c r="S109" t="str">
        <v/>
      </c>
      <c r="T109" t="str">
        <v/>
      </c>
      <c r="U109" t="str">
        <v/>
      </c>
    </row>
    <row r="110">
      <c r="A110" t="str">
        <v>109</v>
      </c>
      <c r="B110" t="str">
        <v>MASS BSF</v>
      </c>
      <c r="C110" t="str">
        <v>AAR-880</v>
      </c>
      <c r="D110" t="str">
        <v>AAR-880</v>
      </c>
      <c r="E110" t="str">
        <v/>
      </c>
      <c r="F110" t="str">
        <v>867806078847433</v>
      </c>
      <c r="G110" t="str">
        <v>Otro</v>
      </c>
      <c r="H110" t="str">
        <v/>
      </c>
      <c r="I110" t="str">
        <v>28/09/2026</v>
      </c>
      <c r="J110" t="str">
        <v>14:22:46</v>
      </c>
      <c r="K110">
        <v>-12.193385</v>
      </c>
      <c r="L110">
        <v>-76.92659</v>
      </c>
      <c r="M110">
        <f>HYPERLINK("https://www.google.com/maps/search/?api=1&amp;query=-12.193385,-76.92659","Avenida La Mariscala, Villa María del Triunfo, Lima")</f>
      </c>
      <c r="N110">
        <v>1.4</v>
      </c>
      <c r="O110">
        <v>82</v>
      </c>
      <c r="P110">
        <v>2551.21</v>
      </c>
      <c r="Q110" t="str">
        <v>161.18</v>
      </c>
      <c r="R110" t="str">
        <v/>
      </c>
      <c r="S110" t="str">
        <v/>
      </c>
      <c r="T110" t="str">
        <v/>
      </c>
      <c r="U110" t="str">
        <v/>
      </c>
    </row>
    <row r="111">
      <c r="A111" t="str">
        <v>110</v>
      </c>
      <c r="B111" t="str">
        <v>MASS BSF</v>
      </c>
      <c r="C111" t="str">
        <v>AAR-880</v>
      </c>
      <c r="D111" t="str">
        <v>AAR-880</v>
      </c>
      <c r="E111" t="str">
        <v/>
      </c>
      <c r="F111" t="str">
        <v>867806078847433</v>
      </c>
      <c r="G111" t="str">
        <v>Otro</v>
      </c>
      <c r="H111" t="str">
        <v/>
      </c>
      <c r="I111" t="str">
        <v>28/09/2026</v>
      </c>
      <c r="J111" t="str">
        <v>14:23:46</v>
      </c>
      <c r="K111">
        <v>-12.193387</v>
      </c>
      <c r="L111">
        <v>-76.9266</v>
      </c>
      <c r="M111">
        <f>HYPERLINK("https://www.google.com/maps/search/?api=1&amp;query=-12.193387,-76.9266","Avenida La Mariscala, Villa María del Triunfo, Lima")</f>
      </c>
      <c r="N111">
        <v>0</v>
      </c>
      <c r="O111">
        <v>82</v>
      </c>
      <c r="P111">
        <v>2551.21</v>
      </c>
      <c r="Q111" t="str">
        <v>161.18</v>
      </c>
      <c r="R111" t="str">
        <v/>
      </c>
      <c r="S111" t="str">
        <v/>
      </c>
      <c r="T111" t="str">
        <v/>
      </c>
      <c r="U111" t="str">
        <v/>
      </c>
    </row>
    <row r="112">
      <c r="A112" t="str">
        <v>111</v>
      </c>
      <c r="B112" t="str">
        <v>MASS BSF</v>
      </c>
      <c r="C112" t="str">
        <v>AAR-880</v>
      </c>
      <c r="D112" t="str">
        <v>AAR-880</v>
      </c>
      <c r="E112" t="str">
        <v/>
      </c>
      <c r="F112" t="str">
        <v>867806078847433</v>
      </c>
      <c r="G112" t="str">
        <v>Otro</v>
      </c>
      <c r="H112" t="str">
        <v/>
      </c>
      <c r="I112" t="str">
        <v>28/09/2026</v>
      </c>
      <c r="J112" t="str">
        <v>14:24:46</v>
      </c>
      <c r="K112">
        <v>-12.193407</v>
      </c>
      <c r="L112">
        <v>-76.92673</v>
      </c>
      <c r="M112">
        <f>HYPERLINK("https://www.google.com/maps/search/?api=1&amp;query=-12.193407,-76.92673","Avenida La Mariscala, Villa María del Triunfo, Lima")</f>
      </c>
      <c r="N112">
        <v>0</v>
      </c>
      <c r="O112">
        <v>82</v>
      </c>
      <c r="P112">
        <v>2551.22</v>
      </c>
      <c r="Q112" t="str">
        <v>161.18</v>
      </c>
      <c r="R112" t="str">
        <v/>
      </c>
      <c r="S112" t="str">
        <v/>
      </c>
      <c r="T112" t="str">
        <v/>
      </c>
      <c r="U112" t="str">
        <v/>
      </c>
    </row>
    <row r="113">
      <c r="A113" t="str">
        <v>112</v>
      </c>
      <c r="B113" t="str">
        <v>MASS BSF</v>
      </c>
      <c r="C113" t="str">
        <v>AAR-880</v>
      </c>
      <c r="D113" t="str">
        <v>AAR-880</v>
      </c>
      <c r="E113" t="str">
        <v/>
      </c>
      <c r="F113" t="str">
        <v>867806078847433</v>
      </c>
      <c r="G113" t="str">
        <v>Otro</v>
      </c>
      <c r="H113" t="str">
        <v/>
      </c>
      <c r="I113" t="str">
        <v>28/09/2026</v>
      </c>
      <c r="J113" t="str">
        <v>14:25:46</v>
      </c>
      <c r="K113">
        <v>-12.193407</v>
      </c>
      <c r="L113">
        <v>-76.92673</v>
      </c>
      <c r="M113">
        <f>HYPERLINK("https://www.google.com/maps/search/?api=1&amp;query=-12.193407,-76.92673","Avenida La Mariscala, Villa María del Triunfo, Lima")</f>
      </c>
      <c r="N113">
        <v>0</v>
      </c>
      <c r="O113">
        <v>82</v>
      </c>
      <c r="P113">
        <v>2551.22</v>
      </c>
      <c r="Q113" t="str">
        <v>161.40</v>
      </c>
      <c r="R113" t="str">
        <v/>
      </c>
      <c r="S113" t="str">
        <v/>
      </c>
      <c r="T113" t="str">
        <v/>
      </c>
      <c r="U113" t="str">
        <v/>
      </c>
    </row>
    <row r="114">
      <c r="A114" t="str">
        <v>113</v>
      </c>
      <c r="B114" t="str">
        <v>MASS BSF</v>
      </c>
      <c r="C114" t="str">
        <v>AAR-880</v>
      </c>
      <c r="D114" t="str">
        <v>AAR-880</v>
      </c>
      <c r="E114" t="str">
        <v/>
      </c>
      <c r="F114" t="str">
        <v>867806078847433</v>
      </c>
      <c r="G114" t="str">
        <v>Otro</v>
      </c>
      <c r="H114" t="str">
        <v/>
      </c>
      <c r="I114" t="str">
        <v>28/09/2026</v>
      </c>
      <c r="J114" t="str">
        <v>14:26:46</v>
      </c>
      <c r="K114">
        <v>-12.193432</v>
      </c>
      <c r="L114">
        <v>-76.92679</v>
      </c>
      <c r="M114">
        <f>HYPERLINK("https://www.google.com/maps/search/?api=1&amp;query=-12.193432,-76.92679","Avenida La Mariscala, Villa María del Triunfo, Lima")</f>
      </c>
      <c r="N114">
        <v>0</v>
      </c>
      <c r="O114">
        <v>82</v>
      </c>
      <c r="P114">
        <v>2551.23</v>
      </c>
      <c r="Q114" t="str">
        <v>161.18</v>
      </c>
      <c r="R114" t="str">
        <v/>
      </c>
      <c r="S114" t="str">
        <v/>
      </c>
      <c r="T114" t="str">
        <v/>
      </c>
      <c r="U114" t="str">
        <v/>
      </c>
    </row>
    <row r="115">
      <c r="A115" t="str">
        <v>114</v>
      </c>
      <c r="B115" t="str">
        <v>MASS BSF</v>
      </c>
      <c r="C115" t="str">
        <v>AAR-880</v>
      </c>
      <c r="D115" t="str">
        <v>AAR-880</v>
      </c>
      <c r="E115" t="str">
        <v/>
      </c>
      <c r="F115" t="str">
        <v>867806078847433</v>
      </c>
      <c r="G115" t="str">
        <v>Otro</v>
      </c>
      <c r="H115" t="str">
        <v/>
      </c>
      <c r="I115" t="str">
        <v>28/09/2026</v>
      </c>
      <c r="J115" t="str">
        <v>14:27:46</v>
      </c>
      <c r="K115">
        <v>-12.193432</v>
      </c>
      <c r="L115">
        <v>-76.92679</v>
      </c>
      <c r="M115">
        <f>HYPERLINK("https://www.google.com/maps/search/?api=1&amp;query=-12.193432,-76.92679","Avenida La Mariscala, Villa María del Triunfo, Lima")</f>
      </c>
      <c r="N115">
        <v>0</v>
      </c>
      <c r="O115">
        <v>82</v>
      </c>
      <c r="P115">
        <v>2551.23</v>
      </c>
      <c r="Q115" t="str">
        <v>161.18</v>
      </c>
      <c r="R115" t="str">
        <v/>
      </c>
      <c r="S115" t="str">
        <v/>
      </c>
      <c r="T115" t="str">
        <v/>
      </c>
      <c r="U115" t="str">
        <v/>
      </c>
    </row>
    <row r="116">
      <c r="A116" t="str">
        <v>115</v>
      </c>
      <c r="B116" t="str">
        <v>MASS BSF</v>
      </c>
      <c r="C116" t="str">
        <v>AAR-880</v>
      </c>
      <c r="D116" t="str">
        <v>AAR-880</v>
      </c>
      <c r="E116" t="str">
        <v/>
      </c>
      <c r="F116" t="str">
        <v>867806078847433</v>
      </c>
      <c r="G116" t="str">
        <v>Otro</v>
      </c>
      <c r="H116" t="str">
        <v/>
      </c>
      <c r="I116" t="str">
        <v>28/09/2026</v>
      </c>
      <c r="J116" t="str">
        <v>14:28:46</v>
      </c>
      <c r="K116">
        <v>-12.193432</v>
      </c>
      <c r="L116">
        <v>-76.92679</v>
      </c>
      <c r="M116">
        <f>HYPERLINK("https://www.google.com/maps/search/?api=1&amp;query=-12.193432,-76.92679","Avenida La Mariscala, Villa María del Triunfo, Lima")</f>
      </c>
      <c r="N116">
        <v>0</v>
      </c>
      <c r="O116">
        <v>82</v>
      </c>
      <c r="P116">
        <v>2551.23</v>
      </c>
      <c r="Q116" t="str">
        <v>161.18</v>
      </c>
      <c r="R116" t="str">
        <v/>
      </c>
      <c r="S116" t="str">
        <v/>
      </c>
      <c r="T116" t="str">
        <v/>
      </c>
      <c r="U116" t="str">
        <v/>
      </c>
    </row>
    <row r="117">
      <c r="A117" t="str">
        <v>116</v>
      </c>
      <c r="B117" t="str">
        <v>MASS BSF</v>
      </c>
      <c r="C117" t="str">
        <v>AAR-880</v>
      </c>
      <c r="D117" t="str">
        <v>AAR-880</v>
      </c>
      <c r="E117" t="str">
        <v/>
      </c>
      <c r="F117" t="str">
        <v>867806078847433</v>
      </c>
      <c r="G117" t="str">
        <v>Otro</v>
      </c>
      <c r="H117" t="str">
        <v/>
      </c>
      <c r="I117" t="str">
        <v>28/09/2026</v>
      </c>
      <c r="J117" t="str">
        <v>14:29:46</v>
      </c>
      <c r="K117">
        <v>-12.193414</v>
      </c>
      <c r="L117">
        <v>-76.92682</v>
      </c>
      <c r="M117">
        <f>HYPERLINK("https://www.google.com/maps/search/?api=1&amp;query=-12.193414,-76.92682","Avenida La Mariscala, Villa María del Triunfo, Lima")</f>
      </c>
      <c r="N117">
        <v>0</v>
      </c>
      <c r="O117">
        <v>82</v>
      </c>
      <c r="P117">
        <v>2551.23</v>
      </c>
      <c r="Q117" t="str">
        <v>161.18</v>
      </c>
      <c r="R117" t="str">
        <v/>
      </c>
      <c r="S117" t="str">
        <v/>
      </c>
      <c r="T117" t="str">
        <v/>
      </c>
      <c r="U117" t="str">
        <v/>
      </c>
    </row>
    <row r="118">
      <c r="A118" t="str">
        <v>117</v>
      </c>
      <c r="B118" t="str">
        <v>MASS BSF</v>
      </c>
      <c r="C118" t="str">
        <v>AAR-880</v>
      </c>
      <c r="D118" t="str">
        <v>AAR-880</v>
      </c>
      <c r="E118" t="str">
        <v/>
      </c>
      <c r="F118" t="str">
        <v>867806078847433</v>
      </c>
      <c r="G118" t="str">
        <v>Otro</v>
      </c>
      <c r="H118" t="str">
        <v/>
      </c>
      <c r="I118" t="str">
        <v>28/09/2026</v>
      </c>
      <c r="J118" t="str">
        <v>14:30:46</v>
      </c>
      <c r="K118">
        <v>-12.193414</v>
      </c>
      <c r="L118">
        <v>-76.92682</v>
      </c>
      <c r="M118">
        <f>HYPERLINK("https://www.google.com/maps/search/?api=1&amp;query=-12.193414,-76.92682","Avenida La Mariscala, Villa María del Triunfo, Lima")</f>
      </c>
      <c r="N118">
        <v>0</v>
      </c>
      <c r="O118">
        <v>82</v>
      </c>
      <c r="P118">
        <v>2551.23</v>
      </c>
      <c r="Q118" t="str">
        <v>161.18</v>
      </c>
      <c r="R118" t="str">
        <v/>
      </c>
      <c r="S118" t="str">
        <v/>
      </c>
      <c r="T118" t="str">
        <v/>
      </c>
      <c r="U118" t="str">
        <v/>
      </c>
    </row>
    <row r="119">
      <c r="A119" t="str">
        <v>118</v>
      </c>
      <c r="B119" t="str">
        <v>MASS BSF</v>
      </c>
      <c r="C119" t="str">
        <v>AAR-880</v>
      </c>
      <c r="D119" t="str">
        <v>AAR-880</v>
      </c>
      <c r="E119" t="str">
        <v/>
      </c>
      <c r="F119" t="str">
        <v>867806078847433</v>
      </c>
      <c r="G119" t="str">
        <v>Otro</v>
      </c>
      <c r="H119" t="str">
        <v/>
      </c>
      <c r="I119" t="str">
        <v>28/09/2026</v>
      </c>
      <c r="J119" t="str">
        <v>14:31:36</v>
      </c>
      <c r="K119">
        <v>-12.193414</v>
      </c>
      <c r="L119">
        <v>-76.92682</v>
      </c>
      <c r="M119">
        <f>HYPERLINK("https://www.google.com/maps/search/?api=1&amp;query=-12.193414,-76.92682","Avenida La Mariscala, Villa María del Triunfo, Lima")</f>
      </c>
      <c r="N119">
        <v>0</v>
      </c>
      <c r="O119">
        <v>82</v>
      </c>
      <c r="P119">
        <v>2551.23</v>
      </c>
      <c r="Q119" t="str">
        <v>161.40</v>
      </c>
      <c r="R119" t="str">
        <v>Vehículo apagado</v>
      </c>
      <c r="S119" t="str">
        <v/>
      </c>
      <c r="T119" t="str">
        <v/>
      </c>
      <c r="U119" t="str">
        <v/>
      </c>
    </row>
    <row r="120">
      <c r="A120" t="str">
        <v>119</v>
      </c>
      <c r="B120" t="str">
        <v>MASS BSF</v>
      </c>
      <c r="C120" t="str">
        <v>AAR-880</v>
      </c>
      <c r="D120" t="str">
        <v>AAR-880</v>
      </c>
      <c r="E120" t="str">
        <v/>
      </c>
      <c r="F120" t="str">
        <v>867806078847433</v>
      </c>
      <c r="G120" t="str">
        <v>Otro</v>
      </c>
      <c r="H120" t="str">
        <v/>
      </c>
      <c r="I120" t="str">
        <v>28/09/2026</v>
      </c>
      <c r="J120" t="str">
        <v>14:41:36</v>
      </c>
      <c r="K120">
        <v>-12.193414</v>
      </c>
      <c r="L120">
        <v>-76.92682</v>
      </c>
      <c r="M120">
        <f>HYPERLINK("https://www.google.com/maps/search/?api=1&amp;query=-12.193414,-76.92682","Avenida La Mariscala, Villa María del Triunfo, Lima")</f>
      </c>
      <c r="N120">
        <v>0</v>
      </c>
      <c r="O120">
        <v>82</v>
      </c>
      <c r="P120">
        <v>2551.23</v>
      </c>
      <c r="Q120" t="str">
        <v>161.40</v>
      </c>
      <c r="R120" t="str">
        <v/>
      </c>
      <c r="S120" t="str">
        <v/>
      </c>
      <c r="T120" t="str">
        <v/>
      </c>
      <c r="U120" t="str">
        <v/>
      </c>
    </row>
    <row r="121">
      <c r="A121" t="str">
        <v>120</v>
      </c>
      <c r="B121" t="str">
        <v>MASS BSF</v>
      </c>
      <c r="C121" t="str">
        <v>AAR-880</v>
      </c>
      <c r="D121" t="str">
        <v>AAR-880</v>
      </c>
      <c r="E121" t="str">
        <v/>
      </c>
      <c r="F121" t="str">
        <v>867806078847433</v>
      </c>
      <c r="G121" t="str">
        <v>Otro</v>
      </c>
      <c r="H121" t="str">
        <v/>
      </c>
      <c r="I121" t="str">
        <v>28/09/2026</v>
      </c>
      <c r="J121" t="str">
        <v>14:41:59</v>
      </c>
      <c r="K121">
        <v>-12.193414</v>
      </c>
      <c r="L121">
        <v>-76.92682</v>
      </c>
      <c r="M121">
        <f>HYPERLINK("https://www.google.com/maps/search/?api=1&amp;query=-12.193414,-76.92682","Avenida La Mariscala, Villa María del Triunfo, Lima")</f>
      </c>
      <c r="N121">
        <v>0</v>
      </c>
      <c r="O121">
        <v>82</v>
      </c>
      <c r="P121">
        <v>2551.23</v>
      </c>
      <c r="Q121" t="str">
        <v>161.40</v>
      </c>
      <c r="R121" t="str">
        <v>Vehículo encendido</v>
      </c>
      <c r="S121" t="str">
        <v/>
      </c>
      <c r="T121" t="str">
        <v/>
      </c>
      <c r="U121" t="str">
        <v/>
      </c>
    </row>
    <row r="122">
      <c r="A122" t="str">
        <v>121</v>
      </c>
      <c r="B122" t="str">
        <v>MASS BSF</v>
      </c>
      <c r="C122" t="str">
        <v>AAR-880</v>
      </c>
      <c r="D122" t="str">
        <v>AAR-880</v>
      </c>
      <c r="E122" t="str">
        <v/>
      </c>
      <c r="F122" t="str">
        <v>867806078847433</v>
      </c>
      <c r="G122" t="str">
        <v>Otro</v>
      </c>
      <c r="H122" t="str">
        <v/>
      </c>
      <c r="I122" t="str">
        <v>28/09/2026</v>
      </c>
      <c r="J122" t="str">
        <v>14:41:59</v>
      </c>
      <c r="K122">
        <v>-12.193414</v>
      </c>
      <c r="L122">
        <v>-76.92682</v>
      </c>
      <c r="M122">
        <f>HYPERLINK("https://www.google.com/maps/search/?api=1&amp;query=-12.193414,-76.92682","Avenida La Mariscala, Villa María del Triunfo, Lima")</f>
      </c>
      <c r="N122">
        <v>0</v>
      </c>
      <c r="O122">
        <v>82</v>
      </c>
      <c r="P122">
        <v>2551.23</v>
      </c>
      <c r="Q122" t="str">
        <v>161.40</v>
      </c>
      <c r="R122" t="str">
        <v>Se movio</v>
      </c>
      <c r="S122" t="str">
        <v/>
      </c>
      <c r="T122" t="str">
        <v/>
      </c>
      <c r="U122" t="str">
        <v/>
      </c>
    </row>
    <row r="123">
      <c r="A123" t="str">
        <v>122</v>
      </c>
      <c r="B123" t="str">
        <v>MASS BSF</v>
      </c>
      <c r="C123" t="str">
        <v>AAR-880</v>
      </c>
      <c r="D123" t="str">
        <v>AAR-880</v>
      </c>
      <c r="E123" t="str">
        <v/>
      </c>
      <c r="F123" t="str">
        <v>867806078847433</v>
      </c>
      <c r="G123" t="str">
        <v>Otro</v>
      </c>
      <c r="H123" t="str">
        <v/>
      </c>
      <c r="I123" t="str">
        <v>28/09/2026</v>
      </c>
      <c r="J123" t="str">
        <v>14:42:59</v>
      </c>
      <c r="K123">
        <v>-12.193401</v>
      </c>
      <c r="L123">
        <v>-76.926704</v>
      </c>
      <c r="M123">
        <f>HYPERLINK("https://www.google.com/maps/search/?api=1&amp;query=-12.193401,-76.926704","Avenida La Mariscala, Villa María del Triunfo, Lima")</f>
      </c>
      <c r="N123">
        <v>0</v>
      </c>
      <c r="O123">
        <v>82</v>
      </c>
      <c r="P123">
        <v>2551.25</v>
      </c>
      <c r="Q123" t="str">
        <v>161.40</v>
      </c>
      <c r="R123" t="str">
        <v/>
      </c>
      <c r="S123" t="str">
        <v/>
      </c>
      <c r="T123" t="str">
        <v/>
      </c>
      <c r="U123" t="str">
        <v/>
      </c>
    </row>
    <row r="124">
      <c r="A124" t="str">
        <v>123</v>
      </c>
      <c r="B124" t="str">
        <v>MASS BSF</v>
      </c>
      <c r="C124" t="str">
        <v>AAR-880</v>
      </c>
      <c r="D124" t="str">
        <v>AAR-880</v>
      </c>
      <c r="E124" t="str">
        <v/>
      </c>
      <c r="F124" t="str">
        <v>867806078847433</v>
      </c>
      <c r="G124" t="str">
        <v>Otro</v>
      </c>
      <c r="H124" t="str">
        <v/>
      </c>
      <c r="I124" t="str">
        <v>28/09/2026</v>
      </c>
      <c r="J124" t="str">
        <v>14:43:39</v>
      </c>
      <c r="K124">
        <v>-12.193457</v>
      </c>
      <c r="L124">
        <v>-76.926636</v>
      </c>
      <c r="M124">
        <f>HYPERLINK("https://www.google.com/maps/search/?api=1&amp;query=-12.193457,-76.926636","Avenida La Mariscala, Villa María del Triunfo, Lima")</f>
      </c>
      <c r="N124">
        <v>6.4</v>
      </c>
      <c r="O124">
        <v>82</v>
      </c>
      <c r="P124">
        <v>2551.26</v>
      </c>
      <c r="Q124" t="str">
        <v>161.40</v>
      </c>
      <c r="R124" t="str">
        <v/>
      </c>
      <c r="S124" t="str">
        <v/>
      </c>
      <c r="T124" t="str">
        <v/>
      </c>
      <c r="U124" t="str">
        <v/>
      </c>
    </row>
    <row r="125">
      <c r="A125" t="str">
        <v>124</v>
      </c>
      <c r="B125" t="str">
        <v>MASS BSF</v>
      </c>
      <c r="C125" t="str">
        <v>AAR-880</v>
      </c>
      <c r="D125" t="str">
        <v>AAR-880</v>
      </c>
      <c r="E125" t="str">
        <v/>
      </c>
      <c r="F125" t="str">
        <v>867806078847433</v>
      </c>
      <c r="G125" t="str">
        <v>Otro</v>
      </c>
      <c r="H125" t="str">
        <v/>
      </c>
      <c r="I125" t="str">
        <v>28/09/2026</v>
      </c>
      <c r="J125" t="str">
        <v>14:43:44</v>
      </c>
      <c r="K125">
        <v>-12.193517</v>
      </c>
      <c r="L125">
        <v>-76.92677</v>
      </c>
      <c r="M125">
        <f>HYPERLINK("https://www.google.com/maps/search/?api=1&amp;query=-12.193517,-76.92677","Avenida La Mariscala, Villa María del Triunfo, Lima")</f>
      </c>
      <c r="N125">
        <v>14.4</v>
      </c>
      <c r="O125">
        <v>82</v>
      </c>
      <c r="P125">
        <v>2551.27</v>
      </c>
      <c r="Q125" t="str">
        <v>161.40</v>
      </c>
      <c r="R125" t="str">
        <v/>
      </c>
      <c r="S125" t="str">
        <v/>
      </c>
      <c r="T125" t="str">
        <v/>
      </c>
      <c r="U125" t="str">
        <v/>
      </c>
    </row>
    <row r="126">
      <c r="A126" t="str">
        <v>125</v>
      </c>
      <c r="B126" t="str">
        <v>MASS BSF</v>
      </c>
      <c r="C126" t="str">
        <v>AAR-880</v>
      </c>
      <c r="D126" t="str">
        <v>AAR-880</v>
      </c>
      <c r="E126" t="str">
        <v/>
      </c>
      <c r="F126" t="str">
        <v>867806078847433</v>
      </c>
      <c r="G126" t="str">
        <v>Otro</v>
      </c>
      <c r="H126" t="str">
        <v/>
      </c>
      <c r="I126" t="str">
        <v>28/09/2026</v>
      </c>
      <c r="J126" t="str">
        <v>14:44:44</v>
      </c>
      <c r="K126">
        <v>-12.194993</v>
      </c>
      <c r="L126">
        <v>-76.929375</v>
      </c>
      <c r="M126">
        <f>HYPERLINK("https://www.google.com/maps/search/?api=1&amp;query=-12.194993,-76.929375","Avenida La Mariscala, Villa María del Triunfo, Lima")</f>
      </c>
      <c r="N126">
        <v>30.7</v>
      </c>
      <c r="O126">
        <v>82</v>
      </c>
      <c r="P126">
        <v>2551.59</v>
      </c>
      <c r="Q126" t="str">
        <v>161.40</v>
      </c>
      <c r="R126" t="str">
        <v/>
      </c>
      <c r="S126" t="str">
        <v/>
      </c>
      <c r="T126" t="str">
        <v/>
      </c>
      <c r="U126" t="str">
        <v/>
      </c>
    </row>
    <row r="127">
      <c r="A127" t="str">
        <v>126</v>
      </c>
      <c r="B127" t="str">
        <v>MASS BSF</v>
      </c>
      <c r="C127" t="str">
        <v>AAR-880</v>
      </c>
      <c r="D127" t="str">
        <v>AAR-880</v>
      </c>
      <c r="E127" t="str">
        <v/>
      </c>
      <c r="F127" t="str">
        <v>867806078847433</v>
      </c>
      <c r="G127" t="str">
        <v>Otro</v>
      </c>
      <c r="H127" t="str">
        <v/>
      </c>
      <c r="I127" t="str">
        <v>28/09/2026</v>
      </c>
      <c r="J127" t="str">
        <v>14:45:30</v>
      </c>
      <c r="K127">
        <v>-12.1957</v>
      </c>
      <c r="L127">
        <v>-76.93056</v>
      </c>
      <c r="M127">
        <f>HYPERLINK("https://www.google.com/maps/search/?api=1&amp;query=-12.1957,-76.93056","Avenida La Mariscala, Villa María del Triunfo, Lima")</f>
      </c>
      <c r="N127">
        <v>13.1</v>
      </c>
      <c r="O127">
        <v>82</v>
      </c>
      <c r="P127">
        <v>2551.74</v>
      </c>
      <c r="Q127" t="str">
        <v>161.40</v>
      </c>
      <c r="R127" t="str">
        <v/>
      </c>
      <c r="S127" t="str">
        <v/>
      </c>
      <c r="T127" t="str">
        <v/>
      </c>
      <c r="U127" t="str">
        <v/>
      </c>
    </row>
    <row r="128">
      <c r="A128" t="str">
        <v>127</v>
      </c>
      <c r="B128" t="str">
        <v>MASS BSF</v>
      </c>
      <c r="C128" t="str">
        <v>AAR-880</v>
      </c>
      <c r="D128" t="str">
        <v>AAR-880</v>
      </c>
      <c r="E128" t="str">
        <v/>
      </c>
      <c r="F128" t="str">
        <v>867806078847433</v>
      </c>
      <c r="G128" t="str">
        <v>Otro</v>
      </c>
      <c r="H128" t="str">
        <v/>
      </c>
      <c r="I128" t="str">
        <v>28/09/2026</v>
      </c>
      <c r="J128" t="str">
        <v>14:45:35</v>
      </c>
      <c r="K128">
        <v>-12.19567</v>
      </c>
      <c r="L128">
        <v>-76.93065</v>
      </c>
      <c r="M128">
        <f>HYPERLINK("https://www.google.com/maps/search/?api=1&amp;query=-12.19567,-76.93065","Avenida General Simón Bolívar, Villa María del Triunfo, Lima")</f>
      </c>
      <c r="N128">
        <v>12.7</v>
      </c>
      <c r="O128">
        <v>86</v>
      </c>
      <c r="P128">
        <v>2551.75</v>
      </c>
      <c r="Q128" t="str">
        <v>161.40</v>
      </c>
      <c r="R128" t="str">
        <v/>
      </c>
      <c r="S128" t="str">
        <v/>
      </c>
      <c r="T128" t="str">
        <v/>
      </c>
      <c r="U128" t="str">
        <v/>
      </c>
    </row>
    <row r="129">
      <c r="A129" t="str">
        <v>128</v>
      </c>
      <c r="B129" t="str">
        <v>MASS BSF</v>
      </c>
      <c r="C129" t="str">
        <v>AAR-880</v>
      </c>
      <c r="D129" t="str">
        <v>AAR-880</v>
      </c>
      <c r="E129" t="str">
        <v/>
      </c>
      <c r="F129" t="str">
        <v>867806078847433</v>
      </c>
      <c r="G129" t="str">
        <v>Otro</v>
      </c>
      <c r="H129" t="str">
        <v/>
      </c>
      <c r="I129" t="str">
        <v>28/09/2026</v>
      </c>
      <c r="J129" t="str">
        <v>14:45:40</v>
      </c>
      <c r="K129">
        <v>-12.195461</v>
      </c>
      <c r="L129">
        <v>-76.93076</v>
      </c>
      <c r="M129">
        <f>HYPERLINK("https://www.google.com/maps/search/?api=1&amp;query=-12.195461,-76.93076","Avenida General Simón Bolívar, Villa María del Triunfo, Lima")</f>
      </c>
      <c r="N129">
        <v>24.4</v>
      </c>
      <c r="O129">
        <v>86</v>
      </c>
      <c r="P129">
        <v>2551.78</v>
      </c>
      <c r="Q129" t="str">
        <v>161.40</v>
      </c>
      <c r="R129" t="str">
        <v/>
      </c>
      <c r="S129" t="str">
        <v/>
      </c>
      <c r="T129" t="str">
        <v/>
      </c>
      <c r="U129" t="str">
        <v/>
      </c>
    </row>
    <row r="130">
      <c r="A130" t="str">
        <v>129</v>
      </c>
      <c r="B130" t="str">
        <v>MASS BSF</v>
      </c>
      <c r="C130" t="str">
        <v>AAR-880</v>
      </c>
      <c r="D130" t="str">
        <v>AAR-880</v>
      </c>
      <c r="E130" t="str">
        <v/>
      </c>
      <c r="F130" t="str">
        <v>867806078847433</v>
      </c>
      <c r="G130" t="str">
        <v>Otro</v>
      </c>
      <c r="H130" t="str">
        <v/>
      </c>
      <c r="I130" t="str">
        <v>28/09/2026</v>
      </c>
      <c r="J130" t="str">
        <v>14:45:53</v>
      </c>
      <c r="K130">
        <v>-12.194596</v>
      </c>
      <c r="L130">
        <v>-76.93128</v>
      </c>
      <c r="M130">
        <f>HYPERLINK("https://www.google.com/maps/search/?api=1&amp;query=-12.194596,-76.93128","Avenida General Simón Bolívar, Villa María del Triunfo, Lima")</f>
      </c>
      <c r="N130">
        <v>14.4</v>
      </c>
      <c r="O130">
        <v>81</v>
      </c>
      <c r="P130">
        <v>2551.89</v>
      </c>
      <c r="Q130" t="str">
        <v>161.40</v>
      </c>
      <c r="R130" t="str">
        <v/>
      </c>
      <c r="S130" t="str">
        <v/>
      </c>
      <c r="T130" t="str">
        <v/>
      </c>
      <c r="U130" t="str">
        <v/>
      </c>
    </row>
    <row r="131">
      <c r="A131" t="str">
        <v>130</v>
      </c>
      <c r="B131" t="str">
        <v>MASS BSF</v>
      </c>
      <c r="C131" t="str">
        <v>AAR-880</v>
      </c>
      <c r="D131" t="str">
        <v>AAR-880</v>
      </c>
      <c r="E131" t="str">
        <v/>
      </c>
      <c r="F131" t="str">
        <v>867806078847433</v>
      </c>
      <c r="G131" t="str">
        <v>Otro</v>
      </c>
      <c r="H131" t="str">
        <v/>
      </c>
      <c r="I131" t="str">
        <v>28/09/2026</v>
      </c>
      <c r="J131" t="str">
        <v>14:45:58</v>
      </c>
      <c r="K131">
        <v>-12.194647</v>
      </c>
      <c r="L131">
        <v>-76.93151</v>
      </c>
      <c r="M131">
        <f>HYPERLINK("https://www.google.com/maps/search/?api=1&amp;query=-12.194647,-76.93151","Jirón Independencia, Villa María del Triunfo, Lima")</f>
      </c>
      <c r="N131">
        <v>27.7</v>
      </c>
      <c r="O131">
        <v>81</v>
      </c>
      <c r="P131">
        <v>2551.91</v>
      </c>
      <c r="Q131" t="str">
        <v>161.40</v>
      </c>
      <c r="R131" t="str">
        <v/>
      </c>
      <c r="S131" t="str">
        <v/>
      </c>
      <c r="T131" t="str">
        <v/>
      </c>
      <c r="U131" t="str">
        <v/>
      </c>
    </row>
    <row r="132">
      <c r="A132" t="str">
        <v>131</v>
      </c>
      <c r="B132" t="str">
        <v>MASS BSF</v>
      </c>
      <c r="C132" t="str">
        <v>AAR-880</v>
      </c>
      <c r="D132" t="str">
        <v>AAR-880</v>
      </c>
      <c r="E132" t="str">
        <v/>
      </c>
      <c r="F132" t="str">
        <v>867806078847433</v>
      </c>
      <c r="G132" t="str">
        <v>Otro</v>
      </c>
      <c r="H132" t="str">
        <v/>
      </c>
      <c r="I132" t="str">
        <v>28/09/2026</v>
      </c>
      <c r="J132" t="str">
        <v>14:46:05</v>
      </c>
      <c r="K132">
        <v>-12.194814</v>
      </c>
      <c r="L132">
        <v>-76.93181</v>
      </c>
      <c r="M132">
        <f>HYPERLINK("https://www.google.com/maps/search/?api=1&amp;query=-12.194814,-76.93181","Jirón Independencia, Villa María del Triunfo, Lima")</f>
      </c>
      <c r="N132">
        <v>10.7</v>
      </c>
      <c r="O132">
        <v>87</v>
      </c>
      <c r="P132">
        <v>2551.95</v>
      </c>
      <c r="Q132" t="str">
        <v>161.40</v>
      </c>
      <c r="R132" t="str">
        <v/>
      </c>
      <c r="S132" t="str">
        <v/>
      </c>
      <c r="T132" t="str">
        <v/>
      </c>
      <c r="U132" t="str">
        <v/>
      </c>
    </row>
    <row r="133">
      <c r="A133" t="str">
        <v>132</v>
      </c>
      <c r="B133" t="str">
        <v>MASS BSF</v>
      </c>
      <c r="C133" t="str">
        <v>AAR-880</v>
      </c>
      <c r="D133" t="str">
        <v>AAR-880</v>
      </c>
      <c r="E133" t="str">
        <v/>
      </c>
      <c r="F133" t="str">
        <v>867806078847433</v>
      </c>
      <c r="G133" t="str">
        <v>Otro</v>
      </c>
      <c r="H133" t="str">
        <v/>
      </c>
      <c r="I133" t="str">
        <v>28/09/2026</v>
      </c>
      <c r="J133" t="str">
        <v>14:46:13</v>
      </c>
      <c r="K133">
        <v>-12.194926</v>
      </c>
      <c r="L133">
        <v>-76.93198</v>
      </c>
      <c r="M133">
        <f>HYPERLINK("https://www.google.com/maps/search/?api=1&amp;query=-12.194926,-76.93198","Jirón Independencia, Villa María del Triunfo, Lima")</f>
      </c>
      <c r="N133">
        <v>10</v>
      </c>
      <c r="O133">
        <v>87</v>
      </c>
      <c r="P133">
        <v>2551.97</v>
      </c>
      <c r="Q133" t="str">
        <v>161.40</v>
      </c>
      <c r="R133" t="str">
        <v/>
      </c>
      <c r="S133" t="str">
        <v/>
      </c>
      <c r="T133" t="str">
        <v/>
      </c>
      <c r="U133" t="str">
        <v/>
      </c>
    </row>
    <row r="134">
      <c r="A134" t="str">
        <v>133</v>
      </c>
      <c r="B134" t="str">
        <v>MASS BSF</v>
      </c>
      <c r="C134" t="str">
        <v>AAR-880</v>
      </c>
      <c r="D134" t="str">
        <v>AAR-880</v>
      </c>
      <c r="E134" t="str">
        <v/>
      </c>
      <c r="F134" t="str">
        <v>867806078847433</v>
      </c>
      <c r="G134" t="str">
        <v>Otro</v>
      </c>
      <c r="H134" t="str">
        <v/>
      </c>
      <c r="I134" t="str">
        <v>28/09/2026</v>
      </c>
      <c r="J134" t="str">
        <v>14:46:18</v>
      </c>
      <c r="K134">
        <v>-12.195133</v>
      </c>
      <c r="L134">
        <v>-76.931915</v>
      </c>
      <c r="M134">
        <f>HYPERLINK("https://www.google.com/maps/search/?api=1&amp;query=-12.195133,-76.931915","Avenida Jorge Chávez, Villa María del Triunfo, Lima")</f>
      </c>
      <c r="N134">
        <v>21.8</v>
      </c>
      <c r="O134">
        <v>87</v>
      </c>
      <c r="P134">
        <v>2552</v>
      </c>
      <c r="Q134" t="str">
        <v>161.40</v>
      </c>
      <c r="R134" t="str">
        <v/>
      </c>
      <c r="S134" t="str">
        <v/>
      </c>
      <c r="T134" t="str">
        <v/>
      </c>
      <c r="U134" t="str">
        <v/>
      </c>
    </row>
    <row r="135">
      <c r="A135" t="str">
        <v>134</v>
      </c>
      <c r="B135" t="str">
        <v>MASS BSF</v>
      </c>
      <c r="C135" t="str">
        <v>AAR-880</v>
      </c>
      <c r="D135" t="str">
        <v>AAR-880</v>
      </c>
      <c r="E135" t="str">
        <v/>
      </c>
      <c r="F135" t="str">
        <v>867806078847433</v>
      </c>
      <c r="G135" t="str">
        <v>Otro</v>
      </c>
      <c r="H135" t="str">
        <v/>
      </c>
      <c r="I135" t="str">
        <v>28/09/2026</v>
      </c>
      <c r="J135" t="str">
        <v>14:47:18</v>
      </c>
      <c r="K135">
        <v>-12.200045</v>
      </c>
      <c r="L135">
        <v>-76.92916</v>
      </c>
      <c r="M135">
        <f>HYPERLINK("https://www.google.com/maps/search/?api=1&amp;query=-12.200045,-76.92916","Avenida Jorge Chávez, Villa María del Triunfo, Lima")</f>
      </c>
      <c r="N135">
        <v>37.5</v>
      </c>
      <c r="O135">
        <v>87</v>
      </c>
      <c r="P135">
        <v>2552.61</v>
      </c>
      <c r="Q135" t="str">
        <v>161.40</v>
      </c>
      <c r="R135" t="str">
        <v/>
      </c>
      <c r="S135" t="str">
        <v/>
      </c>
      <c r="T135" t="str">
        <v/>
      </c>
      <c r="U135" t="str">
        <v/>
      </c>
    </row>
    <row r="136">
      <c r="A136" t="str">
        <v>135</v>
      </c>
      <c r="B136" t="str">
        <v>MASS BSF</v>
      </c>
      <c r="C136" t="str">
        <v>AAR-880</v>
      </c>
      <c r="D136" t="str">
        <v>AAR-880</v>
      </c>
      <c r="E136" t="str">
        <v/>
      </c>
      <c r="F136" t="str">
        <v>867806078847433</v>
      </c>
      <c r="G136" t="str">
        <v>Otro</v>
      </c>
      <c r="H136" t="str">
        <v/>
      </c>
      <c r="I136" t="str">
        <v>28/09/2026</v>
      </c>
      <c r="J136" t="str">
        <v>14:47:22</v>
      </c>
      <c r="K136">
        <v>-12.200361</v>
      </c>
      <c r="L136">
        <v>-76.92901</v>
      </c>
      <c r="M136">
        <f>HYPERLINK("https://www.google.com/maps/search/?api=1&amp;query=-12.200361,-76.92901","Avenida Jorge Chávez, Villa María del Triunfo, Lima")</f>
      </c>
      <c r="N136">
        <v>16.6</v>
      </c>
      <c r="O136">
        <v>87</v>
      </c>
      <c r="P136">
        <v>2552.65</v>
      </c>
      <c r="Q136" t="str">
        <v>161.40</v>
      </c>
      <c r="R136" t="str">
        <v/>
      </c>
      <c r="S136" t="str">
        <v/>
      </c>
      <c r="T136" t="str">
        <v/>
      </c>
      <c r="U136" t="str">
        <v/>
      </c>
    </row>
    <row r="137">
      <c r="A137" t="str">
        <v>136</v>
      </c>
      <c r="B137" t="str">
        <v>MASS BSF</v>
      </c>
      <c r="C137" t="str">
        <v>AAR-880</v>
      </c>
      <c r="D137" t="str">
        <v>AAR-880</v>
      </c>
      <c r="E137" t="str">
        <v/>
      </c>
      <c r="F137" t="str">
        <v>867806078847433</v>
      </c>
      <c r="G137" t="str">
        <v>Otro</v>
      </c>
      <c r="H137" t="str">
        <v/>
      </c>
      <c r="I137" t="str">
        <v>28/09/2026</v>
      </c>
      <c r="J137" t="str">
        <v>14:47:27</v>
      </c>
      <c r="K137">
        <v>-12.20049</v>
      </c>
      <c r="L137">
        <v>-76.92918</v>
      </c>
      <c r="M137">
        <f>HYPERLINK("https://www.google.com/maps/search/?api=1&amp;query=-12.20049,-76.92918","Avenida San Martín, Villa María del Triunfo, Lima")</f>
      </c>
      <c r="N137">
        <v>20.3</v>
      </c>
      <c r="O137">
        <v>89</v>
      </c>
      <c r="P137">
        <v>2552.68</v>
      </c>
      <c r="Q137" t="str">
        <v>161.40</v>
      </c>
      <c r="R137" t="str">
        <v/>
      </c>
      <c r="S137" t="str">
        <v/>
      </c>
      <c r="T137" t="str">
        <v/>
      </c>
      <c r="U137" t="str">
        <v/>
      </c>
    </row>
    <row r="138">
      <c r="A138" t="str">
        <v>137</v>
      </c>
      <c r="B138" t="str">
        <v>MASS BSF</v>
      </c>
      <c r="C138" t="str">
        <v>AAR-880</v>
      </c>
      <c r="D138" t="str">
        <v>AAR-880</v>
      </c>
      <c r="E138" t="str">
        <v/>
      </c>
      <c r="F138" t="str">
        <v>867806078847433</v>
      </c>
      <c r="G138" t="str">
        <v>Otro</v>
      </c>
      <c r="H138" t="str">
        <v/>
      </c>
      <c r="I138" t="str">
        <v>28/09/2026</v>
      </c>
      <c r="J138" t="str">
        <v>14:47:32</v>
      </c>
      <c r="K138">
        <v>-12.200646</v>
      </c>
      <c r="L138">
        <v>-76.92945</v>
      </c>
      <c r="M138">
        <f>HYPERLINK("https://www.google.com/maps/search/?api=1&amp;query=-12.200646,-76.92945","Avenida San Martín, Villa María del Triunfo, Lima")</f>
      </c>
      <c r="N138">
        <v>31.6</v>
      </c>
      <c r="O138">
        <v>89</v>
      </c>
      <c r="P138">
        <v>2552.71</v>
      </c>
      <c r="Q138" t="str">
        <v>161.40</v>
      </c>
      <c r="R138" t="str">
        <v/>
      </c>
      <c r="S138" t="str">
        <v/>
      </c>
      <c r="T138" t="str">
        <v/>
      </c>
      <c r="U138" t="str">
        <v/>
      </c>
    </row>
    <row r="139">
      <c r="A139" t="str">
        <v>138</v>
      </c>
      <c r="B139" t="str">
        <v>MASS BSF</v>
      </c>
      <c r="C139" t="str">
        <v>AAR-880</v>
      </c>
      <c r="D139" t="str">
        <v>AAR-880</v>
      </c>
      <c r="E139" t="str">
        <v/>
      </c>
      <c r="F139" t="str">
        <v>867806078847433</v>
      </c>
      <c r="G139" t="str">
        <v>Otro</v>
      </c>
      <c r="H139" t="str">
        <v/>
      </c>
      <c r="I139" t="str">
        <v>28/09/2026</v>
      </c>
      <c r="J139" t="str">
        <v>14:47:48</v>
      </c>
      <c r="K139">
        <v>-12.201313</v>
      </c>
      <c r="L139">
        <v>-76.93061</v>
      </c>
      <c r="M139">
        <f>HYPERLINK("https://www.google.com/maps/search/?api=1&amp;query=-12.201313,-76.93061","Avenida San Martín, Villa María del Triunfo, Lima")</f>
      </c>
      <c r="N139">
        <v>12.9</v>
      </c>
      <c r="O139">
        <v>89</v>
      </c>
      <c r="P139">
        <v>2552.86</v>
      </c>
      <c r="Q139" t="str">
        <v>161.40</v>
      </c>
      <c r="R139" t="str">
        <v/>
      </c>
      <c r="S139" t="str">
        <v/>
      </c>
      <c r="T139" t="str">
        <v/>
      </c>
      <c r="U139" t="str">
        <v/>
      </c>
    </row>
    <row r="140">
      <c r="A140" t="str">
        <v>139</v>
      </c>
      <c r="B140" t="str">
        <v>MASS BSF</v>
      </c>
      <c r="C140" t="str">
        <v>AAR-880</v>
      </c>
      <c r="D140" t="str">
        <v>AAR-880</v>
      </c>
      <c r="E140" t="str">
        <v/>
      </c>
      <c r="F140" t="str">
        <v>867806078847433</v>
      </c>
      <c r="G140" t="str">
        <v>Otro</v>
      </c>
      <c r="H140" t="str">
        <v/>
      </c>
      <c r="I140" t="str">
        <v>28/09/2026</v>
      </c>
      <c r="J140" t="str">
        <v>14:47:53</v>
      </c>
      <c r="K140">
        <v>-12.201404</v>
      </c>
      <c r="L140">
        <v>-76.93068</v>
      </c>
      <c r="M140">
        <f>HYPERLINK("https://www.google.com/maps/search/?api=1&amp;query=-12.201404,-76.93068","Avenida Pachacútec, Villa María del Triunfo, Lima")</f>
      </c>
      <c r="N140">
        <v>13.5</v>
      </c>
      <c r="O140">
        <v>89</v>
      </c>
      <c r="P140">
        <v>2552.87</v>
      </c>
      <c r="Q140" t="str">
        <v>161.40</v>
      </c>
      <c r="R140" t="str">
        <v/>
      </c>
      <c r="S140" t="str">
        <v/>
      </c>
      <c r="T140" t="str">
        <v/>
      </c>
      <c r="U140" t="str">
        <v/>
      </c>
    </row>
    <row r="141">
      <c r="A141" t="str">
        <v>140</v>
      </c>
      <c r="B141" t="str">
        <v>MASS BSF</v>
      </c>
      <c r="C141" t="str">
        <v>AAR-880</v>
      </c>
      <c r="D141" t="str">
        <v>AAR-880</v>
      </c>
      <c r="E141" t="str">
        <v/>
      </c>
      <c r="F141" t="str">
        <v>867806078847433</v>
      </c>
      <c r="G141" t="str">
        <v>Otro</v>
      </c>
      <c r="H141" t="str">
        <v/>
      </c>
      <c r="I141" t="str">
        <v>28/09/2026</v>
      </c>
      <c r="J141" t="str">
        <v>14:47:58</v>
      </c>
      <c r="K141">
        <v>-12.20158</v>
      </c>
      <c r="L141">
        <v>-76.93058</v>
      </c>
      <c r="M141">
        <f>HYPERLINK("https://www.google.com/maps/search/?api=1&amp;query=-12.20158,-76.93058","Avenida Pachacútec, Villa María del Triunfo, Lima")</f>
      </c>
      <c r="N141">
        <v>19.6</v>
      </c>
      <c r="O141">
        <v>92</v>
      </c>
      <c r="P141">
        <v>2552.89</v>
      </c>
      <c r="Q141" t="str">
        <v>161.40</v>
      </c>
      <c r="R141" t="str">
        <v/>
      </c>
      <c r="S141" t="str">
        <v/>
      </c>
      <c r="T141" t="str">
        <v/>
      </c>
      <c r="U141" t="str">
        <v/>
      </c>
    </row>
    <row r="142">
      <c r="A142" t="str">
        <v>141</v>
      </c>
      <c r="B142" t="str">
        <v>MASS BSF</v>
      </c>
      <c r="C142" t="str">
        <v>AAR-880</v>
      </c>
      <c r="D142" t="str">
        <v>AAR-880</v>
      </c>
      <c r="E142" t="str">
        <v/>
      </c>
      <c r="F142" t="str">
        <v>867806078847433</v>
      </c>
      <c r="G142" t="str">
        <v>Otro</v>
      </c>
      <c r="H142" t="str">
        <v/>
      </c>
      <c r="I142" t="str">
        <v>28/09/2026</v>
      </c>
      <c r="J142" t="str">
        <v>14:48:15</v>
      </c>
      <c r="K142">
        <v>-12.202342</v>
      </c>
      <c r="L142">
        <v>-76.93011</v>
      </c>
      <c r="M142">
        <f>HYPERLINK("https://www.google.com/maps/search/?api=1&amp;query=-12.202342,-76.93011","Avenida Pachacútec, Villa María del Triunfo, Lima")</f>
      </c>
      <c r="N142">
        <v>17.7</v>
      </c>
      <c r="O142">
        <v>92</v>
      </c>
      <c r="P142">
        <v>2552.99</v>
      </c>
      <c r="Q142" t="str">
        <v>161.40</v>
      </c>
      <c r="R142" t="str">
        <v/>
      </c>
      <c r="S142" t="str">
        <v/>
      </c>
      <c r="T142" t="str">
        <v/>
      </c>
      <c r="U142" t="str">
        <v/>
      </c>
    </row>
    <row r="143">
      <c r="A143" t="str">
        <v>142</v>
      </c>
      <c r="B143" t="str">
        <v>MASS BSF</v>
      </c>
      <c r="C143" t="str">
        <v>AAR-880</v>
      </c>
      <c r="D143" t="str">
        <v>AAR-880</v>
      </c>
      <c r="E143" t="str">
        <v/>
      </c>
      <c r="F143" t="str">
        <v>867806078847433</v>
      </c>
      <c r="G143" t="str">
        <v>Otro</v>
      </c>
      <c r="H143" t="str">
        <v/>
      </c>
      <c r="I143" t="str">
        <v>28/09/2026</v>
      </c>
      <c r="J143" t="str">
        <v>14:48:20</v>
      </c>
      <c r="K143">
        <v>-12.20251</v>
      </c>
      <c r="L143">
        <v>-76.93028</v>
      </c>
      <c r="M143">
        <f>HYPERLINK("https://www.google.com/maps/search/?api=1&amp;query=-12.20251,-76.93028","Avenida Pachacútec, Villa María del Triunfo, Lima")</f>
      </c>
      <c r="N143">
        <v>23.1</v>
      </c>
      <c r="O143">
        <v>89</v>
      </c>
      <c r="P143">
        <v>2553.02</v>
      </c>
      <c r="Q143" t="str">
        <v>161.40</v>
      </c>
      <c r="R143" t="str">
        <v/>
      </c>
      <c r="S143" t="str">
        <v/>
      </c>
      <c r="T143" t="str">
        <v/>
      </c>
      <c r="U143" t="str">
        <v/>
      </c>
    </row>
    <row r="144">
      <c r="A144" t="str">
        <v>143</v>
      </c>
      <c r="B144" t="str">
        <v>MASS BSF</v>
      </c>
      <c r="C144" t="str">
        <v>AAR-880</v>
      </c>
      <c r="D144" t="str">
        <v>AAR-880</v>
      </c>
      <c r="E144" t="str">
        <v/>
      </c>
      <c r="F144" t="str">
        <v>867806078847433</v>
      </c>
      <c r="G144" t="str">
        <v>Otro</v>
      </c>
      <c r="H144" t="str">
        <v/>
      </c>
      <c r="I144" t="str">
        <v>28/09/2026</v>
      </c>
      <c r="J144" t="str">
        <v>14:48:25</v>
      </c>
      <c r="K144">
        <v>-12.202675</v>
      </c>
      <c r="L144">
        <v>-76.93034</v>
      </c>
      <c r="M144">
        <f>HYPERLINK("https://www.google.com/maps/search/?api=1&amp;query=-12.202675,-76.93034","Avenida Pachacútec, Villa María del Triunfo, Lima")</f>
      </c>
      <c r="N144">
        <v>12.2</v>
      </c>
      <c r="O144">
        <v>89</v>
      </c>
      <c r="P144">
        <v>2553.04</v>
      </c>
      <c r="Q144" t="str">
        <v>161.40</v>
      </c>
      <c r="R144" t="str">
        <v/>
      </c>
      <c r="S144" t="str">
        <v/>
      </c>
      <c r="T144" t="str">
        <v/>
      </c>
      <c r="U144" t="str">
        <v/>
      </c>
    </row>
    <row r="145">
      <c r="A145" t="str">
        <v>144</v>
      </c>
      <c r="B145" t="str">
        <v>MASS BSF</v>
      </c>
      <c r="C145" t="str">
        <v>AAR-880</v>
      </c>
      <c r="D145" t="str">
        <v>AAR-880</v>
      </c>
      <c r="E145" t="str">
        <v/>
      </c>
      <c r="F145" t="str">
        <v>867806078847433</v>
      </c>
      <c r="G145" t="str">
        <v>Otro</v>
      </c>
      <c r="H145" t="str">
        <v/>
      </c>
      <c r="I145" t="str">
        <v>28/09/2026</v>
      </c>
      <c r="J145" t="str">
        <v>14:48:51</v>
      </c>
      <c r="K145">
        <v>-12.203016</v>
      </c>
      <c r="L145">
        <v>-76.93013</v>
      </c>
      <c r="M145">
        <f>HYPERLINK("https://www.google.com/maps/search/?api=1&amp;query=-12.203016,-76.93013","Avenida Pachacútec, Villa María del Triunfo, Lima")</f>
      </c>
      <c r="N145">
        <v>20.5</v>
      </c>
      <c r="O145">
        <v>85</v>
      </c>
      <c r="P145">
        <v>2553.08</v>
      </c>
      <c r="Q145" t="str">
        <v>161.40</v>
      </c>
      <c r="R145" t="str">
        <v/>
      </c>
      <c r="S145" t="str">
        <v/>
      </c>
      <c r="T145" t="str">
        <v/>
      </c>
      <c r="U145" t="str">
        <v/>
      </c>
    </row>
    <row r="146">
      <c r="A146" t="str">
        <v>145</v>
      </c>
      <c r="B146" t="str">
        <v>MASS BSF</v>
      </c>
      <c r="C146" t="str">
        <v>AAR-880</v>
      </c>
      <c r="D146" t="str">
        <v>AAR-880</v>
      </c>
      <c r="E146" t="str">
        <v/>
      </c>
      <c r="F146" t="str">
        <v>867806078847433</v>
      </c>
      <c r="G146" t="str">
        <v>Otro</v>
      </c>
      <c r="H146" t="str">
        <v/>
      </c>
      <c r="I146" t="str">
        <v>28/09/2026</v>
      </c>
      <c r="J146" t="str">
        <v>14:49:51</v>
      </c>
      <c r="K146">
        <v>-12.206868</v>
      </c>
      <c r="L146">
        <v>-76.927795</v>
      </c>
      <c r="M146">
        <f>HYPERLINK("https://www.google.com/maps/search/?api=1&amp;query=-12.206868,-76.927795","Avenida Pachacútec, Villa María del Triunfo, Lima")</f>
      </c>
      <c r="N146">
        <v>33.5</v>
      </c>
      <c r="O146">
        <v>85</v>
      </c>
      <c r="P146">
        <v>2553.57</v>
      </c>
      <c r="Q146" t="str">
        <v>161.40</v>
      </c>
      <c r="R146" t="str">
        <v/>
      </c>
      <c r="S146" t="str">
        <v/>
      </c>
      <c r="T146" t="str">
        <v/>
      </c>
      <c r="U146" t="str">
        <v/>
      </c>
    </row>
    <row r="147">
      <c r="A147" t="str">
        <v>146</v>
      </c>
      <c r="B147" t="str">
        <v>MASS BSF</v>
      </c>
      <c r="C147" t="str">
        <v>AAR-880</v>
      </c>
      <c r="D147" t="str">
        <v>AAR-880</v>
      </c>
      <c r="E147" t="str">
        <v/>
      </c>
      <c r="F147" t="str">
        <v>867806078847433</v>
      </c>
      <c r="G147" t="str">
        <v>Otro</v>
      </c>
      <c r="H147" t="str">
        <v/>
      </c>
      <c r="I147" t="str">
        <v>28/09/2026</v>
      </c>
      <c r="J147" t="str">
        <v>14:50:51</v>
      </c>
      <c r="K147">
        <v>-12.211063</v>
      </c>
      <c r="L147">
        <v>-76.92467</v>
      </c>
      <c r="M147">
        <f>HYPERLINK("https://www.google.com/maps/search/?api=1&amp;query=-12.211063,-76.92467","Avenida Pachacútec, Villa María del Triunfo, Lima")</f>
      </c>
      <c r="N147">
        <v>23.3</v>
      </c>
      <c r="O147">
        <v>85</v>
      </c>
      <c r="P147">
        <v>2554.14</v>
      </c>
      <c r="Q147" t="str">
        <v>161.40</v>
      </c>
      <c r="R147" t="str">
        <v/>
      </c>
      <c r="S147" t="str">
        <v/>
      </c>
      <c r="T147" t="str">
        <v/>
      </c>
      <c r="U147" t="str">
        <v/>
      </c>
    </row>
    <row r="148">
      <c r="A148" t="str">
        <v>147</v>
      </c>
      <c r="B148" t="str">
        <v>MASS BSF</v>
      </c>
      <c r="C148" t="str">
        <v>AAR-880</v>
      </c>
      <c r="D148" t="str">
        <v>AAR-880</v>
      </c>
      <c r="E148" t="str">
        <v/>
      </c>
      <c r="F148" t="str">
        <v>867806078847433</v>
      </c>
      <c r="G148" t="str">
        <v>Otro</v>
      </c>
      <c r="H148" t="str">
        <v/>
      </c>
      <c r="I148" t="str">
        <v>28/09/2026</v>
      </c>
      <c r="J148" t="str">
        <v>14:51:26</v>
      </c>
      <c r="K148">
        <v>-12.214196</v>
      </c>
      <c r="L148">
        <v>-76.92255</v>
      </c>
      <c r="M148">
        <f>HYPERLINK("https://www.google.com/maps/search/?api=1&amp;query=-12.214196,-76.92255","Avenida Pachacútec, Villa El Salvador, Lima")</f>
      </c>
      <c r="N148">
        <v>56.3</v>
      </c>
      <c r="O148">
        <v>85</v>
      </c>
      <c r="P148">
        <v>2554.56</v>
      </c>
      <c r="Q148" t="str">
        <v>161.40</v>
      </c>
      <c r="R148" t="str">
        <v/>
      </c>
      <c r="S148" t="str">
        <v/>
      </c>
      <c r="T148" t="str">
        <v/>
      </c>
      <c r="U148" t="str">
        <v/>
      </c>
    </row>
    <row r="149">
      <c r="A149" t="str">
        <v>148</v>
      </c>
      <c r="B149" t="str">
        <v>MASS BSF</v>
      </c>
      <c r="C149" t="str">
        <v>AAR-880</v>
      </c>
      <c r="D149" t="str">
        <v>AAR-880</v>
      </c>
      <c r="E149" t="str">
        <v/>
      </c>
      <c r="F149" t="str">
        <v>867806078847433</v>
      </c>
      <c r="G149" t="str">
        <v>Otro</v>
      </c>
      <c r="H149" t="str">
        <v/>
      </c>
      <c r="I149" t="str">
        <v>28/09/2026</v>
      </c>
      <c r="J149" t="str">
        <v>14:51:34</v>
      </c>
      <c r="K149">
        <v>-12.215315</v>
      </c>
      <c r="L149">
        <v>-76.92211</v>
      </c>
      <c r="M149">
        <f>HYPERLINK("https://www.google.com/maps/search/?api=1&amp;query=-12.215315,-76.92211","Avenida Pachacútec, Villa El Salvador, Lima")</f>
      </c>
      <c r="N149">
        <v>60.1</v>
      </c>
      <c r="O149">
        <v>85</v>
      </c>
      <c r="P149">
        <v>2554.69</v>
      </c>
      <c r="Q149" t="str">
        <v>161.40</v>
      </c>
      <c r="R149" t="str">
        <v>Exceso de velocidad en segmento vial</v>
      </c>
      <c r="S149" t="str">
        <v/>
      </c>
      <c r="T149" t="str">
        <v/>
      </c>
      <c r="U149" t="str">
        <v/>
      </c>
    </row>
    <row r="150">
      <c r="A150" t="str">
        <v>149</v>
      </c>
      <c r="B150" t="str">
        <v>MASS BSF</v>
      </c>
      <c r="C150" t="str">
        <v>AAR-880</v>
      </c>
      <c r="D150" t="str">
        <v>AAR-880</v>
      </c>
      <c r="E150" t="str">
        <v/>
      </c>
      <c r="F150" t="str">
        <v>867806078847433</v>
      </c>
      <c r="G150" t="str">
        <v>Otro</v>
      </c>
      <c r="H150" t="str">
        <v/>
      </c>
      <c r="I150" t="str">
        <v>28/09/2026</v>
      </c>
      <c r="J150" t="str">
        <v>14:51:39</v>
      </c>
      <c r="K150">
        <v>-12.216068</v>
      </c>
      <c r="L150">
        <v>-76.92204</v>
      </c>
      <c r="M150">
        <f>HYPERLINK("https://www.google.com/maps/search/?api=1&amp;query=-12.216068,-76.92204","Avenida Pachacútec, Villa El Salvador, Lima")</f>
      </c>
      <c r="N150">
        <v>57.7</v>
      </c>
      <c r="O150">
        <v>85</v>
      </c>
      <c r="P150">
        <v>2554.77</v>
      </c>
      <c r="Q150" t="str">
        <v>161.40</v>
      </c>
      <c r="R150" t="str">
        <v/>
      </c>
      <c r="S150" t="str">
        <v/>
      </c>
      <c r="T150" t="str">
        <v/>
      </c>
      <c r="U150" t="str">
        <v/>
      </c>
    </row>
    <row r="151">
      <c r="A151" t="str">
        <v>150</v>
      </c>
      <c r="B151" t="str">
        <v>MASS BSF</v>
      </c>
      <c r="C151" t="str">
        <v>AAR-880</v>
      </c>
      <c r="D151" t="str">
        <v>AAR-880</v>
      </c>
      <c r="E151" t="str">
        <v/>
      </c>
      <c r="F151" t="str">
        <v>867806078847433</v>
      </c>
      <c r="G151" t="str">
        <v>Otro</v>
      </c>
      <c r="H151" t="str">
        <v/>
      </c>
      <c r="I151" t="str">
        <v>28/09/2026</v>
      </c>
      <c r="J151" t="str">
        <v>14:51:44</v>
      </c>
      <c r="K151">
        <v>-12.21676</v>
      </c>
      <c r="L151">
        <v>-76.92189</v>
      </c>
      <c r="M151">
        <f>HYPERLINK("https://www.google.com/maps/search/?api=1&amp;query=-12.21676,-76.92189","Avenida Pachacútec, Villa El Salvador, Lima")</f>
      </c>
      <c r="N151">
        <v>60.1</v>
      </c>
      <c r="O151">
        <v>82</v>
      </c>
      <c r="P151">
        <v>2554.85</v>
      </c>
      <c r="Q151" t="str">
        <v>161.40</v>
      </c>
      <c r="R151" t="str">
        <v>Exceso de velocidad en segmento vial</v>
      </c>
      <c r="S151" t="str">
        <v/>
      </c>
      <c r="T151" t="str">
        <v/>
      </c>
      <c r="U151" t="str">
        <v/>
      </c>
    </row>
    <row r="152">
      <c r="A152" t="str">
        <v>151</v>
      </c>
      <c r="B152" t="str">
        <v>MASS BSF</v>
      </c>
      <c r="C152" t="str">
        <v>AAR-880</v>
      </c>
      <c r="D152" t="str">
        <v>AAR-880</v>
      </c>
      <c r="E152" t="str">
        <v/>
      </c>
      <c r="F152" t="str">
        <v>867806078847433</v>
      </c>
      <c r="G152" t="str">
        <v>Otro</v>
      </c>
      <c r="H152" t="str">
        <v/>
      </c>
      <c r="I152" t="str">
        <v>28/09/2026</v>
      </c>
      <c r="J152" t="str">
        <v>14:52:21</v>
      </c>
      <c r="K152">
        <v>-12.222954</v>
      </c>
      <c r="L152">
        <v>-76.920166</v>
      </c>
      <c r="M152">
        <f>HYPERLINK("https://www.google.com/maps/search/?api=1&amp;query=-12.222954,-76.920166","Avenida Pachacútec, Villa El Salvador, Lima")</f>
      </c>
      <c r="N152">
        <v>45.1</v>
      </c>
      <c r="O152">
        <v>82</v>
      </c>
      <c r="P152">
        <v>2555.56</v>
      </c>
      <c r="Q152" t="str">
        <v>161.40</v>
      </c>
      <c r="R152" t="str">
        <v/>
      </c>
      <c r="S152" t="str">
        <v/>
      </c>
      <c r="T152" t="str">
        <v/>
      </c>
      <c r="U152" t="str">
        <v/>
      </c>
    </row>
    <row r="153">
      <c r="A153" t="str">
        <v>152</v>
      </c>
      <c r="B153" t="str">
        <v>MASS BSF</v>
      </c>
      <c r="C153" t="str">
        <v>AAR-880</v>
      </c>
      <c r="D153" t="str">
        <v>AAR-880</v>
      </c>
      <c r="E153" t="str">
        <v/>
      </c>
      <c r="F153" t="str">
        <v>867806078847433</v>
      </c>
      <c r="G153" t="str">
        <v>Otro</v>
      </c>
      <c r="H153" t="str">
        <v/>
      </c>
      <c r="I153" t="str">
        <v>28/09/2026</v>
      </c>
      <c r="J153" t="str">
        <v>14:53:21</v>
      </c>
      <c r="K153">
        <v>-12.223779</v>
      </c>
      <c r="L153">
        <v>-76.91989</v>
      </c>
      <c r="M153">
        <f>HYPERLINK("https://www.google.com/maps/search/?api=1&amp;query=-12.223779,-76.91989","Avenida Pachacútec, Villa El Salvador, Lima")</f>
      </c>
      <c r="N153">
        <v>19.2</v>
      </c>
      <c r="O153">
        <v>82</v>
      </c>
      <c r="P153">
        <v>2555.66</v>
      </c>
      <c r="Q153" t="str">
        <v>161.40</v>
      </c>
      <c r="R153" t="str">
        <v/>
      </c>
      <c r="S153" t="str">
        <v/>
      </c>
      <c r="T153" t="str">
        <v/>
      </c>
      <c r="U153" t="str">
        <v/>
      </c>
    </row>
    <row r="154">
      <c r="A154" t="str">
        <v>153</v>
      </c>
      <c r="B154" t="str">
        <v>MASS BSF</v>
      </c>
      <c r="C154" t="str">
        <v>AAR-880</v>
      </c>
      <c r="D154" t="str">
        <v>AAR-880</v>
      </c>
      <c r="E154" t="str">
        <v/>
      </c>
      <c r="F154" t="str">
        <v>867806078847433</v>
      </c>
      <c r="G154" t="str">
        <v>Otro</v>
      </c>
      <c r="H154" t="str">
        <v/>
      </c>
      <c r="I154" t="str">
        <v>28/09/2026</v>
      </c>
      <c r="J154" t="str">
        <v>14:53:25</v>
      </c>
      <c r="K154">
        <v>-12.223951</v>
      </c>
      <c r="L154">
        <v>-76.91994</v>
      </c>
      <c r="M154">
        <f>HYPERLINK("https://www.google.com/maps/search/?api=1&amp;query=-12.223951,-76.91994","Avenida 200 Millas, Villa El Salvador, Lima")</f>
      </c>
      <c r="N154">
        <v>7.9</v>
      </c>
      <c r="O154">
        <v>82</v>
      </c>
      <c r="P154">
        <v>2555.68</v>
      </c>
      <c r="Q154" t="str">
        <v>161.40</v>
      </c>
      <c r="R154" t="str">
        <v/>
      </c>
      <c r="S154" t="str">
        <v/>
      </c>
      <c r="T154" t="str">
        <v/>
      </c>
      <c r="U154" t="str">
        <v/>
      </c>
    </row>
    <row r="155">
      <c r="A155" t="str">
        <v>154</v>
      </c>
      <c r="B155" t="str">
        <v>MASS BSF</v>
      </c>
      <c r="C155" t="str">
        <v>AAR-880</v>
      </c>
      <c r="D155" t="str">
        <v>AAR-880</v>
      </c>
      <c r="E155" t="str">
        <v/>
      </c>
      <c r="F155" t="str">
        <v>867806078847433</v>
      </c>
      <c r="G155" t="str">
        <v>Otro</v>
      </c>
      <c r="H155" t="str">
        <v/>
      </c>
      <c r="I155" t="str">
        <v>28/09/2026</v>
      </c>
      <c r="J155" t="str">
        <v>14:54:17</v>
      </c>
      <c r="K155">
        <v>-12.225509</v>
      </c>
      <c r="L155">
        <v>-76.922615</v>
      </c>
      <c r="M155">
        <f>HYPERLINK("https://www.google.com/maps/search/?api=1&amp;query=-12.225509,-76.922615","Avenida Separadora Industrial, Villa El Salvador, Lima")</f>
      </c>
      <c r="N155">
        <v>18.5</v>
      </c>
      <c r="O155">
        <v>84</v>
      </c>
      <c r="P155">
        <v>2556.01</v>
      </c>
      <c r="Q155" t="str">
        <v>161.40</v>
      </c>
      <c r="R155" t="str">
        <v/>
      </c>
      <c r="S155" t="str">
        <v/>
      </c>
      <c r="T155" t="str">
        <v/>
      </c>
      <c r="U155" t="str">
        <v/>
      </c>
    </row>
    <row r="156">
      <c r="A156" t="str">
        <v>155</v>
      </c>
      <c r="B156" t="str">
        <v>MASS BSF</v>
      </c>
      <c r="C156" t="str">
        <v>AAR-880</v>
      </c>
      <c r="D156" t="str">
        <v>AAR-880</v>
      </c>
      <c r="E156" t="str">
        <v/>
      </c>
      <c r="F156" t="str">
        <v>867806078847433</v>
      </c>
      <c r="G156" t="str">
        <v>Otro</v>
      </c>
      <c r="H156" t="str">
        <v/>
      </c>
      <c r="I156" t="str">
        <v>28/09/2026</v>
      </c>
      <c r="J156" t="str">
        <v>14:54:22</v>
      </c>
      <c r="K156">
        <v>-12.225743</v>
      </c>
      <c r="L156">
        <v>-76.922554</v>
      </c>
      <c r="M156">
        <f>HYPERLINK("https://www.google.com/maps/search/?api=1&amp;query=-12.225743,-76.922554","Avenida Separadora Industrial, Villa El Salvador, Lima")</f>
      </c>
      <c r="N156">
        <v>24.8</v>
      </c>
      <c r="O156">
        <v>84</v>
      </c>
      <c r="P156">
        <v>2556.04</v>
      </c>
      <c r="Q156" t="str">
        <v>161.40</v>
      </c>
      <c r="R156" t="str">
        <v/>
      </c>
      <c r="S156" t="str">
        <v/>
      </c>
      <c r="T156" t="str">
        <v/>
      </c>
      <c r="U156" t="str">
        <v/>
      </c>
    </row>
    <row r="157">
      <c r="A157" t="str">
        <v>156</v>
      </c>
      <c r="B157" t="str">
        <v>MASS BSF</v>
      </c>
      <c r="C157" t="str">
        <v>AAR-880</v>
      </c>
      <c r="D157" t="str">
        <v>AAR-880</v>
      </c>
      <c r="E157" t="str">
        <v/>
      </c>
      <c r="F157" t="str">
        <v>867806078847433</v>
      </c>
      <c r="G157" t="str">
        <v>Otro</v>
      </c>
      <c r="H157" t="str">
        <v/>
      </c>
      <c r="I157" t="str">
        <v>28/09/2026</v>
      </c>
      <c r="J157" t="str">
        <v>14:55:05</v>
      </c>
      <c r="K157">
        <v>-12.231568</v>
      </c>
      <c r="L157">
        <v>-76.91903</v>
      </c>
      <c r="M157">
        <f>HYPERLINK("https://www.google.com/maps/search/?api=1&amp;query=-12.231568,-76.91903","Avenida Separadora Industrial, Villa El Salvador, Lima")</f>
      </c>
      <c r="N157">
        <v>81.1</v>
      </c>
      <c r="O157">
        <v>90</v>
      </c>
      <c r="P157">
        <v>2556.79</v>
      </c>
      <c r="Q157" t="str">
        <v>161.40</v>
      </c>
      <c r="R157" t="str">
        <v>Exceso de velocidad en segmento vial</v>
      </c>
      <c r="S157" t="str">
        <v/>
      </c>
      <c r="T157" t="str">
        <v/>
      </c>
      <c r="U157" t="str">
        <v/>
      </c>
    </row>
    <row r="158">
      <c r="A158" t="str">
        <v>157</v>
      </c>
      <c r="B158" t="str">
        <v>MASS BSF</v>
      </c>
      <c r="C158" t="str">
        <v>AAR-880</v>
      </c>
      <c r="D158" t="str">
        <v>AAR-880</v>
      </c>
      <c r="E158" t="str">
        <v/>
      </c>
      <c r="F158" t="str">
        <v>867806078847433</v>
      </c>
      <c r="G158" t="str">
        <v>Otro</v>
      </c>
      <c r="H158" t="str">
        <v/>
      </c>
      <c r="I158" t="str">
        <v>28/09/2026</v>
      </c>
      <c r="J158" t="str">
        <v>14:55:19</v>
      </c>
      <c r="K158">
        <v>-12.233347</v>
      </c>
      <c r="L158">
        <v>-76.91805</v>
      </c>
      <c r="M158">
        <f>HYPERLINK("https://www.google.com/maps/search/?api=1&amp;query=-12.233347,-76.91805","Avenida Separadora Industrial, Villa El Salvador, Lima")</f>
      </c>
      <c r="N158">
        <v>40.5</v>
      </c>
      <c r="O158">
        <v>90</v>
      </c>
      <c r="P158">
        <v>2557.01</v>
      </c>
      <c r="Q158" t="str">
        <v>161.40</v>
      </c>
      <c r="R158" t="str">
        <v/>
      </c>
      <c r="S158" t="str">
        <v/>
      </c>
      <c r="T158" t="str">
        <v/>
      </c>
      <c r="U158" t="str">
        <v/>
      </c>
    </row>
    <row r="159">
      <c r="A159" t="str">
        <v>158</v>
      </c>
      <c r="B159" t="str">
        <v>MASS BSF</v>
      </c>
      <c r="C159" t="str">
        <v>AAR-880</v>
      </c>
      <c r="D159" t="str">
        <v>AAR-880</v>
      </c>
      <c r="E159" t="str">
        <v/>
      </c>
      <c r="F159" t="str">
        <v>867806078847433</v>
      </c>
      <c r="G159" t="str">
        <v>Otro</v>
      </c>
      <c r="H159" t="str">
        <v/>
      </c>
      <c r="I159" t="str">
        <v>28/09/2026</v>
      </c>
      <c r="J159" t="str">
        <v>14:55:24</v>
      </c>
      <c r="K159">
        <v>-12.233755</v>
      </c>
      <c r="L159">
        <v>-76.91774</v>
      </c>
      <c r="M159">
        <f>HYPERLINK("https://www.google.com/maps/search/?api=1&amp;query=-12.233755,-76.91774","Avenida Separadora Industrial, Villa El Salvador, Lima")</f>
      </c>
      <c r="N159">
        <v>43.3</v>
      </c>
      <c r="O159">
        <v>90</v>
      </c>
      <c r="P159">
        <v>2557.07</v>
      </c>
      <c r="Q159" t="str">
        <v>161.40</v>
      </c>
      <c r="R159" t="str">
        <v/>
      </c>
      <c r="S159" t="str">
        <v/>
      </c>
      <c r="T159" t="str">
        <v/>
      </c>
      <c r="U159" t="str">
        <v/>
      </c>
    </row>
    <row r="160">
      <c r="A160" t="str">
        <v>159</v>
      </c>
      <c r="B160" t="str">
        <v>MASS BSF</v>
      </c>
      <c r="C160" t="str">
        <v>AAR-880</v>
      </c>
      <c r="D160" t="str">
        <v>AAR-880</v>
      </c>
      <c r="E160" t="str">
        <v/>
      </c>
      <c r="F160" t="str">
        <v>867806078847433</v>
      </c>
      <c r="G160" t="str">
        <v>Otro</v>
      </c>
      <c r="H160" t="str">
        <v/>
      </c>
      <c r="I160" t="str">
        <v>28/09/2026</v>
      </c>
      <c r="J160" t="str">
        <v>14:56:08</v>
      </c>
      <c r="K160">
        <v>-12.23962</v>
      </c>
      <c r="L160">
        <v>-76.91424</v>
      </c>
      <c r="M160">
        <f>HYPERLINK("https://www.google.com/maps/search/?api=1&amp;query=-12.23962,-76.91424","Avenida Separadora Industrial, Villa El Salvador, Lima")</f>
      </c>
      <c r="N160">
        <v>58.5</v>
      </c>
      <c r="O160">
        <v>93</v>
      </c>
      <c r="P160">
        <v>2557.82</v>
      </c>
      <c r="Q160" t="str">
        <v>161.40</v>
      </c>
      <c r="R160" t="str">
        <v/>
      </c>
      <c r="S160" t="str">
        <v/>
      </c>
      <c r="T160" t="str">
        <v/>
      </c>
      <c r="U160" t="str">
        <v/>
      </c>
    </row>
    <row r="161">
      <c r="A161" t="str">
        <v>160</v>
      </c>
      <c r="B161" t="str">
        <v>MASS BSF</v>
      </c>
      <c r="C161" t="str">
        <v>AAR-880</v>
      </c>
      <c r="D161" t="str">
        <v>AAR-880</v>
      </c>
      <c r="E161" t="str">
        <v/>
      </c>
      <c r="F161" t="str">
        <v>867806078847433</v>
      </c>
      <c r="G161" t="str">
        <v>Otro</v>
      </c>
      <c r="H161" t="str">
        <v/>
      </c>
      <c r="I161" t="str">
        <v>28/09/2026</v>
      </c>
      <c r="J161" t="str">
        <v>14:56:33</v>
      </c>
      <c r="K161">
        <v>-12.240541</v>
      </c>
      <c r="L161">
        <v>-76.913666</v>
      </c>
      <c r="M161">
        <f>HYPERLINK("https://www.google.com/maps/search/?api=1&amp;query=-12.240541,-76.913666","Avenida Separadora Industrial, Villa El Salvador, Lima")</f>
      </c>
      <c r="N161">
        <v>9.6</v>
      </c>
      <c r="O161">
        <v>93</v>
      </c>
      <c r="P161">
        <v>2557.93</v>
      </c>
      <c r="Q161" t="str">
        <v>161.40</v>
      </c>
      <c r="R161" t="str">
        <v/>
      </c>
      <c r="S161" t="str">
        <v/>
      </c>
      <c r="T161" t="str">
        <v/>
      </c>
      <c r="U161" t="str">
        <v/>
      </c>
    </row>
    <row r="162">
      <c r="A162" t="str">
        <v>161</v>
      </c>
      <c r="B162" t="str">
        <v>MASS BSF</v>
      </c>
      <c r="C162" t="str">
        <v>AAR-880</v>
      </c>
      <c r="D162" t="str">
        <v>AAR-880</v>
      </c>
      <c r="E162" t="str">
        <v/>
      </c>
      <c r="F162" t="str">
        <v>867806078847433</v>
      </c>
      <c r="G162" t="str">
        <v>Otro</v>
      </c>
      <c r="H162" t="str">
        <v/>
      </c>
      <c r="I162" t="str">
        <v>28/09/2026</v>
      </c>
      <c r="J162" t="str">
        <v>14:56:38</v>
      </c>
      <c r="K162">
        <v>-12.240503</v>
      </c>
      <c r="L162">
        <v>-76.91352</v>
      </c>
      <c r="M162">
        <f>HYPERLINK("https://www.google.com/maps/search/?api=1&amp;query=-12.240503,-76.91352","Avenida María Reiche, Villa El Salvador, Lima")</f>
      </c>
      <c r="N162">
        <v>17.2</v>
      </c>
      <c r="O162">
        <v>93</v>
      </c>
      <c r="P162">
        <v>2557.95</v>
      </c>
      <c r="Q162" t="str">
        <v>161.40</v>
      </c>
      <c r="R162" t="str">
        <v/>
      </c>
      <c r="S162" t="str">
        <v/>
      </c>
      <c r="T162" t="str">
        <v/>
      </c>
      <c r="U162" t="str">
        <v/>
      </c>
    </row>
    <row r="163">
      <c r="A163" t="str">
        <v>162</v>
      </c>
      <c r="B163" t="str">
        <v>MASS BSF</v>
      </c>
      <c r="C163" t="str">
        <v>AAR-880</v>
      </c>
      <c r="D163" t="str">
        <v>AAR-880</v>
      </c>
      <c r="E163" t="str">
        <v/>
      </c>
      <c r="F163" t="str">
        <v>867806078847433</v>
      </c>
      <c r="G163" t="str">
        <v>Otro</v>
      </c>
      <c r="H163" t="str">
        <v/>
      </c>
      <c r="I163" t="str">
        <v>28/09/2026</v>
      </c>
      <c r="J163" t="str">
        <v>14:57:01</v>
      </c>
      <c r="K163">
        <v>-12.240045</v>
      </c>
      <c r="L163">
        <v>-76.912674</v>
      </c>
      <c r="M163">
        <f>HYPERLINK("https://www.google.com/maps/search/?api=1&amp;query=-12.240045,-76.912674","Avenida María Reiche, Villa El Salvador, Lima")</f>
      </c>
      <c r="N163">
        <v>10.9</v>
      </c>
      <c r="O163">
        <v>93</v>
      </c>
      <c r="P163">
        <v>2558.05</v>
      </c>
      <c r="Q163" t="str">
        <v>161.40</v>
      </c>
      <c r="R163" t="str">
        <v/>
      </c>
      <c r="S163" t="str">
        <v/>
      </c>
      <c r="T163" t="str">
        <v/>
      </c>
      <c r="U163" t="str">
        <v/>
      </c>
    </row>
    <row r="164">
      <c r="A164" t="str">
        <v>163</v>
      </c>
      <c r="B164" t="str">
        <v>MASS BSF</v>
      </c>
      <c r="C164" t="str">
        <v>AAR-880</v>
      </c>
      <c r="D164" t="str">
        <v>AAR-880</v>
      </c>
      <c r="E164" t="str">
        <v/>
      </c>
      <c r="F164" t="str">
        <v>867806078847433</v>
      </c>
      <c r="G164" t="str">
        <v>Otro</v>
      </c>
      <c r="H164" t="str">
        <v/>
      </c>
      <c r="I164" t="str">
        <v>28/09/2026</v>
      </c>
      <c r="J164" t="str">
        <v>14:57:06</v>
      </c>
      <c r="K164">
        <v>-12.240024</v>
      </c>
      <c r="L164">
        <v>-76.912506</v>
      </c>
      <c r="M164">
        <f>HYPERLINK("https://www.google.com/maps/search/?api=1&amp;query=-12.240024,-76.912506","Avenida María Reiche, Villa El Salvador, Lima")</f>
      </c>
      <c r="N164">
        <v>14.4</v>
      </c>
      <c r="O164">
        <v>93</v>
      </c>
      <c r="P164">
        <v>2558.07</v>
      </c>
      <c r="Q164" t="str">
        <v>161.40</v>
      </c>
      <c r="R164" t="str">
        <v/>
      </c>
      <c r="S164" t="str">
        <v/>
      </c>
      <c r="T164" t="str">
        <v/>
      </c>
      <c r="U164" t="str">
        <v/>
      </c>
    </row>
    <row r="165">
      <c r="A165" t="str">
        <v>164</v>
      </c>
      <c r="B165" t="str">
        <v>MASS BSF</v>
      </c>
      <c r="C165" t="str">
        <v>AAR-880</v>
      </c>
      <c r="D165" t="str">
        <v>AAR-880</v>
      </c>
      <c r="E165" t="str">
        <v/>
      </c>
      <c r="F165" t="str">
        <v>867806078847433</v>
      </c>
      <c r="G165" t="str">
        <v>Otro</v>
      </c>
      <c r="H165" t="str">
        <v/>
      </c>
      <c r="I165" t="str">
        <v>28/09/2026</v>
      </c>
      <c r="J165" t="str">
        <v>14:57:11</v>
      </c>
      <c r="K165">
        <v>-12.240046</v>
      </c>
      <c r="L165">
        <v>-76.91232</v>
      </c>
      <c r="M165">
        <f>HYPERLINK("https://www.google.com/maps/search/?api=1&amp;query=-12.240046,-76.91232","Ovalo María Reiche, Villa El Salvador, Lima")</f>
      </c>
      <c r="N165">
        <v>17.9</v>
      </c>
      <c r="O165">
        <v>93</v>
      </c>
      <c r="P165">
        <v>2558.09</v>
      </c>
      <c r="Q165" t="str">
        <v>161.40</v>
      </c>
      <c r="R165" t="str">
        <v/>
      </c>
      <c r="S165" t="str">
        <v/>
      </c>
      <c r="T165" t="str">
        <v/>
      </c>
      <c r="U165" t="str">
        <v/>
      </c>
    </row>
    <row r="166">
      <c r="A166" t="str">
        <v>165</v>
      </c>
      <c r="B166" t="str">
        <v>MASS BSF</v>
      </c>
      <c r="C166" t="str">
        <v>AAR-880</v>
      </c>
      <c r="D166" t="str">
        <v>AAR-880</v>
      </c>
      <c r="E166" t="str">
        <v/>
      </c>
      <c r="F166" t="str">
        <v>867806078847433</v>
      </c>
      <c r="G166" t="str">
        <v>Otro</v>
      </c>
      <c r="H166" t="str">
        <v/>
      </c>
      <c r="I166" t="str">
        <v>28/09/2026</v>
      </c>
      <c r="J166" t="str">
        <v>14:57:16</v>
      </c>
      <c r="K166">
        <v>-12.240211</v>
      </c>
      <c r="L166">
        <v>-76.912056</v>
      </c>
      <c r="M166">
        <f>HYPERLINK("https://www.google.com/maps/search/?api=1&amp;query=-12.240211,-76.912056","Avenida Lima, Villa El Salvador")</f>
      </c>
      <c r="N166">
        <v>30.1</v>
      </c>
      <c r="O166">
        <v>93</v>
      </c>
      <c r="P166">
        <v>2558.13</v>
      </c>
      <c r="Q166" t="str">
        <v>161.40</v>
      </c>
      <c r="R166" t="str">
        <v/>
      </c>
      <c r="S166" t="str">
        <v/>
      </c>
      <c r="T166" t="str">
        <v/>
      </c>
      <c r="U166" t="str">
        <v/>
      </c>
    </row>
    <row r="167">
      <c r="A167" t="str">
        <v>166</v>
      </c>
      <c r="B167" t="str">
        <v>MASS BSF</v>
      </c>
      <c r="C167" t="str">
        <v>AAR-880</v>
      </c>
      <c r="D167" t="str">
        <v>AAR-880</v>
      </c>
      <c r="E167" t="str">
        <v/>
      </c>
      <c r="F167" t="str">
        <v>867806078847433</v>
      </c>
      <c r="G167" t="str">
        <v>Otro</v>
      </c>
      <c r="H167" t="str">
        <v/>
      </c>
      <c r="I167" t="str">
        <v>28/09/2026</v>
      </c>
      <c r="J167" t="str">
        <v>14:57:23</v>
      </c>
      <c r="K167">
        <v>-12.240757</v>
      </c>
      <c r="L167">
        <v>-76.91165</v>
      </c>
      <c r="M167">
        <f>HYPERLINK("https://www.google.com/maps/search/?api=1&amp;query=-12.240757,-76.91165","Avenida Lima, Villa El Salvador")</f>
      </c>
      <c r="N167">
        <v>44.6</v>
      </c>
      <c r="O167">
        <v>94</v>
      </c>
      <c r="P167">
        <v>2558.2</v>
      </c>
      <c r="Q167" t="str">
        <v>161.40</v>
      </c>
      <c r="R167" t="str">
        <v/>
      </c>
      <c r="S167" t="str">
        <v/>
      </c>
      <c r="T167" t="str">
        <v/>
      </c>
      <c r="U167" t="str">
        <v/>
      </c>
    </row>
    <row r="168">
      <c r="A168" t="str">
        <v>167</v>
      </c>
      <c r="B168" t="str">
        <v>MASS BSF</v>
      </c>
      <c r="C168" t="str">
        <v>AAR-880</v>
      </c>
      <c r="D168" t="str">
        <v>AAR-880</v>
      </c>
      <c r="E168" t="str">
        <v/>
      </c>
      <c r="F168" t="str">
        <v>867806078847433</v>
      </c>
      <c r="G168" t="str">
        <v>Otro</v>
      </c>
      <c r="H168" t="str">
        <v/>
      </c>
      <c r="I168" t="str">
        <v>28/09/2026</v>
      </c>
      <c r="J168" t="str">
        <v>14:58:10</v>
      </c>
      <c r="K168">
        <v>-12.246533</v>
      </c>
      <c r="L168">
        <v>-76.907845</v>
      </c>
      <c r="M168">
        <f>HYPERLINK("https://www.google.com/maps/search/?api=1&amp;query=-12.246533,-76.907845","Avenida Lima, Lurín")</f>
      </c>
      <c r="N168">
        <v>70.7</v>
      </c>
      <c r="O168">
        <v>94</v>
      </c>
      <c r="P168">
        <v>2558.96</v>
      </c>
      <c r="Q168" t="str">
        <v>161.40</v>
      </c>
      <c r="R168" t="str">
        <v/>
      </c>
      <c r="S168" t="str">
        <v/>
      </c>
      <c r="T168" t="str">
        <v/>
      </c>
      <c r="U168" t="str">
        <v/>
      </c>
    </row>
    <row r="169">
      <c r="A169" t="str">
        <v>168</v>
      </c>
      <c r="B169" t="str">
        <v>MASS BSF</v>
      </c>
      <c r="C169" t="str">
        <v>AAR-880</v>
      </c>
      <c r="D169" t="str">
        <v>AAR-880</v>
      </c>
      <c r="E169" t="str">
        <v/>
      </c>
      <c r="F169" t="str">
        <v>867806078847433</v>
      </c>
      <c r="G169" t="str">
        <v>Otro</v>
      </c>
      <c r="H169" t="str">
        <v/>
      </c>
      <c r="I169" t="str">
        <v>28/09/2026</v>
      </c>
      <c r="J169" t="str">
        <v>14:58:54</v>
      </c>
      <c r="K169">
        <v>-12.252503</v>
      </c>
      <c r="L169">
        <v>-76.90507</v>
      </c>
      <c r="M169">
        <f>HYPERLINK("https://www.google.com/maps/search/?api=1&amp;query=-12.252503,-76.90507","Avenida Lima, Lurín")</f>
      </c>
      <c r="N169">
        <v>33.7</v>
      </c>
      <c r="O169">
        <v>94</v>
      </c>
      <c r="P169">
        <v>2559.68</v>
      </c>
      <c r="Q169" t="str">
        <v>161.40</v>
      </c>
      <c r="R169" t="str">
        <v/>
      </c>
      <c r="S169" t="str">
        <v/>
      </c>
      <c r="T169" t="str">
        <v/>
      </c>
      <c r="U169" t="str">
        <v/>
      </c>
    </row>
    <row r="170">
      <c r="A170" t="str">
        <v>169</v>
      </c>
      <c r="B170" t="str">
        <v>MASS BSF</v>
      </c>
      <c r="C170" t="str">
        <v>AAR-880</v>
      </c>
      <c r="D170" t="str">
        <v>AAR-880</v>
      </c>
      <c r="E170" t="str">
        <v/>
      </c>
      <c r="F170" t="str">
        <v>867806078847433</v>
      </c>
      <c r="G170" t="str">
        <v>Otro</v>
      </c>
      <c r="H170" t="str">
        <v/>
      </c>
      <c r="I170" t="str">
        <v>28/09/2026</v>
      </c>
      <c r="J170" t="str">
        <v>14:59:19</v>
      </c>
      <c r="K170">
        <v>-12.253798</v>
      </c>
      <c r="L170">
        <v>-76.9045</v>
      </c>
      <c r="M170">
        <f>HYPERLINK("https://www.google.com/maps/search/?api=1&amp;query=-12.253798,-76.9045","Avenida Lima, Lurín")</f>
      </c>
      <c r="N170">
        <v>23.1</v>
      </c>
      <c r="O170">
        <v>94</v>
      </c>
      <c r="P170">
        <v>2559.84</v>
      </c>
      <c r="Q170" t="str">
        <v>161.40</v>
      </c>
      <c r="R170" t="str">
        <v/>
      </c>
      <c r="S170" t="str">
        <v/>
      </c>
      <c r="T170" t="str">
        <v/>
      </c>
      <c r="U170" t="str">
        <v/>
      </c>
    </row>
    <row r="171">
      <c r="A171" t="str">
        <v>170</v>
      </c>
      <c r="B171" t="str">
        <v>MASS BSF</v>
      </c>
      <c r="C171" t="str">
        <v>AAR-880</v>
      </c>
      <c r="D171" t="str">
        <v>AAR-880</v>
      </c>
      <c r="E171" t="str">
        <v/>
      </c>
      <c r="F171" t="str">
        <v>867806078847433</v>
      </c>
      <c r="G171" t="str">
        <v>Otro</v>
      </c>
      <c r="H171" t="str">
        <v/>
      </c>
      <c r="I171" t="str">
        <v>28/09/2026</v>
      </c>
      <c r="J171" t="str">
        <v>14:59:24</v>
      </c>
      <c r="K171">
        <v>-12.254135</v>
      </c>
      <c r="L171">
        <v>-76.90459</v>
      </c>
      <c r="M171">
        <f>HYPERLINK("https://www.google.com/maps/search/?api=1&amp;query=-12.254135,-76.90459","Avenida Lima, Lurín")</f>
      </c>
      <c r="N171">
        <v>31.2</v>
      </c>
      <c r="O171">
        <v>94</v>
      </c>
      <c r="P171">
        <v>2559.88</v>
      </c>
      <c r="Q171" t="str">
        <v>161.40</v>
      </c>
      <c r="R171" t="str">
        <v/>
      </c>
      <c r="S171" t="str">
        <v/>
      </c>
      <c r="T171" t="str">
        <v/>
      </c>
      <c r="U171" t="str">
        <v/>
      </c>
    </row>
    <row r="172">
      <c r="A172" t="str">
        <v>171</v>
      </c>
      <c r="B172" t="str">
        <v>MASS BSF</v>
      </c>
      <c r="C172" t="str">
        <v>AAR-880</v>
      </c>
      <c r="D172" t="str">
        <v>AAR-880</v>
      </c>
      <c r="E172" t="str">
        <v/>
      </c>
      <c r="F172" t="str">
        <v>867806078847433</v>
      </c>
      <c r="G172" t="str">
        <v>Otro</v>
      </c>
      <c r="H172" t="str">
        <v/>
      </c>
      <c r="I172" t="str">
        <v>28/09/2026</v>
      </c>
      <c r="J172" t="str">
        <v>14:59:29</v>
      </c>
      <c r="K172">
        <v>-12.25433</v>
      </c>
      <c r="L172">
        <v>-76.90497</v>
      </c>
      <c r="M172">
        <f>HYPERLINK("https://www.google.com/maps/search/?api=1&amp;query=-12.25433,-76.90497","Antigua Panamericana Sur, Lurín, Lima")</f>
      </c>
      <c r="N172">
        <v>38.7</v>
      </c>
      <c r="O172">
        <v>94</v>
      </c>
      <c r="P172">
        <v>2559.92</v>
      </c>
      <c r="Q172" t="str">
        <v>161.40</v>
      </c>
      <c r="R172" t="str">
        <v/>
      </c>
      <c r="S172" t="str">
        <v/>
      </c>
      <c r="T172" t="str">
        <v/>
      </c>
      <c r="U172" t="str">
        <v/>
      </c>
    </row>
    <row r="173">
      <c r="A173" t="str">
        <v>172</v>
      </c>
      <c r="B173" t="str">
        <v>MASS BSF</v>
      </c>
      <c r="C173" t="str">
        <v>AAR-880</v>
      </c>
      <c r="D173" t="str">
        <v>AAR-880</v>
      </c>
      <c r="E173" t="str">
        <v/>
      </c>
      <c r="F173" t="str">
        <v>867806078847433</v>
      </c>
      <c r="G173" t="str">
        <v>Otro</v>
      </c>
      <c r="H173" t="str">
        <v/>
      </c>
      <c r="I173" t="str">
        <v>28/09/2026</v>
      </c>
      <c r="J173" t="str">
        <v>15:00:09</v>
      </c>
      <c r="K173">
        <v>-12.255388</v>
      </c>
      <c r="L173">
        <v>-76.91047</v>
      </c>
      <c r="M173">
        <f>HYPERLINK("https://www.google.com/maps/search/?api=1&amp;query=-12.255388,-76.91047","Antigua Panamericana Sur, Lurín, Lima")</f>
      </c>
      <c r="N173">
        <v>64</v>
      </c>
      <c r="O173">
        <v>94</v>
      </c>
      <c r="P173">
        <v>2560.53</v>
      </c>
      <c r="Q173" t="str">
        <v>161.40</v>
      </c>
      <c r="R173" t="str">
        <v>Exceso de velocidad en segmento vial</v>
      </c>
      <c r="S173" t="str">
        <v/>
      </c>
      <c r="T173" t="str">
        <v/>
      </c>
      <c r="U173" t="str">
        <v/>
      </c>
    </row>
    <row r="174">
      <c r="A174" t="str">
        <v>173</v>
      </c>
      <c r="B174" t="str">
        <v>MASS BSF</v>
      </c>
      <c r="C174" t="str">
        <v>AAR-880</v>
      </c>
      <c r="D174" t="str">
        <v>AAR-880</v>
      </c>
      <c r="E174" t="str">
        <v/>
      </c>
      <c r="F174" t="str">
        <v>867806078847433</v>
      </c>
      <c r="G174" t="str">
        <v>Otro</v>
      </c>
      <c r="H174" t="str">
        <v/>
      </c>
      <c r="I174" t="str">
        <v>28/09/2026</v>
      </c>
      <c r="J174" t="str">
        <v>15:01:09</v>
      </c>
      <c r="K174">
        <v>-12.25469</v>
      </c>
      <c r="L174">
        <v>-76.91631</v>
      </c>
      <c r="M174">
        <f>HYPERLINK("https://www.google.com/maps/search/?api=1&amp;query=-12.25469,-76.91631","Antigua Panamericana Sur, Lurín, Lima")</f>
      </c>
      <c r="N174">
        <v>20.9</v>
      </c>
      <c r="O174">
        <v>95</v>
      </c>
      <c r="P174">
        <v>2561.16</v>
      </c>
      <c r="Q174" t="str">
        <v>161.40</v>
      </c>
      <c r="R174" t="str">
        <v/>
      </c>
      <c r="S174" t="str">
        <v/>
      </c>
      <c r="T174" t="str">
        <v/>
      </c>
      <c r="U174" t="str">
        <v/>
      </c>
    </row>
    <row r="175">
      <c r="A175" t="str">
        <v>174</v>
      </c>
      <c r="B175" t="str">
        <v>MASS BSF</v>
      </c>
      <c r="C175" t="str">
        <v>AAR-880</v>
      </c>
      <c r="D175" t="str">
        <v>AAR-880</v>
      </c>
      <c r="E175" t="str">
        <v/>
      </c>
      <c r="F175" t="str">
        <v>867806078847433</v>
      </c>
      <c r="G175" t="str">
        <v>Otro</v>
      </c>
      <c r="H175" t="str">
        <v/>
      </c>
      <c r="I175" t="str">
        <v>28/09/2026</v>
      </c>
      <c r="J175" t="str">
        <v>15:02:09</v>
      </c>
      <c r="K175">
        <v>-12.25422</v>
      </c>
      <c r="L175">
        <v>-76.91999</v>
      </c>
      <c r="M175">
        <f>HYPERLINK("https://www.google.com/maps/search/?api=1&amp;query=-12.25422,-76.91999","Antigua Panamericana Sur, Lurín, Lima")</f>
      </c>
      <c r="N175">
        <v>19.2</v>
      </c>
      <c r="O175">
        <v>90</v>
      </c>
      <c r="P175">
        <v>2561.56</v>
      </c>
      <c r="Q175" t="str">
        <v>161.40</v>
      </c>
      <c r="R175" t="str">
        <v/>
      </c>
      <c r="S175" t="str">
        <v/>
      </c>
      <c r="T175" t="str">
        <v/>
      </c>
      <c r="U175" t="str">
        <v/>
      </c>
    </row>
    <row r="176">
      <c r="A176" t="str">
        <v>175</v>
      </c>
      <c r="B176" t="str">
        <v>MASS BSF</v>
      </c>
      <c r="C176" t="str">
        <v>AAR-880</v>
      </c>
      <c r="D176" t="str">
        <v>AAR-880</v>
      </c>
      <c r="E176" t="str">
        <v/>
      </c>
      <c r="F176" t="str">
        <v>867806078847433</v>
      </c>
      <c r="G176" t="str">
        <v>Otro</v>
      </c>
      <c r="H176" t="str">
        <v/>
      </c>
      <c r="I176" t="str">
        <v>28/09/2026</v>
      </c>
      <c r="J176" t="str">
        <v>15:02:14</v>
      </c>
      <c r="K176">
        <v>-12.2542</v>
      </c>
      <c r="L176">
        <v>-76.92034</v>
      </c>
      <c r="M176">
        <f>HYPERLINK("https://www.google.com/maps/search/?api=1&amp;query=-12.2542,-76.92034","Antigua Panamericana Sur, Lurín, Lima")</f>
      </c>
      <c r="N176">
        <v>25.3</v>
      </c>
      <c r="O176">
        <v>92</v>
      </c>
      <c r="P176">
        <v>2561.6</v>
      </c>
      <c r="Q176" t="str">
        <v>161.40</v>
      </c>
      <c r="R176" t="str">
        <v/>
      </c>
      <c r="S176" t="str">
        <v/>
      </c>
      <c r="T176" t="str">
        <v/>
      </c>
      <c r="U176" t="str">
        <v/>
      </c>
    </row>
    <row r="177">
      <c r="A177" t="str">
        <v>176</v>
      </c>
      <c r="B177" t="str">
        <v>MASS BSF</v>
      </c>
      <c r="C177" t="str">
        <v>AAR-880</v>
      </c>
      <c r="D177" t="str">
        <v>AAR-880</v>
      </c>
      <c r="E177" t="str">
        <v/>
      </c>
      <c r="F177" t="str">
        <v>867806078847433</v>
      </c>
      <c r="G177" t="str">
        <v>Otro</v>
      </c>
      <c r="H177" t="str">
        <v/>
      </c>
      <c r="I177" t="str">
        <v>28/09/2026</v>
      </c>
      <c r="J177" t="str">
        <v>15:02:19</v>
      </c>
      <c r="K177">
        <v>-12.254423</v>
      </c>
      <c r="L177">
        <v>-76.9206</v>
      </c>
      <c r="M177">
        <f>HYPERLINK("https://www.google.com/maps/search/?api=1&amp;query=-12.254423,-76.9206","Antigua Panamericana Sur, Lurín, Lima")</f>
      </c>
      <c r="N177">
        <v>29</v>
      </c>
      <c r="O177">
        <v>90</v>
      </c>
      <c r="P177">
        <v>2561.64</v>
      </c>
      <c r="Q177" t="str">
        <v>161.40</v>
      </c>
      <c r="R177" t="str">
        <v/>
      </c>
      <c r="S177" t="str">
        <v/>
      </c>
      <c r="T177" t="str">
        <v/>
      </c>
      <c r="U177" t="str">
        <v/>
      </c>
    </row>
    <row r="178">
      <c r="A178" t="str">
        <v>177</v>
      </c>
      <c r="B178" t="str">
        <v>MASS BSF</v>
      </c>
      <c r="C178" t="str">
        <v>AAR-880</v>
      </c>
      <c r="D178" t="str">
        <v>AAR-880</v>
      </c>
      <c r="E178" t="str">
        <v/>
      </c>
      <c r="F178" t="str">
        <v>867806078847433</v>
      </c>
      <c r="G178" t="str">
        <v>Otro</v>
      </c>
      <c r="H178" t="str">
        <v/>
      </c>
      <c r="I178" t="str">
        <v>28/09/2026</v>
      </c>
      <c r="J178" t="str">
        <v>15:03:19</v>
      </c>
      <c r="K178">
        <v>-12.25664</v>
      </c>
      <c r="L178">
        <v>-76.92184</v>
      </c>
      <c r="M178">
        <f>HYPERLINK("https://www.google.com/maps/search/?api=1&amp;query=-12.25664,-76.92184","Lurín, Lima")</f>
      </c>
      <c r="N178">
        <v>26.2</v>
      </c>
      <c r="O178">
        <v>90</v>
      </c>
      <c r="P178">
        <v>2561.91</v>
      </c>
      <c r="Q178" t="str">
        <v>161.40</v>
      </c>
      <c r="R178" t="str">
        <v/>
      </c>
      <c r="S178" t="str">
        <v/>
      </c>
      <c r="T178" t="str">
        <v/>
      </c>
      <c r="U178" t="str">
        <v/>
      </c>
    </row>
    <row r="179">
      <c r="A179" t="str">
        <v>178</v>
      </c>
      <c r="B179" t="str">
        <v>MASS BSF</v>
      </c>
      <c r="C179" t="str">
        <v>AAR-880</v>
      </c>
      <c r="D179" t="str">
        <v>AAR-880</v>
      </c>
      <c r="E179" t="str">
        <v/>
      </c>
      <c r="F179" t="str">
        <v>867806078847433</v>
      </c>
      <c r="G179" t="str">
        <v>Otro</v>
      </c>
      <c r="H179" t="str">
        <v/>
      </c>
      <c r="I179" t="str">
        <v>28/09/2026</v>
      </c>
      <c r="J179" t="str">
        <v>15:03:24</v>
      </c>
      <c r="K179">
        <v>-12.257017</v>
      </c>
      <c r="L179">
        <v>-76.92208</v>
      </c>
      <c r="M179">
        <f>HYPERLINK("https://www.google.com/maps/search/?api=1&amp;query=-12.257017,-76.92208","Lurín, Lima")</f>
      </c>
      <c r="N179">
        <v>32.5</v>
      </c>
      <c r="O179">
        <v>90</v>
      </c>
      <c r="P179">
        <v>2561.96</v>
      </c>
      <c r="Q179" t="str">
        <v>161.40</v>
      </c>
      <c r="R179" t="str">
        <v/>
      </c>
      <c r="S179" t="str">
        <v/>
      </c>
      <c r="T179" t="str">
        <v/>
      </c>
      <c r="U179" t="str">
        <v/>
      </c>
    </row>
    <row r="180">
      <c r="A180" t="str">
        <v>179</v>
      </c>
      <c r="B180" t="str">
        <v>MASS BSF</v>
      </c>
      <c r="C180" t="str">
        <v>AAR-880</v>
      </c>
      <c r="D180" t="str">
        <v>AAR-880</v>
      </c>
      <c r="E180" t="str">
        <v/>
      </c>
      <c r="F180" t="str">
        <v>867806078847433</v>
      </c>
      <c r="G180" t="str">
        <v>Otro</v>
      </c>
      <c r="H180" t="str">
        <v/>
      </c>
      <c r="I180" t="str">
        <v>28/09/2026</v>
      </c>
      <c r="J180" t="str">
        <v>15:03:29</v>
      </c>
      <c r="K180">
        <v>-12.257248</v>
      </c>
      <c r="L180">
        <v>-76.922455</v>
      </c>
      <c r="M180">
        <f>HYPERLINK("https://www.google.com/maps/search/?api=1&amp;query=-12.257248,-76.922455","Lurín, Lima")</f>
      </c>
      <c r="N180">
        <v>35.3</v>
      </c>
      <c r="O180">
        <v>90</v>
      </c>
      <c r="P180">
        <v>2562.01</v>
      </c>
      <c r="Q180" t="str">
        <v>161.40</v>
      </c>
      <c r="R180" t="str">
        <v/>
      </c>
      <c r="S180" t="str">
        <v/>
      </c>
      <c r="T180" t="str">
        <v/>
      </c>
      <c r="U180" t="str">
        <v/>
      </c>
    </row>
    <row r="181">
      <c r="A181" t="str">
        <v>180</v>
      </c>
      <c r="B181" t="str">
        <v>MASS BSF</v>
      </c>
      <c r="C181" t="str">
        <v>AAR-880</v>
      </c>
      <c r="D181" t="str">
        <v>AAR-880</v>
      </c>
      <c r="E181" t="str">
        <v/>
      </c>
      <c r="F181" t="str">
        <v>867806078847433</v>
      </c>
      <c r="G181" t="str">
        <v>Otro</v>
      </c>
      <c r="H181" t="str">
        <v/>
      </c>
      <c r="I181" t="str">
        <v>28/09/2026</v>
      </c>
      <c r="J181" t="str">
        <v>15:03:34</v>
      </c>
      <c r="K181">
        <v>-12.25727</v>
      </c>
      <c r="L181">
        <v>-76.922874</v>
      </c>
      <c r="M181">
        <f>HYPERLINK("https://www.google.com/maps/search/?api=1&amp;query=-12.25727,-76.922874","Lurín, Lima")</f>
      </c>
      <c r="N181">
        <v>31.1</v>
      </c>
      <c r="O181">
        <v>90</v>
      </c>
      <c r="P181">
        <v>2562.05</v>
      </c>
      <c r="Q181" t="str">
        <v>161.40</v>
      </c>
      <c r="R181" t="str">
        <v/>
      </c>
      <c r="S181" t="str">
        <v/>
      </c>
      <c r="T181" t="str">
        <v/>
      </c>
      <c r="U181" t="str">
        <v/>
      </c>
    </row>
    <row r="182">
      <c r="A182" t="str">
        <v>181</v>
      </c>
      <c r="B182" t="str">
        <v>MASS BSF</v>
      </c>
      <c r="C182" t="str">
        <v>AAR-880</v>
      </c>
      <c r="D182" t="str">
        <v>AAR-880</v>
      </c>
      <c r="E182" t="str">
        <v/>
      </c>
      <c r="F182" t="str">
        <v>867806078847433</v>
      </c>
      <c r="G182" t="str">
        <v>Otro</v>
      </c>
      <c r="H182" t="str">
        <v/>
      </c>
      <c r="I182" t="str">
        <v>28/09/2026</v>
      </c>
      <c r="J182" t="str">
        <v>15:03:39</v>
      </c>
      <c r="K182">
        <v>-12.257098</v>
      </c>
      <c r="L182">
        <v>-76.92323</v>
      </c>
      <c r="M182">
        <f>HYPERLINK("https://www.google.com/maps/search/?api=1&amp;query=-12.257098,-76.92323","Lurín, Lima")</f>
      </c>
      <c r="N182">
        <v>31.1</v>
      </c>
      <c r="O182">
        <v>90</v>
      </c>
      <c r="P182">
        <v>2562.1</v>
      </c>
      <c r="Q182" t="str">
        <v>161.40</v>
      </c>
      <c r="R182" t="str">
        <v/>
      </c>
      <c r="S182" t="str">
        <v/>
      </c>
      <c r="T182" t="str">
        <v/>
      </c>
      <c r="U182" t="str">
        <v/>
      </c>
    </row>
    <row r="183">
      <c r="A183" t="str">
        <v>182</v>
      </c>
      <c r="B183" t="str">
        <v>MASS BSF</v>
      </c>
      <c r="C183" t="str">
        <v>AAR-880</v>
      </c>
      <c r="D183" t="str">
        <v>AAR-880</v>
      </c>
      <c r="E183" t="str">
        <v/>
      </c>
      <c r="F183" t="str">
        <v>867806078847433</v>
      </c>
      <c r="G183" t="str">
        <v>Otro</v>
      </c>
      <c r="H183" t="str">
        <v/>
      </c>
      <c r="I183" t="str">
        <v>28/09/2026</v>
      </c>
      <c r="J183" t="str">
        <v>15:03:44</v>
      </c>
      <c r="K183">
        <v>-12.256773</v>
      </c>
      <c r="L183">
        <v>-76.92348</v>
      </c>
      <c r="M183">
        <f>HYPERLINK("https://www.google.com/maps/search/?api=1&amp;query=-12.256773,-76.92348","Lurín, Lima")</f>
      </c>
      <c r="N183">
        <v>36.6</v>
      </c>
      <c r="O183">
        <v>90</v>
      </c>
      <c r="P183">
        <v>2562.14</v>
      </c>
      <c r="Q183" t="str">
        <v>161.40</v>
      </c>
      <c r="R183" t="str">
        <v/>
      </c>
      <c r="S183" t="str">
        <v/>
      </c>
      <c r="T183" t="str">
        <v/>
      </c>
      <c r="U183" t="str">
        <v/>
      </c>
    </row>
    <row r="184">
      <c r="A184" t="str">
        <v>183</v>
      </c>
      <c r="B184" t="str">
        <v>MASS BSF</v>
      </c>
      <c r="C184" t="str">
        <v>AAR-880</v>
      </c>
      <c r="D184" t="str">
        <v>AAR-880</v>
      </c>
      <c r="E184" t="str">
        <v/>
      </c>
      <c r="F184" t="str">
        <v>867806078847433</v>
      </c>
      <c r="G184" t="str">
        <v>Otro</v>
      </c>
      <c r="H184" t="str">
        <v/>
      </c>
      <c r="I184" t="str">
        <v>28/09/2026</v>
      </c>
      <c r="J184" t="str">
        <v>15:03:49</v>
      </c>
      <c r="K184">
        <v>-12.2563</v>
      </c>
      <c r="L184">
        <v>-76.92353</v>
      </c>
      <c r="M184">
        <f>HYPERLINK("https://www.google.com/maps/search/?api=1&amp;query=-12.2563,-76.92353","Lurín, Lima")</f>
      </c>
      <c r="N184">
        <v>38.7</v>
      </c>
      <c r="O184">
        <v>90</v>
      </c>
      <c r="P184">
        <v>2562.19</v>
      </c>
      <c r="Q184" t="str">
        <v>161.40</v>
      </c>
      <c r="R184" t="str">
        <v/>
      </c>
      <c r="S184" t="str">
        <v/>
      </c>
      <c r="T184" t="str">
        <v/>
      </c>
      <c r="U184" t="str">
        <v/>
      </c>
    </row>
    <row r="185">
      <c r="A185" t="str">
        <v>184</v>
      </c>
      <c r="B185" t="str">
        <v>MASS BSF</v>
      </c>
      <c r="C185" t="str">
        <v>AAR-880</v>
      </c>
      <c r="D185" t="str">
        <v>AAR-880</v>
      </c>
      <c r="E185" t="str">
        <v/>
      </c>
      <c r="F185" t="str">
        <v>867806078847433</v>
      </c>
      <c r="G185" t="str">
        <v>Otro</v>
      </c>
      <c r="H185" t="str">
        <v/>
      </c>
      <c r="I185" t="str">
        <v>28/09/2026</v>
      </c>
      <c r="J185" t="str">
        <v>15:03:54</v>
      </c>
      <c r="K185">
        <v>-12.255881</v>
      </c>
      <c r="L185">
        <v>-76.92335</v>
      </c>
      <c r="M185">
        <f>HYPERLINK("https://www.google.com/maps/search/?api=1&amp;query=-12.255881,-76.92335","Lurín, Lima")</f>
      </c>
      <c r="N185">
        <v>35</v>
      </c>
      <c r="O185">
        <v>90</v>
      </c>
      <c r="P185">
        <v>2562.24</v>
      </c>
      <c r="Q185" t="str">
        <v>161.40</v>
      </c>
      <c r="R185" t="str">
        <v/>
      </c>
      <c r="S185" t="str">
        <v/>
      </c>
      <c r="T185" t="str">
        <v/>
      </c>
      <c r="U185" t="str">
        <v/>
      </c>
    </row>
    <row r="186">
      <c r="A186" t="str">
        <v>185</v>
      </c>
      <c r="B186" t="str">
        <v>MASS BSF</v>
      </c>
      <c r="C186" t="str">
        <v>AAR-880</v>
      </c>
      <c r="D186" t="str">
        <v>AAR-880</v>
      </c>
      <c r="E186" t="str">
        <v/>
      </c>
      <c r="F186" t="str">
        <v>867806078847433</v>
      </c>
      <c r="G186" t="str">
        <v>Otro</v>
      </c>
      <c r="H186" t="str">
        <v/>
      </c>
      <c r="I186" t="str">
        <v>28/09/2026</v>
      </c>
      <c r="J186" t="str">
        <v>15:03:59</v>
      </c>
      <c r="K186">
        <v>-12.255695</v>
      </c>
      <c r="L186">
        <v>-76.92297</v>
      </c>
      <c r="M186">
        <f>HYPERLINK("https://www.google.com/maps/search/?api=1&amp;query=-12.255695,-76.92297","Carretera Panamericana Sur, Lurín, Lima")</f>
      </c>
      <c r="N186">
        <v>33.3</v>
      </c>
      <c r="O186">
        <v>95</v>
      </c>
      <c r="P186">
        <v>2562.29</v>
      </c>
      <c r="Q186" t="str">
        <v>161.40</v>
      </c>
      <c r="R186" t="str">
        <v/>
      </c>
      <c r="S186" t="str">
        <v/>
      </c>
      <c r="T186" t="str">
        <v/>
      </c>
      <c r="U186" t="str">
        <v/>
      </c>
    </row>
    <row r="187">
      <c r="A187" t="str">
        <v>186</v>
      </c>
      <c r="B187" t="str">
        <v>MASS BSF</v>
      </c>
      <c r="C187" t="str">
        <v>AAR-880</v>
      </c>
      <c r="D187" t="str">
        <v>AAR-880</v>
      </c>
      <c r="E187" t="str">
        <v/>
      </c>
      <c r="F187" t="str">
        <v>867806078847433</v>
      </c>
      <c r="G187" t="str">
        <v>Otro</v>
      </c>
      <c r="H187" t="str">
        <v/>
      </c>
      <c r="I187" t="str">
        <v>28/09/2026</v>
      </c>
      <c r="J187" t="str">
        <v>15:04:04</v>
      </c>
      <c r="K187">
        <v>-12.255775</v>
      </c>
      <c r="L187">
        <v>-76.92254</v>
      </c>
      <c r="M187">
        <f>HYPERLINK("https://www.google.com/maps/search/?api=1&amp;query=-12.255775,-76.92254","Carretera Panamericana Sur, Lurín, Lima")</f>
      </c>
      <c r="N187">
        <v>36.4</v>
      </c>
      <c r="O187">
        <v>95</v>
      </c>
      <c r="P187">
        <v>2562.34</v>
      </c>
      <c r="Q187" t="str">
        <v>161.40</v>
      </c>
      <c r="R187" t="str">
        <v/>
      </c>
      <c r="S187" t="str">
        <v/>
      </c>
      <c r="T187" t="str">
        <v/>
      </c>
      <c r="U187" t="str">
        <v/>
      </c>
    </row>
    <row r="188">
      <c r="A188" t="str">
        <v>187</v>
      </c>
      <c r="B188" t="str">
        <v>MASS BSF</v>
      </c>
      <c r="C188" t="str">
        <v>AAR-880</v>
      </c>
      <c r="D188" t="str">
        <v>AAR-880</v>
      </c>
      <c r="E188" t="str">
        <v/>
      </c>
      <c r="F188" t="str">
        <v>867806078847433</v>
      </c>
      <c r="G188" t="str">
        <v>Otro</v>
      </c>
      <c r="H188" t="str">
        <v/>
      </c>
      <c r="I188" t="str">
        <v>28/09/2026</v>
      </c>
      <c r="J188" t="str">
        <v>15:04:11</v>
      </c>
      <c r="K188">
        <v>-12.256065</v>
      </c>
      <c r="L188">
        <v>-76.92194</v>
      </c>
      <c r="M188">
        <f>HYPERLINK("https://www.google.com/maps/search/?api=1&amp;query=-12.256065,-76.92194","Carretera Panamericana Sur, Lurín, Lima")</f>
      </c>
      <c r="N188">
        <v>31.1</v>
      </c>
      <c r="O188">
        <v>95</v>
      </c>
      <c r="P188">
        <v>2562.41</v>
      </c>
      <c r="Q188" t="str">
        <v>161.40</v>
      </c>
      <c r="R188" t="str">
        <v/>
      </c>
      <c r="S188" t="str">
        <v/>
      </c>
      <c r="T188" t="str">
        <v/>
      </c>
      <c r="U188" t="str">
        <v/>
      </c>
    </row>
    <row r="189">
      <c r="A189" t="str">
        <v>188</v>
      </c>
      <c r="B189" t="str">
        <v>MASS BSF</v>
      </c>
      <c r="C189" t="str">
        <v>AAR-880</v>
      </c>
      <c r="D189" t="str">
        <v>AAR-880</v>
      </c>
      <c r="E189" t="str">
        <v/>
      </c>
      <c r="F189" t="str">
        <v>867806078847433</v>
      </c>
      <c r="G189" t="str">
        <v>Otro</v>
      </c>
      <c r="H189" t="str">
        <v/>
      </c>
      <c r="I189" t="str">
        <v>28/09/2026</v>
      </c>
      <c r="J189" t="str">
        <v>15:05:11</v>
      </c>
      <c r="K189">
        <v>-12.259461</v>
      </c>
      <c r="L189">
        <v>-76.91647</v>
      </c>
      <c r="M189">
        <f>HYPERLINK("https://www.google.com/maps/search/?api=1&amp;query=-12.259461,-76.91647","Carretera Panamericana Sur, Lurín, Lima")</f>
      </c>
      <c r="N189">
        <v>55.7</v>
      </c>
      <c r="O189">
        <v>95</v>
      </c>
      <c r="P189">
        <v>2563.11</v>
      </c>
      <c r="Q189" t="str">
        <v>161.40</v>
      </c>
      <c r="R189" t="str">
        <v/>
      </c>
      <c r="S189" t="str">
        <v/>
      </c>
      <c r="T189" t="str">
        <v/>
      </c>
      <c r="U189" t="str">
        <v/>
      </c>
    </row>
    <row r="190">
      <c r="A190" t="str">
        <v>189</v>
      </c>
      <c r="B190" t="str">
        <v>MASS BSF</v>
      </c>
      <c r="C190" t="str">
        <v>AAR-880</v>
      </c>
      <c r="D190" t="str">
        <v>AAR-880</v>
      </c>
      <c r="E190" t="str">
        <v/>
      </c>
      <c r="F190" t="str">
        <v>867806078847433</v>
      </c>
      <c r="G190" t="str">
        <v>Otro</v>
      </c>
      <c r="H190" t="str">
        <v/>
      </c>
      <c r="I190" t="str">
        <v>28/09/2026</v>
      </c>
      <c r="J190" t="str">
        <v>15:06:03</v>
      </c>
      <c r="K190">
        <v>-12.263502</v>
      </c>
      <c r="L190">
        <v>-76.910065</v>
      </c>
      <c r="M190">
        <f>HYPERLINK("https://www.google.com/maps/search/?api=1&amp;query=-12.263502,-76.910065","Carretera Panamericana Sur, Lurín, Lima")</f>
      </c>
      <c r="N190">
        <v>59</v>
      </c>
      <c r="O190">
        <v>95</v>
      </c>
      <c r="P190">
        <v>2563.93</v>
      </c>
      <c r="Q190" t="str">
        <v>161.40</v>
      </c>
      <c r="R190" t="str">
        <v/>
      </c>
      <c r="S190" t="str">
        <v/>
      </c>
      <c r="T190" t="str">
        <v/>
      </c>
      <c r="U190" t="str">
        <v/>
      </c>
    </row>
    <row r="191">
      <c r="A191" t="str">
        <v>190</v>
      </c>
      <c r="B191" t="str">
        <v>MASS BSF</v>
      </c>
      <c r="C191" t="str">
        <v>AAR-880</v>
      </c>
      <c r="D191" t="str">
        <v>AAR-880</v>
      </c>
      <c r="E191" t="str">
        <v/>
      </c>
      <c r="F191" t="str">
        <v>867806078847433</v>
      </c>
      <c r="G191" t="str">
        <v>Otro</v>
      </c>
      <c r="H191" t="str">
        <v/>
      </c>
      <c r="I191" t="str">
        <v>28/09/2026</v>
      </c>
      <c r="J191" t="str">
        <v>15:06:52</v>
      </c>
      <c r="K191">
        <v>-12.267545</v>
      </c>
      <c r="L191">
        <v>-76.90363</v>
      </c>
      <c r="M191">
        <f>HYPERLINK("https://www.google.com/maps/search/?api=1&amp;query=-12.267545,-76.90363","Carretera Panamericana Sur, Lurín, Lima")</f>
      </c>
      <c r="N191">
        <v>61.8</v>
      </c>
      <c r="O191">
        <v>95</v>
      </c>
      <c r="P191">
        <v>2564.75</v>
      </c>
      <c r="Q191" t="str">
        <v>161.40</v>
      </c>
      <c r="R191" t="str">
        <v/>
      </c>
      <c r="S191" t="str">
        <v/>
      </c>
      <c r="T191" t="str">
        <v/>
      </c>
      <c r="U191" t="str">
        <v/>
      </c>
    </row>
    <row r="192">
      <c r="A192" t="str">
        <v>191</v>
      </c>
      <c r="B192" t="str">
        <v>MASS BSF</v>
      </c>
      <c r="C192" t="str">
        <v>AAR-880</v>
      </c>
      <c r="D192" t="str">
        <v>AAR-880</v>
      </c>
      <c r="E192" t="str">
        <v/>
      </c>
      <c r="F192" t="str">
        <v>867806078847433</v>
      </c>
      <c r="G192" t="str">
        <v>Otro</v>
      </c>
      <c r="H192" t="str">
        <v/>
      </c>
      <c r="I192" t="str">
        <v>28/09/2026</v>
      </c>
      <c r="J192" t="str">
        <v>15:07:41</v>
      </c>
      <c r="K192">
        <v>-12.271526</v>
      </c>
      <c r="L192">
        <v>-76.89723</v>
      </c>
      <c r="M192">
        <f>HYPERLINK("https://www.google.com/maps/search/?api=1&amp;query=-12.271526,-76.89723","Carretera Panamericana Sur, Lurín, Lima")</f>
      </c>
      <c r="N192">
        <v>65.5</v>
      </c>
      <c r="O192">
        <v>97</v>
      </c>
      <c r="P192">
        <v>2565.57</v>
      </c>
      <c r="Q192" t="str">
        <v>161.40</v>
      </c>
      <c r="R192" t="str">
        <v/>
      </c>
      <c r="S192" t="str">
        <v/>
      </c>
      <c r="T192" t="str">
        <v/>
      </c>
      <c r="U192" t="str">
        <v/>
      </c>
    </row>
    <row r="193">
      <c r="A193" t="str">
        <v>192</v>
      </c>
      <c r="B193" t="str">
        <v>MASS BSF</v>
      </c>
      <c r="C193" t="str">
        <v>AAR-880</v>
      </c>
      <c r="D193" t="str">
        <v>AAR-880</v>
      </c>
      <c r="E193" t="str">
        <v/>
      </c>
      <c r="F193" t="str">
        <v>867806078847433</v>
      </c>
      <c r="G193" t="str">
        <v>Otro</v>
      </c>
      <c r="H193" t="str">
        <v/>
      </c>
      <c r="I193" t="str">
        <v>28/09/2026</v>
      </c>
      <c r="J193" t="str">
        <v>15:08:26</v>
      </c>
      <c r="K193">
        <v>-12.275568</v>
      </c>
      <c r="L193">
        <v>-76.89081</v>
      </c>
      <c r="M193">
        <f>HYPERLINK("https://www.google.com/maps/search/?api=1&amp;query=-12.275568,-76.89081","Carretera Panamericana Sur, Lurín, Lima")</f>
      </c>
      <c r="N193">
        <v>65.9</v>
      </c>
      <c r="O193">
        <v>97</v>
      </c>
      <c r="P193">
        <v>2566.4</v>
      </c>
      <c r="Q193" t="str">
        <v>161.40</v>
      </c>
      <c r="R193" t="str">
        <v/>
      </c>
      <c r="S193" t="str">
        <v/>
      </c>
      <c r="T193" t="str">
        <v/>
      </c>
      <c r="U193" t="str">
        <v/>
      </c>
    </row>
    <row r="194">
      <c r="A194" t="str">
        <v>193</v>
      </c>
      <c r="B194" t="str">
        <v>MASS BSF</v>
      </c>
      <c r="C194" t="str">
        <v>AAR-880</v>
      </c>
      <c r="D194" t="str">
        <v>AAR-880</v>
      </c>
      <c r="E194" t="str">
        <v/>
      </c>
      <c r="F194" t="str">
        <v>867806078847433</v>
      </c>
      <c r="G194" t="str">
        <v>Otro</v>
      </c>
      <c r="H194" t="str">
        <v/>
      </c>
      <c r="I194" t="str">
        <v>28/09/2026</v>
      </c>
      <c r="J194" t="str">
        <v>15:08:34</v>
      </c>
      <c r="K194">
        <v>-12.276225</v>
      </c>
      <c r="L194">
        <v>-76.889824</v>
      </c>
      <c r="M194">
        <f>HYPERLINK("https://www.google.com/maps/search/?api=1&amp;query=-12.276225,-76.889824","Carretera Panamericana Sur, Lurín, Lima")</f>
      </c>
      <c r="N194">
        <v>66.6</v>
      </c>
      <c r="O194">
        <v>92</v>
      </c>
      <c r="P194">
        <v>2566.53</v>
      </c>
      <c r="Q194" t="str">
        <v>161.40</v>
      </c>
      <c r="R194" t="str">
        <v/>
      </c>
      <c r="S194" t="str">
        <v/>
      </c>
      <c r="T194" t="str">
        <v/>
      </c>
      <c r="U194" t="str">
        <v/>
      </c>
    </row>
    <row r="195">
      <c r="A195" t="str">
        <v>194</v>
      </c>
      <c r="B195" t="str">
        <v>MASS BSF</v>
      </c>
      <c r="C195" t="str">
        <v>AAR-880</v>
      </c>
      <c r="D195" t="str">
        <v>AAR-880</v>
      </c>
      <c r="E195" t="str">
        <v/>
      </c>
      <c r="F195" t="str">
        <v>867806078847433</v>
      </c>
      <c r="G195" t="str">
        <v>Otro</v>
      </c>
      <c r="H195" t="str">
        <v/>
      </c>
      <c r="I195" t="str">
        <v>28/09/2026</v>
      </c>
      <c r="J195" t="str">
        <v>15:08:38</v>
      </c>
      <c r="K195">
        <v>-12.276587</v>
      </c>
      <c r="L195">
        <v>-76.889244</v>
      </c>
      <c r="M195">
        <f>HYPERLINK("https://www.google.com/maps/search/?api=1&amp;query=-12.276587,-76.889244","Carretera Panamericana Sur, Lurín, Lima")</f>
      </c>
      <c r="N195">
        <v>67.2</v>
      </c>
      <c r="O195">
        <v>92</v>
      </c>
      <c r="P195">
        <v>2566.6</v>
      </c>
      <c r="Q195" t="str">
        <v>161.40</v>
      </c>
      <c r="R195" t="str">
        <v/>
      </c>
      <c r="S195" t="str">
        <v/>
      </c>
      <c r="T195" t="str">
        <v/>
      </c>
      <c r="U195" t="str">
        <v/>
      </c>
    </row>
    <row r="196">
      <c r="A196" t="str">
        <v>195</v>
      </c>
      <c r="B196" t="str">
        <v>MASS BSF</v>
      </c>
      <c r="C196" t="str">
        <v>AAR-880</v>
      </c>
      <c r="D196" t="str">
        <v>AAR-880</v>
      </c>
      <c r="E196" t="str">
        <v/>
      </c>
      <c r="F196" t="str">
        <v>867806078847433</v>
      </c>
      <c r="G196" t="str">
        <v>Otro</v>
      </c>
      <c r="H196" t="str">
        <v/>
      </c>
      <c r="I196" t="str">
        <v>28/09/2026</v>
      </c>
      <c r="J196" t="str">
        <v>15:09:11</v>
      </c>
      <c r="K196">
        <v>-12.27964</v>
      </c>
      <c r="L196">
        <v>-76.884384</v>
      </c>
      <c r="M196">
        <f>HYPERLINK("https://www.google.com/maps/search/?api=1&amp;query=-12.27964,-76.884384","Carretera Panamericana Sur, Lurín, Lima")</f>
      </c>
      <c r="N196">
        <v>66.6</v>
      </c>
      <c r="O196">
        <v>92</v>
      </c>
      <c r="P196">
        <v>2567.22</v>
      </c>
      <c r="Q196" t="str">
        <v>161.40</v>
      </c>
      <c r="R196" t="str">
        <v/>
      </c>
      <c r="S196" t="str">
        <v/>
      </c>
      <c r="T196" t="str">
        <v/>
      </c>
      <c r="U196" t="str">
        <v/>
      </c>
    </row>
    <row r="197">
      <c r="A197" t="str">
        <v>196</v>
      </c>
      <c r="B197" t="str">
        <v>MASS BSF</v>
      </c>
      <c r="C197" t="str">
        <v>AAR-880</v>
      </c>
      <c r="D197" t="str">
        <v>AAR-880</v>
      </c>
      <c r="E197" t="str">
        <v/>
      </c>
      <c r="F197" t="str">
        <v>867806078847433</v>
      </c>
      <c r="G197" t="str">
        <v>Otro</v>
      </c>
      <c r="H197" t="str">
        <v/>
      </c>
      <c r="I197" t="str">
        <v>28/09/2026</v>
      </c>
      <c r="J197" t="str">
        <v>15:09:22</v>
      </c>
      <c r="K197">
        <v>-12.280541</v>
      </c>
      <c r="L197">
        <v>-76.88295</v>
      </c>
      <c r="M197">
        <f>HYPERLINK("https://www.google.com/maps/search/?api=1&amp;query=-12.280541,-76.88295","Carretera Panamericana Sur, Lurín, Lima")</f>
      </c>
      <c r="N197">
        <v>66.1</v>
      </c>
      <c r="O197">
        <v>92</v>
      </c>
      <c r="P197">
        <v>2567.41</v>
      </c>
      <c r="Q197" t="str">
        <v>161.40</v>
      </c>
      <c r="R197" t="str">
        <v/>
      </c>
      <c r="S197" t="str">
        <v/>
      </c>
      <c r="T197" t="str">
        <v/>
      </c>
      <c r="U197" t="str">
        <v/>
      </c>
    </row>
    <row r="198">
      <c r="A198" t="str">
        <v>197</v>
      </c>
      <c r="B198" t="str">
        <v>MASS BSF</v>
      </c>
      <c r="C198" t="str">
        <v>AAR-880</v>
      </c>
      <c r="D198" t="str">
        <v>AAR-880</v>
      </c>
      <c r="E198" t="str">
        <v/>
      </c>
      <c r="F198" t="str">
        <v>867806078847433</v>
      </c>
      <c r="G198" t="str">
        <v>Otro</v>
      </c>
      <c r="H198" t="str">
        <v/>
      </c>
      <c r="I198" t="str">
        <v>28/09/2026</v>
      </c>
      <c r="J198" t="str">
        <v>15:09:30</v>
      </c>
      <c r="K198">
        <v>-12.281241</v>
      </c>
      <c r="L198">
        <v>-76.88182</v>
      </c>
      <c r="M198">
        <f>HYPERLINK("https://www.google.com/maps/search/?api=1&amp;query=-12.281241,-76.88182","Carretera Panamericana Sur, Lurín, Lima")</f>
      </c>
      <c r="N198">
        <v>64.8</v>
      </c>
      <c r="O198">
        <v>92</v>
      </c>
      <c r="P198">
        <v>2567.55</v>
      </c>
      <c r="Q198" t="str">
        <v>161.40</v>
      </c>
      <c r="R198" t="str">
        <v/>
      </c>
      <c r="S198" t="str">
        <v/>
      </c>
      <c r="T198" t="str">
        <v/>
      </c>
      <c r="U198" t="str">
        <v/>
      </c>
    </row>
    <row r="199">
      <c r="A199" t="str">
        <v>198</v>
      </c>
      <c r="B199" t="str">
        <v>MASS BSF</v>
      </c>
      <c r="C199" t="str">
        <v>AAR-880</v>
      </c>
      <c r="D199" t="str">
        <v>AAR-880</v>
      </c>
      <c r="E199" t="str">
        <v/>
      </c>
      <c r="F199" t="str">
        <v>867806078847433</v>
      </c>
      <c r="G199" t="str">
        <v>Otro</v>
      </c>
      <c r="H199" t="str">
        <v/>
      </c>
      <c r="I199" t="str">
        <v>28/09/2026</v>
      </c>
      <c r="J199" t="str">
        <v>15:09:57</v>
      </c>
      <c r="K199">
        <v>-12.283711</v>
      </c>
      <c r="L199">
        <v>-76.877884</v>
      </c>
      <c r="M199">
        <f>HYPERLINK("https://www.google.com/maps/search/?api=1&amp;query=-12.283711,-76.877884","Carretera Panamericana Sur, Lurín, Lima")</f>
      </c>
      <c r="N199">
        <v>65.9</v>
      </c>
      <c r="O199">
        <v>92</v>
      </c>
      <c r="P199">
        <v>2568.06</v>
      </c>
      <c r="Q199" t="str">
        <v>161.40</v>
      </c>
      <c r="R199" t="str">
        <v/>
      </c>
      <c r="S199" t="str">
        <v/>
      </c>
      <c r="T199" t="str">
        <v/>
      </c>
      <c r="U199" t="str">
        <v/>
      </c>
    </row>
    <row r="200">
      <c r="A200" t="str">
        <v>199</v>
      </c>
      <c r="B200" t="str">
        <v>MASS BSF</v>
      </c>
      <c r="C200" t="str">
        <v>AAR-880</v>
      </c>
      <c r="D200" t="str">
        <v>AAR-880</v>
      </c>
      <c r="E200" t="str">
        <v/>
      </c>
      <c r="F200" t="str">
        <v>867806078847433</v>
      </c>
      <c r="G200" t="str">
        <v>Otro</v>
      </c>
      <c r="H200" t="str">
        <v/>
      </c>
      <c r="I200" t="str">
        <v>28/09/2026</v>
      </c>
      <c r="J200" t="str">
        <v>15:10:41</v>
      </c>
      <c r="K200">
        <v>-12.287693</v>
      </c>
      <c r="L200">
        <v>-76.87147</v>
      </c>
      <c r="M200">
        <f>HYPERLINK("https://www.google.com/maps/search/?api=1&amp;query=-12.287693,-76.87147","Carretera Panamericana Sur, Lurín, Lima")</f>
      </c>
      <c r="N200">
        <v>68.8</v>
      </c>
      <c r="O200">
        <v>92</v>
      </c>
      <c r="P200">
        <v>2568.88</v>
      </c>
      <c r="Q200" t="str">
        <v>161.40</v>
      </c>
      <c r="R200" t="str">
        <v/>
      </c>
      <c r="S200" t="str">
        <v/>
      </c>
      <c r="T200" t="str">
        <v/>
      </c>
      <c r="U200" t="str">
        <v/>
      </c>
    </row>
    <row r="201">
      <c r="A201" t="str">
        <v>200</v>
      </c>
      <c r="B201" t="str">
        <v>MASS BSF</v>
      </c>
      <c r="C201" t="str">
        <v>AAR-880</v>
      </c>
      <c r="D201" t="str">
        <v>AAR-880</v>
      </c>
      <c r="E201" t="str">
        <v/>
      </c>
      <c r="F201" t="str">
        <v>867806078847433</v>
      </c>
      <c r="G201" t="str">
        <v>Otro</v>
      </c>
      <c r="H201" t="str">
        <v/>
      </c>
      <c r="I201" t="str">
        <v>28/09/2026</v>
      </c>
      <c r="J201" t="str">
        <v>15:11:23</v>
      </c>
      <c r="K201">
        <v>-12.291695</v>
      </c>
      <c r="L201">
        <v>-76.86508</v>
      </c>
      <c r="M201">
        <f>HYPERLINK("https://www.google.com/maps/search/?api=1&amp;query=-12.291695,-76.86508","Carretera Panamericana Sur, Lurín, Lima")</f>
      </c>
      <c r="N201">
        <v>69.4</v>
      </c>
      <c r="O201">
        <v>92</v>
      </c>
      <c r="P201">
        <v>2569.7</v>
      </c>
      <c r="Q201" t="str">
        <v>161.40</v>
      </c>
      <c r="R201" t="str">
        <v/>
      </c>
      <c r="S201" t="str">
        <v/>
      </c>
      <c r="T201" t="str">
        <v/>
      </c>
      <c r="U201" t="str">
        <v/>
      </c>
    </row>
    <row r="202">
      <c r="A202" t="str">
        <v>201</v>
      </c>
      <c r="B202" t="str">
        <v>MASS BSF</v>
      </c>
      <c r="C202" t="str">
        <v>AAR-880</v>
      </c>
      <c r="D202" t="str">
        <v>AAR-880</v>
      </c>
      <c r="E202" t="str">
        <v/>
      </c>
      <c r="F202" t="str">
        <v>867806078847433</v>
      </c>
      <c r="G202" t="str">
        <v>Otro</v>
      </c>
      <c r="H202" t="str">
        <v/>
      </c>
      <c r="I202" t="str">
        <v>28/09/2026</v>
      </c>
      <c r="J202" t="str">
        <v>15:12:07</v>
      </c>
      <c r="K202">
        <v>-12.295722</v>
      </c>
      <c r="L202">
        <v>-76.85862</v>
      </c>
      <c r="M202">
        <f>HYPERLINK("https://www.google.com/maps/search/?api=1&amp;query=-12.295722,-76.85862","Carretera Panamericana Sur, Lurín, Lima")</f>
      </c>
      <c r="N202">
        <v>67</v>
      </c>
      <c r="O202">
        <v>92</v>
      </c>
      <c r="P202">
        <v>2570.52</v>
      </c>
      <c r="Q202" t="str">
        <v>161.40</v>
      </c>
      <c r="R202" t="str">
        <v/>
      </c>
      <c r="S202" t="str">
        <v/>
      </c>
      <c r="T202" t="str">
        <v/>
      </c>
      <c r="U202" t="str">
        <v/>
      </c>
    </row>
    <row r="203">
      <c r="A203" t="str">
        <v>202</v>
      </c>
      <c r="B203" t="str">
        <v>MASS BSF</v>
      </c>
      <c r="C203" t="str">
        <v>AAR-880</v>
      </c>
      <c r="D203" t="str">
        <v>AAR-880</v>
      </c>
      <c r="E203" t="str">
        <v/>
      </c>
      <c r="F203" t="str">
        <v>867806078847433</v>
      </c>
      <c r="G203" t="str">
        <v>Otro</v>
      </c>
      <c r="H203" t="str">
        <v/>
      </c>
      <c r="I203" t="str">
        <v>28/09/2026</v>
      </c>
      <c r="J203" t="str">
        <v>15:12:55</v>
      </c>
      <c r="K203">
        <v>-12.298984</v>
      </c>
      <c r="L203">
        <v>-76.85151</v>
      </c>
      <c r="M203">
        <f>HYPERLINK("https://www.google.com/maps/search/?api=1&amp;query=-12.298984,-76.85151","Carretera Panamericana Sur, Lurín, Lima")</f>
      </c>
      <c r="N203">
        <v>57.4</v>
      </c>
      <c r="O203">
        <v>92</v>
      </c>
      <c r="P203">
        <v>2571.37</v>
      </c>
      <c r="Q203" t="str">
        <v>161.40</v>
      </c>
      <c r="R203" t="str">
        <v/>
      </c>
      <c r="S203" t="str">
        <v/>
      </c>
      <c r="T203" t="str">
        <v/>
      </c>
      <c r="U203" t="str">
        <v/>
      </c>
    </row>
    <row r="204">
      <c r="A204" t="str">
        <v>203</v>
      </c>
      <c r="B204" t="str">
        <v>MASS BSF</v>
      </c>
      <c r="C204" t="str">
        <v>AAR-880</v>
      </c>
      <c r="D204" t="str">
        <v>AAR-880</v>
      </c>
      <c r="E204" t="str">
        <v/>
      </c>
      <c r="F204" t="str">
        <v>867806078847433</v>
      </c>
      <c r="G204" t="str">
        <v>Otro</v>
      </c>
      <c r="H204" t="str">
        <v/>
      </c>
      <c r="I204" t="str">
        <v>28/09/2026</v>
      </c>
      <c r="J204" t="str">
        <v>15:13:47</v>
      </c>
      <c r="K204">
        <v>-12.302167</v>
      </c>
      <c r="L204">
        <v>-76.844345</v>
      </c>
      <c r="M204">
        <f>HYPERLINK("https://www.google.com/maps/search/?api=1&amp;query=-12.302167,-76.844345","Carretera Panamericana Sur, Lurín, Lima")</f>
      </c>
      <c r="N204">
        <v>58.3</v>
      </c>
      <c r="O204">
        <v>92</v>
      </c>
      <c r="P204">
        <v>2572.22</v>
      </c>
      <c r="Q204" t="str">
        <v>161.40</v>
      </c>
      <c r="R204" t="str">
        <v/>
      </c>
      <c r="S204" t="str">
        <v/>
      </c>
      <c r="T204" t="str">
        <v/>
      </c>
      <c r="U204" t="str">
        <v/>
      </c>
    </row>
    <row r="205">
      <c r="A205" t="str">
        <v>204</v>
      </c>
      <c r="B205" t="str">
        <v>MASS BSF</v>
      </c>
      <c r="C205" t="str">
        <v>AAR-880</v>
      </c>
      <c r="D205" t="str">
        <v>AAR-880</v>
      </c>
      <c r="E205" t="str">
        <v/>
      </c>
      <c r="F205" t="str">
        <v>867806078847433</v>
      </c>
      <c r="G205" t="str">
        <v>Otro</v>
      </c>
      <c r="H205" t="str">
        <v/>
      </c>
      <c r="I205" t="str">
        <v>28/09/2026</v>
      </c>
      <c r="J205" t="str">
        <v>15:14:13</v>
      </c>
      <c r="K205">
        <v>-12.303826</v>
      </c>
      <c r="L205">
        <v>-76.84134</v>
      </c>
      <c r="M205">
        <f>HYPERLINK("https://www.google.com/maps/search/?api=1&amp;query=-12.303826,-76.84134","Carretera Panamericana Sur, Lurín, Lima")</f>
      </c>
      <c r="N205">
        <v>48.1</v>
      </c>
      <c r="O205">
        <v>92</v>
      </c>
      <c r="P205">
        <v>2572.59</v>
      </c>
      <c r="Q205" t="str">
        <v>161.40</v>
      </c>
      <c r="R205" t="str">
        <v/>
      </c>
      <c r="S205" t="str">
        <v/>
      </c>
      <c r="T205" t="str">
        <v/>
      </c>
      <c r="U205" t="str">
        <v/>
      </c>
    </row>
    <row r="206">
      <c r="A206" t="str">
        <v>205</v>
      </c>
      <c r="B206" t="str">
        <v>MASS BSF</v>
      </c>
      <c r="C206" t="str">
        <v>AAR-880</v>
      </c>
      <c r="D206" t="str">
        <v>AAR-880</v>
      </c>
      <c r="E206" t="str">
        <v/>
      </c>
      <c r="F206" t="str">
        <v>867806078847433</v>
      </c>
      <c r="G206" t="str">
        <v>Otro</v>
      </c>
      <c r="H206" t="str">
        <v/>
      </c>
      <c r="I206" t="str">
        <v>28/09/2026</v>
      </c>
      <c r="J206" t="str">
        <v>15:14:34</v>
      </c>
      <c r="K206">
        <v>-12.305575</v>
      </c>
      <c r="L206">
        <v>-76.83918</v>
      </c>
      <c r="M206">
        <f>HYPERLINK("https://www.google.com/maps/search/?api=1&amp;query=-12.305575,-76.83918","Carretera Panamericana Sur, Lurín, Lima")</f>
      </c>
      <c r="N206">
        <v>53.7</v>
      </c>
      <c r="O206">
        <v>91</v>
      </c>
      <c r="P206">
        <v>2572.9</v>
      </c>
      <c r="Q206" t="str">
        <v>161.40</v>
      </c>
      <c r="R206" t="str">
        <v/>
      </c>
      <c r="S206" t="str">
        <v/>
      </c>
      <c r="T206" t="str">
        <v/>
      </c>
      <c r="U206" t="str">
        <v/>
      </c>
    </row>
    <row r="207">
      <c r="A207" t="str">
        <v>206</v>
      </c>
      <c r="B207" t="str">
        <v>MASS BSF</v>
      </c>
      <c r="C207" t="str">
        <v>AAR-880</v>
      </c>
      <c r="D207" t="str">
        <v>AAR-880</v>
      </c>
      <c r="E207" t="str">
        <v/>
      </c>
      <c r="F207" t="str">
        <v>867806078847433</v>
      </c>
      <c r="G207" t="str">
        <v>Otro</v>
      </c>
      <c r="H207" t="str">
        <v/>
      </c>
      <c r="I207" t="str">
        <v>28/09/2026</v>
      </c>
      <c r="J207" t="str">
        <v>15:14:59</v>
      </c>
      <c r="K207">
        <v>-12.307965</v>
      </c>
      <c r="L207">
        <v>-76.83704</v>
      </c>
      <c r="M207">
        <f>HYPERLINK("https://www.google.com/maps/search/?api=1&amp;query=-12.307965,-76.83704","Carretera Panamericana Sur, Punta Hermosa, Lima")</f>
      </c>
      <c r="N207">
        <v>48.5</v>
      </c>
      <c r="O207">
        <v>91</v>
      </c>
      <c r="P207">
        <v>2573.25</v>
      </c>
      <c r="Q207" t="str">
        <v>161.40</v>
      </c>
      <c r="R207" t="str">
        <v/>
      </c>
      <c r="S207" t="str">
        <v/>
      </c>
      <c r="T207" t="str">
        <v/>
      </c>
      <c r="U207" t="str">
        <v/>
      </c>
    </row>
    <row r="208">
      <c r="A208" t="str">
        <v>207</v>
      </c>
      <c r="B208" t="str">
        <v>MASS BSF</v>
      </c>
      <c r="C208" t="str">
        <v>AAR-880</v>
      </c>
      <c r="D208" t="str">
        <v>AAR-880</v>
      </c>
      <c r="E208" t="str">
        <v/>
      </c>
      <c r="F208" t="str">
        <v>867806078847433</v>
      </c>
      <c r="G208" t="str">
        <v>Otro</v>
      </c>
      <c r="H208" t="str">
        <v/>
      </c>
      <c r="I208" t="str">
        <v>28/09/2026</v>
      </c>
      <c r="J208" t="str">
        <v>15:15:53</v>
      </c>
      <c r="K208">
        <v>-12.313686</v>
      </c>
      <c r="L208">
        <v>-76.83319</v>
      </c>
      <c r="M208">
        <f>HYPERLINK("https://www.google.com/maps/search/?api=1&amp;query=-12.313686,-76.83319","Carretera Panamericana Sur, Punta Hermosa, Lima")</f>
      </c>
      <c r="N208">
        <v>54.4</v>
      </c>
      <c r="O208">
        <v>91</v>
      </c>
      <c r="P208">
        <v>2574</v>
      </c>
      <c r="Q208" t="str">
        <v>161.40</v>
      </c>
      <c r="R208" t="str">
        <v/>
      </c>
      <c r="S208" t="str">
        <v/>
      </c>
      <c r="T208" t="str">
        <v/>
      </c>
      <c r="U208" t="str">
        <v/>
      </c>
    </row>
    <row r="209">
      <c r="A209" t="str">
        <v>208</v>
      </c>
      <c r="B209" t="str">
        <v>MASS BSF</v>
      </c>
      <c r="C209" t="str">
        <v>AAR-880</v>
      </c>
      <c r="D209" t="str">
        <v>AAR-880</v>
      </c>
      <c r="E209" t="str">
        <v/>
      </c>
      <c r="F209" t="str">
        <v>867806078847433</v>
      </c>
      <c r="G209" t="str">
        <v>Otro</v>
      </c>
      <c r="H209" t="str">
        <v/>
      </c>
      <c r="I209" t="str">
        <v>28/09/2026</v>
      </c>
      <c r="J209" t="str">
        <v>15:16:42</v>
      </c>
      <c r="K209">
        <v>-12.319415</v>
      </c>
      <c r="L209">
        <v>-76.82937</v>
      </c>
      <c r="M209">
        <f>HYPERLINK("https://www.google.com/maps/search/?api=1&amp;query=-12.319415,-76.82937","Carretera Panamericana Sur, Punta Hermosa, Lima")</f>
      </c>
      <c r="N209">
        <v>57.2</v>
      </c>
      <c r="O209">
        <v>91</v>
      </c>
      <c r="P209">
        <v>2574.76</v>
      </c>
      <c r="Q209" t="str">
        <v>161.40</v>
      </c>
      <c r="R209" t="str">
        <v/>
      </c>
      <c r="S209" t="str">
        <v/>
      </c>
      <c r="T209" t="str">
        <v/>
      </c>
      <c r="U209" t="str">
        <v/>
      </c>
    </row>
    <row r="210">
      <c r="A210" t="str">
        <v>209</v>
      </c>
      <c r="B210" t="str">
        <v>MASS BSF</v>
      </c>
      <c r="C210" t="str">
        <v>AAR-880</v>
      </c>
      <c r="D210" t="str">
        <v>AAR-880</v>
      </c>
      <c r="E210" t="str">
        <v/>
      </c>
      <c r="F210" t="str">
        <v>867806078847433</v>
      </c>
      <c r="G210" t="str">
        <v>Otro</v>
      </c>
      <c r="H210" t="str">
        <v/>
      </c>
      <c r="I210" t="str">
        <v>28/09/2026</v>
      </c>
      <c r="J210" t="str">
        <v>15:17:28</v>
      </c>
      <c r="K210">
        <v>-12.325142</v>
      </c>
      <c r="L210">
        <v>-76.82554</v>
      </c>
      <c r="M210">
        <f>HYPERLINK("https://www.google.com/maps/search/?api=1&amp;query=-12.325142,-76.82554","Carretera Panamericana Sur, Punta Hermosa, Lima")</f>
      </c>
      <c r="N210">
        <v>61.1</v>
      </c>
      <c r="O210">
        <v>91</v>
      </c>
      <c r="P210">
        <v>2575.51</v>
      </c>
      <c r="Q210" t="str">
        <v>161.40</v>
      </c>
      <c r="R210" t="str">
        <v/>
      </c>
      <c r="S210" t="str">
        <v/>
      </c>
      <c r="T210" t="str">
        <v/>
      </c>
      <c r="U210" t="str">
        <v/>
      </c>
    </row>
    <row r="211">
      <c r="A211" t="str">
        <v>210</v>
      </c>
      <c r="B211" t="str">
        <v>MASS BSF</v>
      </c>
      <c r="C211" t="str">
        <v>AAR-880</v>
      </c>
      <c r="D211" t="str">
        <v>AAR-880</v>
      </c>
      <c r="E211" t="str">
        <v/>
      </c>
      <c r="F211" t="str">
        <v>867806078847433</v>
      </c>
      <c r="G211" t="str">
        <v>Otro</v>
      </c>
      <c r="H211" t="str">
        <v/>
      </c>
      <c r="I211" t="str">
        <v>28/09/2026</v>
      </c>
      <c r="J211" t="str">
        <v>15:18:10</v>
      </c>
      <c r="K211">
        <v>-12.33081</v>
      </c>
      <c r="L211">
        <v>-76.82176</v>
      </c>
      <c r="M211">
        <f>HYPERLINK("https://www.google.com/maps/search/?api=1&amp;query=-12.33081,-76.82176","Carretera Panamericana Sur, Punta Hermosa, Lima")</f>
      </c>
      <c r="N211">
        <v>66.8</v>
      </c>
      <c r="O211">
        <v>91</v>
      </c>
      <c r="P211">
        <v>2576.26</v>
      </c>
      <c r="Q211" t="str">
        <v>161.40</v>
      </c>
      <c r="R211" t="str">
        <v/>
      </c>
      <c r="S211" t="str">
        <v/>
      </c>
      <c r="T211" t="str">
        <v/>
      </c>
      <c r="U211" t="str">
        <v/>
      </c>
    </row>
    <row r="212">
      <c r="A212" t="str">
        <v>211</v>
      </c>
      <c r="B212" t="str">
        <v>MASS BSF</v>
      </c>
      <c r="C212" t="str">
        <v>AAR-880</v>
      </c>
      <c r="D212" t="str">
        <v>AAR-880</v>
      </c>
      <c r="E212" t="str">
        <v/>
      </c>
      <c r="F212" t="str">
        <v>867806078847433</v>
      </c>
      <c r="G212" t="str">
        <v>Otro</v>
      </c>
      <c r="H212" t="str">
        <v/>
      </c>
      <c r="I212" t="str">
        <v>28/09/2026</v>
      </c>
      <c r="J212" t="str">
        <v>15:18:46</v>
      </c>
      <c r="K212">
        <v>-12.335445</v>
      </c>
      <c r="L212">
        <v>-76.81881</v>
      </c>
      <c r="M212">
        <f>HYPERLINK("https://www.google.com/maps/search/?api=1&amp;query=-12.335445,-76.81881","Carretera Panamericana Sur, Punta Hermosa, Lima")</f>
      </c>
      <c r="N212">
        <v>31.8</v>
      </c>
      <c r="O212">
        <v>91</v>
      </c>
      <c r="P212">
        <v>2576.86</v>
      </c>
      <c r="Q212" t="str">
        <v>161.40</v>
      </c>
      <c r="R212" t="str">
        <v/>
      </c>
      <c r="S212" t="str">
        <v/>
      </c>
      <c r="T212" t="str">
        <v/>
      </c>
      <c r="U212" t="str">
        <v/>
      </c>
    </row>
    <row r="213">
      <c r="A213" t="str">
        <v>212</v>
      </c>
      <c r="B213" t="str">
        <v>MASS BSF</v>
      </c>
      <c r="C213" t="str">
        <v>AAR-880</v>
      </c>
      <c r="D213" t="str">
        <v>AAR-880</v>
      </c>
      <c r="E213" t="str">
        <v/>
      </c>
      <c r="F213" t="str">
        <v>867806078847433</v>
      </c>
      <c r="G213" t="str">
        <v>Otro</v>
      </c>
      <c r="H213" t="str">
        <v/>
      </c>
      <c r="I213" t="str">
        <v>28/09/2026</v>
      </c>
      <c r="J213" t="str">
        <v>15:18:51</v>
      </c>
      <c r="K213">
        <v>-12.335783</v>
      </c>
      <c r="L213">
        <v>-76.81887</v>
      </c>
      <c r="M213">
        <f>HYPERLINK("https://www.google.com/maps/search/?api=1&amp;query=-12.335783,-76.81887","Antigua Panamericana Sur, Punta Hermosa, Lima")</f>
      </c>
      <c r="N213">
        <v>25.1</v>
      </c>
      <c r="O213">
        <v>91</v>
      </c>
      <c r="P213">
        <v>2576.9</v>
      </c>
      <c r="Q213" t="str">
        <v>161.40</v>
      </c>
      <c r="R213" t="str">
        <v/>
      </c>
      <c r="S213" t="str">
        <v/>
      </c>
      <c r="T213" t="str">
        <v/>
      </c>
      <c r="U213" t="str">
        <v/>
      </c>
    </row>
    <row r="214">
      <c r="A214" t="str">
        <v>213</v>
      </c>
      <c r="B214" t="str">
        <v>MASS BSF</v>
      </c>
      <c r="C214" t="str">
        <v>AAR-880</v>
      </c>
      <c r="D214" t="str">
        <v>AAR-880</v>
      </c>
      <c r="E214" t="str">
        <v/>
      </c>
      <c r="F214" t="str">
        <v>867806078847433</v>
      </c>
      <c r="G214" t="str">
        <v>Otro</v>
      </c>
      <c r="H214" t="str">
        <v/>
      </c>
      <c r="I214" t="str">
        <v>28/09/2026</v>
      </c>
      <c r="J214" t="str">
        <v>15:18:56</v>
      </c>
      <c r="K214">
        <v>-12.335868</v>
      </c>
      <c r="L214">
        <v>-76.8191</v>
      </c>
      <c r="M214">
        <f>HYPERLINK("https://www.google.com/maps/search/?api=1&amp;query=-12.335868,-76.8191","Antigua Panamericana Sur, Punta Hermosa, Lima")</f>
      </c>
      <c r="N214">
        <v>20.3</v>
      </c>
      <c r="O214">
        <v>91</v>
      </c>
      <c r="P214">
        <v>2576.93</v>
      </c>
      <c r="Q214" t="str">
        <v>161.40</v>
      </c>
      <c r="R214" t="str">
        <v/>
      </c>
      <c r="S214" t="str">
        <v/>
      </c>
      <c r="T214" t="str">
        <v/>
      </c>
      <c r="U214" t="str">
        <v/>
      </c>
    </row>
    <row r="215">
      <c r="A215" t="str">
        <v>214</v>
      </c>
      <c r="B215" t="str">
        <v>MASS BSF</v>
      </c>
      <c r="C215" t="str">
        <v>AAR-880</v>
      </c>
      <c r="D215" t="str">
        <v>AAR-880</v>
      </c>
      <c r="E215" t="str">
        <v/>
      </c>
      <c r="F215" t="str">
        <v>867806078847433</v>
      </c>
      <c r="G215" t="str">
        <v>Otro</v>
      </c>
      <c r="H215" t="str">
        <v/>
      </c>
      <c r="I215" t="str">
        <v>28/09/2026</v>
      </c>
      <c r="J215" t="str">
        <v>15:19:01</v>
      </c>
      <c r="K215">
        <v>-12.335628</v>
      </c>
      <c r="L215">
        <v>-76.8193</v>
      </c>
      <c r="M215">
        <f>HYPERLINK("https://www.google.com/maps/search/?api=1&amp;query=-12.335628,-76.8193","Antigua Panamericana Sur, Punta Hermosa, Lima")</f>
      </c>
      <c r="N215">
        <v>29.6</v>
      </c>
      <c r="O215">
        <v>91</v>
      </c>
      <c r="P215">
        <v>2576.96</v>
      </c>
      <c r="Q215" t="str">
        <v>161.40</v>
      </c>
      <c r="R215" t="str">
        <v/>
      </c>
      <c r="S215" t="str">
        <v/>
      </c>
      <c r="T215" t="str">
        <v/>
      </c>
      <c r="U215" t="str">
        <v/>
      </c>
    </row>
    <row r="216">
      <c r="A216" t="str">
        <v>215</v>
      </c>
      <c r="B216" t="str">
        <v>MASS BSF</v>
      </c>
      <c r="C216" t="str">
        <v>AAR-880</v>
      </c>
      <c r="D216" t="str">
        <v>AAR-880</v>
      </c>
      <c r="E216" t="str">
        <v/>
      </c>
      <c r="F216" t="str">
        <v>867806078847433</v>
      </c>
      <c r="G216" t="str">
        <v>Otro</v>
      </c>
      <c r="H216" t="str">
        <v/>
      </c>
      <c r="I216" t="str">
        <v>28/09/2026</v>
      </c>
      <c r="J216" t="str">
        <v>15:19:25</v>
      </c>
      <c r="K216">
        <v>-12.33385</v>
      </c>
      <c r="L216">
        <v>-76.8205</v>
      </c>
      <c r="M216">
        <f>HYPERLINK("https://www.google.com/maps/search/?api=1&amp;query=-12.33385,-76.8205","Antigua Panamericana Sur, Punta Hermosa, Lima")</f>
      </c>
      <c r="N216">
        <v>23.3</v>
      </c>
      <c r="O216">
        <v>91</v>
      </c>
      <c r="P216">
        <v>2577.2</v>
      </c>
      <c r="Q216" t="str">
        <v>161.40</v>
      </c>
      <c r="R216" t="str">
        <v/>
      </c>
      <c r="S216" t="str">
        <v/>
      </c>
      <c r="T216" t="str">
        <v/>
      </c>
      <c r="U216" t="str">
        <v/>
      </c>
    </row>
    <row r="217">
      <c r="A217" t="str">
        <v>216</v>
      </c>
      <c r="B217" t="str">
        <v>MASS BSF</v>
      </c>
      <c r="C217" t="str">
        <v>AAR-880</v>
      </c>
      <c r="D217" t="str">
        <v>AAR-880</v>
      </c>
      <c r="E217" t="str">
        <v/>
      </c>
      <c r="F217" t="str">
        <v>867806078847433</v>
      </c>
      <c r="G217" t="str">
        <v>Otro</v>
      </c>
      <c r="H217" t="str">
        <v/>
      </c>
      <c r="I217" t="str">
        <v>28/09/2026</v>
      </c>
      <c r="J217" t="str">
        <v>15:19:30</v>
      </c>
      <c r="K217">
        <v>-12.333695</v>
      </c>
      <c r="L217">
        <v>-76.8204</v>
      </c>
      <c r="M217">
        <f>HYPERLINK("https://www.google.com/maps/search/?api=1&amp;query=-12.333695,-76.8204","Antigua Panamericana Sur, Punta Hermosa, Lima")</f>
      </c>
      <c r="N217">
        <v>20</v>
      </c>
      <c r="O217">
        <v>83</v>
      </c>
      <c r="P217">
        <v>2577.22</v>
      </c>
      <c r="Q217" t="str">
        <v>161.40</v>
      </c>
      <c r="R217" t="str">
        <v/>
      </c>
      <c r="S217" t="str">
        <v/>
      </c>
      <c r="T217" t="str">
        <v/>
      </c>
      <c r="U217" t="str">
        <v/>
      </c>
    </row>
    <row r="218">
      <c r="A218" t="str">
        <v>217</v>
      </c>
      <c r="B218" t="str">
        <v>MASS BSF</v>
      </c>
      <c r="C218" t="str">
        <v>AAR-880</v>
      </c>
      <c r="D218" t="str">
        <v>AAR-880</v>
      </c>
      <c r="E218" t="str">
        <v/>
      </c>
      <c r="F218" t="str">
        <v>867806078847433</v>
      </c>
      <c r="G218" t="str">
        <v>Otro</v>
      </c>
      <c r="H218" t="str">
        <v/>
      </c>
      <c r="I218" t="str">
        <v>28/09/2026</v>
      </c>
      <c r="J218" t="str">
        <v>15:19:36</v>
      </c>
      <c r="K218">
        <v>-12.333693</v>
      </c>
      <c r="L218">
        <v>-76.819954</v>
      </c>
      <c r="M218">
        <f>HYPERLINK("https://www.google.com/maps/search/?api=1&amp;query=-12.333693,-76.819954","Carretera Panamericana Sur, Punta Hermosa, Lima")</f>
      </c>
      <c r="N218">
        <v>30.7</v>
      </c>
      <c r="O218">
        <v>83</v>
      </c>
      <c r="P218">
        <v>2577.27</v>
      </c>
      <c r="Q218" t="str">
        <v>161.40</v>
      </c>
      <c r="R218" t="str">
        <v/>
      </c>
      <c r="S218" t="str">
        <v/>
      </c>
      <c r="T218" t="str">
        <v/>
      </c>
      <c r="U218" t="str">
        <v/>
      </c>
    </row>
    <row r="219">
      <c r="A219" t="str">
        <v>218</v>
      </c>
      <c r="B219" t="str">
        <v>MASS BSF</v>
      </c>
      <c r="C219" t="str">
        <v>AAR-880</v>
      </c>
      <c r="D219" t="str">
        <v>AAR-880</v>
      </c>
      <c r="E219" t="str">
        <v/>
      </c>
      <c r="F219" t="str">
        <v>867806078847433</v>
      </c>
      <c r="G219" t="str">
        <v>Otro</v>
      </c>
      <c r="H219" t="str">
        <v/>
      </c>
      <c r="I219" t="str">
        <v>28/09/2026</v>
      </c>
      <c r="J219" t="str">
        <v>15:19:41</v>
      </c>
      <c r="K219">
        <v>-12.333522</v>
      </c>
      <c r="L219">
        <v>-76.81962</v>
      </c>
      <c r="M219">
        <f>HYPERLINK("https://www.google.com/maps/search/?api=1&amp;query=-12.333522,-76.81962","Carretera Panamericana Sur, Punta Hermosa, Lima")</f>
      </c>
      <c r="N219">
        <v>25.7</v>
      </c>
      <c r="O219">
        <v>83</v>
      </c>
      <c r="P219">
        <v>2577.31</v>
      </c>
      <c r="Q219" t="str">
        <v>161.40</v>
      </c>
      <c r="R219" t="str">
        <v/>
      </c>
      <c r="S219" t="str">
        <v/>
      </c>
      <c r="T219" t="str">
        <v/>
      </c>
      <c r="U219" t="str">
        <v/>
      </c>
    </row>
    <row r="220">
      <c r="A220" t="str">
        <v>219</v>
      </c>
      <c r="B220" t="str">
        <v>MASS BSF</v>
      </c>
      <c r="C220" t="str">
        <v>AAR-880</v>
      </c>
      <c r="D220" t="str">
        <v>AAR-880</v>
      </c>
      <c r="E220" t="str">
        <v/>
      </c>
      <c r="F220" t="str">
        <v>867806078847433</v>
      </c>
      <c r="G220" t="str">
        <v>Otro</v>
      </c>
      <c r="H220" t="str">
        <v/>
      </c>
      <c r="I220" t="str">
        <v>28/09/2026</v>
      </c>
      <c r="J220" t="str">
        <v>15:19:46</v>
      </c>
      <c r="K220">
        <v>-12.333154</v>
      </c>
      <c r="L220">
        <v>-76.81963</v>
      </c>
      <c r="M220">
        <f>HYPERLINK("https://www.google.com/maps/search/?api=1&amp;query=-12.333154,-76.81963","Punta Hermosa, Lima")</f>
      </c>
      <c r="N220">
        <v>30.9</v>
      </c>
      <c r="O220">
        <v>83</v>
      </c>
      <c r="P220">
        <v>2577.35</v>
      </c>
      <c r="Q220" t="str">
        <v>161.40</v>
      </c>
      <c r="R220" t="str">
        <v/>
      </c>
      <c r="S220" t="str">
        <v/>
      </c>
      <c r="T220" t="str">
        <v/>
      </c>
      <c r="U220" t="str">
        <v/>
      </c>
    </row>
    <row r="221">
      <c r="A221" t="str">
        <v>220</v>
      </c>
      <c r="B221" t="str">
        <v>MASS BSF</v>
      </c>
      <c r="C221" t="str">
        <v>AAR-880</v>
      </c>
      <c r="D221" t="str">
        <v>AAR-880</v>
      </c>
      <c r="E221" t="str">
        <v/>
      </c>
      <c r="F221" t="str">
        <v>867806078847433</v>
      </c>
      <c r="G221" t="str">
        <v>Otro</v>
      </c>
      <c r="H221" t="str">
        <v/>
      </c>
      <c r="I221" t="str">
        <v>28/09/2026</v>
      </c>
      <c r="J221" t="str">
        <v>15:19:51</v>
      </c>
      <c r="K221">
        <v>-12.33286</v>
      </c>
      <c r="L221">
        <v>-76.81992</v>
      </c>
      <c r="M221">
        <f>HYPERLINK("https://www.google.com/maps/search/?api=1&amp;query=-12.33286,-76.81992","Carretera Panamericana Sur, Punta Hermosa, Lima")</f>
      </c>
      <c r="N221">
        <v>32.7</v>
      </c>
      <c r="O221">
        <v>85</v>
      </c>
      <c r="P221">
        <v>2577.4</v>
      </c>
      <c r="Q221" t="str">
        <v>161.40</v>
      </c>
      <c r="R221" t="str">
        <v/>
      </c>
      <c r="S221" t="str">
        <v/>
      </c>
      <c r="T221" t="str">
        <v/>
      </c>
      <c r="U221" t="str">
        <v/>
      </c>
    </row>
    <row r="222">
      <c r="A222" t="str">
        <v>221</v>
      </c>
      <c r="B222" t="str">
        <v>MASS BSF</v>
      </c>
      <c r="C222" t="str">
        <v>AAR-880</v>
      </c>
      <c r="D222" t="str">
        <v>AAR-880</v>
      </c>
      <c r="E222" t="str">
        <v/>
      </c>
      <c r="F222" t="str">
        <v>867806078847433</v>
      </c>
      <c r="G222" t="str">
        <v>Otro</v>
      </c>
      <c r="H222" t="str">
        <v/>
      </c>
      <c r="I222" t="str">
        <v>28/09/2026</v>
      </c>
      <c r="J222" t="str">
        <v>15:19:57</v>
      </c>
      <c r="K222">
        <v>-12.33248</v>
      </c>
      <c r="L222">
        <v>-76.82027</v>
      </c>
      <c r="M222">
        <f>HYPERLINK("https://www.google.com/maps/search/?api=1&amp;query=-12.33248,-76.82027","Carretera Panamericana Sur, Punta Hermosa, Lima")</f>
      </c>
      <c r="N222">
        <v>35</v>
      </c>
      <c r="O222">
        <v>85</v>
      </c>
      <c r="P222">
        <v>2577.45</v>
      </c>
      <c r="Q222" t="str">
        <v>161.40</v>
      </c>
      <c r="R222" t="str">
        <v/>
      </c>
      <c r="S222" t="str">
        <v/>
      </c>
      <c r="T222" t="str">
        <v/>
      </c>
      <c r="U222" t="str">
        <v/>
      </c>
    </row>
    <row r="223">
      <c r="A223" t="str">
        <v>222</v>
      </c>
      <c r="B223" t="str">
        <v>MASS BSF</v>
      </c>
      <c r="C223" t="str">
        <v>AAR-880</v>
      </c>
      <c r="D223" t="str">
        <v>AAR-880</v>
      </c>
      <c r="E223" t="str">
        <v/>
      </c>
      <c r="F223" t="str">
        <v>867806078847433</v>
      </c>
      <c r="G223" t="str">
        <v>Otro</v>
      </c>
      <c r="H223" t="str">
        <v/>
      </c>
      <c r="I223" t="str">
        <v>28/09/2026</v>
      </c>
      <c r="J223" t="str">
        <v>15:20:50</v>
      </c>
      <c r="K223">
        <v>-12.326803</v>
      </c>
      <c r="L223">
        <v>-76.82424</v>
      </c>
      <c r="M223">
        <f>HYPERLINK("https://www.google.com/maps/search/?api=1&amp;query=-12.326803,-76.82424","Carretera Panamericana Sur, Punta Hermosa, Lima")</f>
      </c>
      <c r="N223">
        <v>59</v>
      </c>
      <c r="O223">
        <v>91</v>
      </c>
      <c r="P223">
        <v>2578.21</v>
      </c>
      <c r="Q223" t="str">
        <v>161.40</v>
      </c>
      <c r="R223" t="str">
        <v/>
      </c>
      <c r="S223" t="str">
        <v/>
      </c>
      <c r="T223" t="str">
        <v/>
      </c>
      <c r="U223" t="str">
        <v/>
      </c>
    </row>
    <row r="224">
      <c r="A224" t="str">
        <v>223</v>
      </c>
      <c r="B224" t="str">
        <v>MASS BSF</v>
      </c>
      <c r="C224" t="str">
        <v>AAR-880</v>
      </c>
      <c r="D224" t="str">
        <v>AAR-880</v>
      </c>
      <c r="E224" t="str">
        <v/>
      </c>
      <c r="F224" t="str">
        <v>867806078847433</v>
      </c>
      <c r="G224" t="str">
        <v>Otro</v>
      </c>
      <c r="H224" t="str">
        <v/>
      </c>
      <c r="I224" t="str">
        <v>28/09/2026</v>
      </c>
      <c r="J224" t="str">
        <v>15:21:35</v>
      </c>
      <c r="K224">
        <v>-12.321083</v>
      </c>
      <c r="L224">
        <v>-76.828064</v>
      </c>
      <c r="M224">
        <f>HYPERLINK("https://www.google.com/maps/search/?api=1&amp;query=-12.321083,-76.828064","Carretera Panamericana Sur, Punta Hermosa, Lima")</f>
      </c>
      <c r="N224">
        <v>60.9</v>
      </c>
      <c r="O224">
        <v>83</v>
      </c>
      <c r="P224">
        <v>2578.96</v>
      </c>
      <c r="Q224" t="str">
        <v>161.40</v>
      </c>
      <c r="R224" t="str">
        <v/>
      </c>
      <c r="S224" t="str">
        <v/>
      </c>
      <c r="T224" t="str">
        <v/>
      </c>
      <c r="U224" t="str">
        <v/>
      </c>
    </row>
    <row r="225">
      <c r="A225" t="str">
        <v>224</v>
      </c>
      <c r="B225" t="str">
        <v>MASS BSF</v>
      </c>
      <c r="C225" t="str">
        <v>AAR-880</v>
      </c>
      <c r="D225" t="str">
        <v>AAR-880</v>
      </c>
      <c r="E225" t="str">
        <v/>
      </c>
      <c r="F225" t="str">
        <v>867806078847433</v>
      </c>
      <c r="G225" t="str">
        <v>Otro</v>
      </c>
      <c r="H225" t="str">
        <v/>
      </c>
      <c r="I225" t="str">
        <v>28/09/2026</v>
      </c>
      <c r="J225" t="str">
        <v>15:22:00</v>
      </c>
      <c r="K225">
        <v>-12.318238</v>
      </c>
      <c r="L225">
        <v>-76.82977</v>
      </c>
      <c r="M225">
        <f>HYPERLINK("https://www.google.com/maps/search/?api=1&amp;query=-12.318238,-76.82977","Carretera Panamericana Sur, Punta Hermosa, Lima")</f>
      </c>
      <c r="N225">
        <v>29</v>
      </c>
      <c r="O225">
        <v>91</v>
      </c>
      <c r="P225">
        <v>2579.33</v>
      </c>
      <c r="Q225" t="str">
        <v>161.40</v>
      </c>
      <c r="R225" t="str">
        <v/>
      </c>
      <c r="S225" t="str">
        <v/>
      </c>
      <c r="T225" t="str">
        <v/>
      </c>
      <c r="U225" t="str">
        <v/>
      </c>
    </row>
    <row r="226">
      <c r="A226" t="str">
        <v>225</v>
      </c>
      <c r="B226" t="str">
        <v>MASS BSF</v>
      </c>
      <c r="C226" t="str">
        <v>AAR-880</v>
      </c>
      <c r="D226" t="str">
        <v>AAR-880</v>
      </c>
      <c r="E226" t="str">
        <v/>
      </c>
      <c r="F226" t="str">
        <v>867806078847433</v>
      </c>
      <c r="G226" t="str">
        <v>Otro</v>
      </c>
      <c r="H226" t="str">
        <v/>
      </c>
      <c r="I226" t="str">
        <v>28/09/2026</v>
      </c>
      <c r="J226" t="str">
        <v>15:22:05</v>
      </c>
      <c r="K226">
        <v>-12.317942</v>
      </c>
      <c r="L226">
        <v>-76.82981</v>
      </c>
      <c r="M226">
        <f>HYPERLINK("https://www.google.com/maps/search/?api=1&amp;query=-12.317942,-76.82981","Punta Hermosa, Lima")</f>
      </c>
      <c r="N226">
        <v>21.6</v>
      </c>
      <c r="O226">
        <v>91</v>
      </c>
      <c r="P226">
        <v>2579.36</v>
      </c>
      <c r="Q226" t="str">
        <v>161.40</v>
      </c>
      <c r="R226" t="str">
        <v/>
      </c>
      <c r="S226" t="str">
        <v/>
      </c>
      <c r="T226" t="str">
        <v/>
      </c>
      <c r="U226" t="str">
        <v/>
      </c>
    </row>
    <row r="227">
      <c r="A227" t="str">
        <v>226</v>
      </c>
      <c r="B227" t="str">
        <v>MASS BSF</v>
      </c>
      <c r="C227" t="str">
        <v>AAR-880</v>
      </c>
      <c r="D227" t="str">
        <v>AAR-880</v>
      </c>
      <c r="E227" t="str">
        <v/>
      </c>
      <c r="F227" t="str">
        <v>867806078847433</v>
      </c>
      <c r="G227" t="str">
        <v>Otro</v>
      </c>
      <c r="H227" t="str">
        <v/>
      </c>
      <c r="I227" t="str">
        <v>28/09/2026</v>
      </c>
      <c r="J227" t="str">
        <v>15:22:11</v>
      </c>
      <c r="K227">
        <v>-12.317665</v>
      </c>
      <c r="L227">
        <v>-76.82972</v>
      </c>
      <c r="M227">
        <f>HYPERLINK("https://www.google.com/maps/search/?api=1&amp;query=-12.317665,-76.82972","Punta Hermosa, Lima")</f>
      </c>
      <c r="N227">
        <v>17.5</v>
      </c>
      <c r="O227">
        <v>83</v>
      </c>
      <c r="P227">
        <v>2579.39</v>
      </c>
      <c r="Q227" t="str">
        <v>161.40</v>
      </c>
      <c r="R227" t="str">
        <v/>
      </c>
      <c r="S227" t="str">
        <v/>
      </c>
      <c r="T227" t="str">
        <v/>
      </c>
      <c r="U227" t="str">
        <v/>
      </c>
    </row>
    <row r="228">
      <c r="A228" t="str">
        <v>227</v>
      </c>
      <c r="B228" t="str">
        <v>MASS BSF</v>
      </c>
      <c r="C228" t="str">
        <v>AAR-880</v>
      </c>
      <c r="D228" t="str">
        <v>AAR-880</v>
      </c>
      <c r="E228" t="str">
        <v/>
      </c>
      <c r="F228" t="str">
        <v>867806078847433</v>
      </c>
      <c r="G228" t="str">
        <v>Otro</v>
      </c>
      <c r="H228" t="str">
        <v/>
      </c>
      <c r="I228" t="str">
        <v>28/09/2026</v>
      </c>
      <c r="J228" t="str">
        <v>15:22:16</v>
      </c>
      <c r="K228">
        <v>-12.317529</v>
      </c>
      <c r="L228">
        <v>-76.82956</v>
      </c>
      <c r="M228">
        <f>HYPERLINK("https://www.google.com/maps/search/?api=1&amp;query=-12.317529,-76.82956","Punta Hermosa, Lima")</f>
      </c>
      <c r="N228">
        <v>15.3</v>
      </c>
      <c r="O228">
        <v>83</v>
      </c>
      <c r="P228">
        <v>2579.42</v>
      </c>
      <c r="Q228" t="str">
        <v>161.40</v>
      </c>
      <c r="R228" t="str">
        <v/>
      </c>
      <c r="S228" t="str">
        <v/>
      </c>
      <c r="T228" t="str">
        <v/>
      </c>
      <c r="U228" t="str">
        <v/>
      </c>
    </row>
    <row r="229">
      <c r="A229" t="str">
        <v>228</v>
      </c>
      <c r="B229" t="str">
        <v>MASS BSF</v>
      </c>
      <c r="C229" t="str">
        <v>AAR-880</v>
      </c>
      <c r="D229" t="str">
        <v>AAR-880</v>
      </c>
      <c r="E229" t="str">
        <v/>
      </c>
      <c r="F229" t="str">
        <v>867806078847433</v>
      </c>
      <c r="G229" t="str">
        <v>Otro</v>
      </c>
      <c r="H229" t="str">
        <v/>
      </c>
      <c r="I229" t="str">
        <v>28/09/2026</v>
      </c>
      <c r="J229" t="str">
        <v>15:22:16</v>
      </c>
      <c r="K229">
        <v>-12.317529</v>
      </c>
      <c r="L229">
        <v>-76.82956</v>
      </c>
      <c r="M229">
        <f>HYPERLINK("https://www.google.com/maps/search/?api=1&amp;query=-12.317529,-76.82956","Punta Hermosa, Lima")</f>
      </c>
      <c r="N229">
        <v>15.3</v>
      </c>
      <c r="O229">
        <v>90</v>
      </c>
      <c r="P229">
        <v>2578.96</v>
      </c>
      <c r="Q229" t="str">
        <v>161.67</v>
      </c>
      <c r="R229" t="str">
        <v>Llegó a la zona</v>
      </c>
      <c r="S229" t="str">
        <v>MASS BSF 1</v>
      </c>
      <c r="T229" t="str">
        <v xml:space="preserve"> </v>
      </c>
      <c r="U229" t="str">
        <v/>
      </c>
    </row>
    <row r="230">
      <c r="A230" t="str">
        <v>229</v>
      </c>
      <c r="B230" t="str">
        <v>MASS BSF</v>
      </c>
      <c r="C230" t="str">
        <v>AAR-880</v>
      </c>
      <c r="D230" t="str">
        <v>AAR-880</v>
      </c>
      <c r="E230" t="str">
        <v/>
      </c>
      <c r="F230" t="str">
        <v>867806078847433</v>
      </c>
      <c r="G230" t="str">
        <v>Otro</v>
      </c>
      <c r="H230" t="str">
        <v/>
      </c>
      <c r="I230" t="str">
        <v>28/09/2026</v>
      </c>
      <c r="J230" t="str">
        <v>15:23:16</v>
      </c>
      <c r="K230">
        <v>-12.316492</v>
      </c>
      <c r="L230">
        <v>-76.82785</v>
      </c>
      <c r="M230">
        <f>HYPERLINK("https://www.google.com/maps/search/?api=1&amp;query=-12.316492,-76.82785","Punta Hermosa, Lima")</f>
      </c>
      <c r="N230">
        <v>15.7</v>
      </c>
      <c r="O230">
        <v>85</v>
      </c>
      <c r="P230">
        <v>2579.63</v>
      </c>
      <c r="Q230" t="str">
        <v>161.40</v>
      </c>
      <c r="R230" t="str">
        <v/>
      </c>
      <c r="S230" t="str">
        <v/>
      </c>
      <c r="T230" t="str">
        <v/>
      </c>
      <c r="U230" t="str">
        <v/>
      </c>
    </row>
    <row r="231">
      <c r="A231" t="str">
        <v>230</v>
      </c>
      <c r="B231" t="str">
        <v>MASS BSF</v>
      </c>
      <c r="C231" t="str">
        <v>AAR-880</v>
      </c>
      <c r="D231" t="str">
        <v>AAR-880</v>
      </c>
      <c r="E231" t="str">
        <v/>
      </c>
      <c r="F231" t="str">
        <v>867806078847433</v>
      </c>
      <c r="G231" t="str">
        <v>Otro</v>
      </c>
      <c r="H231" t="str">
        <v/>
      </c>
      <c r="I231" t="str">
        <v>28/09/2026</v>
      </c>
      <c r="J231" t="str">
        <v>15:24:13</v>
      </c>
      <c r="K231">
        <v>-12.315369</v>
      </c>
      <c r="L231">
        <v>-76.82597</v>
      </c>
      <c r="M231">
        <f>HYPERLINK("https://www.google.com/maps/search/?api=1&amp;query=-12.315369,-76.82597","Punta Hermosa, Lima")</f>
      </c>
      <c r="N231">
        <v>7.4</v>
      </c>
      <c r="O231">
        <v>85</v>
      </c>
      <c r="P231">
        <v>2579.86</v>
      </c>
      <c r="Q231" t="str">
        <v>161.40</v>
      </c>
      <c r="R231" t="str">
        <v/>
      </c>
      <c r="S231" t="str">
        <v/>
      </c>
      <c r="T231" t="str">
        <v/>
      </c>
      <c r="U231" t="str">
        <v/>
      </c>
    </row>
    <row r="232">
      <c r="A232" t="str">
        <v>231</v>
      </c>
      <c r="B232" t="str">
        <v>MASS BSF</v>
      </c>
      <c r="C232" t="str">
        <v>AAR-880</v>
      </c>
      <c r="D232" t="str">
        <v>AAR-880</v>
      </c>
      <c r="E232" t="str">
        <v/>
      </c>
      <c r="F232" t="str">
        <v>867806078847433</v>
      </c>
      <c r="G232" t="str">
        <v>Otro</v>
      </c>
      <c r="H232" t="str">
        <v/>
      </c>
      <c r="I232" t="str">
        <v>28/09/2026</v>
      </c>
      <c r="J232" t="str">
        <v>15:24:18</v>
      </c>
      <c r="K232">
        <v>-12.315429</v>
      </c>
      <c r="L232">
        <v>-76.82585</v>
      </c>
      <c r="M232">
        <f>HYPERLINK("https://www.google.com/maps/search/?api=1&amp;query=-12.315429,-76.82585","Punta Hermosa, Lima")</f>
      </c>
      <c r="N232">
        <v>15.3</v>
      </c>
      <c r="O232">
        <v>85</v>
      </c>
      <c r="P232">
        <v>2579.88</v>
      </c>
      <c r="Q232" t="str">
        <v>161.40</v>
      </c>
      <c r="R232" t="str">
        <v/>
      </c>
      <c r="S232" t="str">
        <v/>
      </c>
      <c r="T232" t="str">
        <v/>
      </c>
      <c r="U232" t="str">
        <v/>
      </c>
    </row>
    <row r="233">
      <c r="A233" t="str">
        <v>232</v>
      </c>
      <c r="B233" t="str">
        <v>MASS BSF</v>
      </c>
      <c r="C233" t="str">
        <v>AAR-880</v>
      </c>
      <c r="D233" t="str">
        <v>AAR-880</v>
      </c>
      <c r="E233" t="str">
        <v/>
      </c>
      <c r="F233" t="str">
        <v>867806078847433</v>
      </c>
      <c r="G233" t="str">
        <v>Otro</v>
      </c>
      <c r="H233" t="str">
        <v/>
      </c>
      <c r="I233" t="str">
        <v>28/09/2026</v>
      </c>
      <c r="J233" t="str">
        <v>15:25:13</v>
      </c>
      <c r="K233">
        <v>-12.317668</v>
      </c>
      <c r="L233">
        <v>-76.82441</v>
      </c>
      <c r="M233">
        <f>HYPERLINK("https://www.google.com/maps/search/?api=1&amp;query=-12.317668,-76.82441","Punta Hermosa, Lima")</f>
      </c>
      <c r="N233">
        <v>16.4</v>
      </c>
      <c r="O233">
        <v>85</v>
      </c>
      <c r="P233">
        <v>2580.17</v>
      </c>
      <c r="Q233" t="str">
        <v>161.40</v>
      </c>
      <c r="R233" t="str">
        <v/>
      </c>
      <c r="S233" t="str">
        <v/>
      </c>
      <c r="T233" t="str">
        <v/>
      </c>
      <c r="U233" t="str">
        <v/>
      </c>
    </row>
    <row r="234">
      <c r="A234" t="str">
        <v>233</v>
      </c>
      <c r="B234" t="str">
        <v>MASS BSF</v>
      </c>
      <c r="C234" t="str">
        <v>AAR-880</v>
      </c>
      <c r="D234" t="str">
        <v>AAR-880</v>
      </c>
      <c r="E234" t="str">
        <v/>
      </c>
      <c r="F234" t="str">
        <v>867806078847433</v>
      </c>
      <c r="G234" t="str">
        <v>Otro</v>
      </c>
      <c r="H234" t="str">
        <v/>
      </c>
      <c r="I234" t="str">
        <v>28/09/2026</v>
      </c>
      <c r="J234" t="str">
        <v>15:26:09</v>
      </c>
      <c r="K234">
        <v>-12.317948</v>
      </c>
      <c r="L234">
        <v>-76.82418</v>
      </c>
      <c r="M234">
        <f>HYPERLINK("https://www.google.com/maps/search/?api=1&amp;query=-12.317948,-76.82418","Punta Hermosa, Lima")</f>
      </c>
      <c r="N234">
        <v>8.1</v>
      </c>
      <c r="O234">
        <v>85</v>
      </c>
      <c r="P234">
        <v>2580.2</v>
      </c>
      <c r="Q234" t="str">
        <v>161.40</v>
      </c>
      <c r="R234" t="str">
        <v/>
      </c>
      <c r="S234" t="str">
        <v/>
      </c>
      <c r="T234" t="str">
        <v/>
      </c>
      <c r="U234" t="str">
        <v/>
      </c>
    </row>
    <row r="235">
      <c r="A235" t="str">
        <v>234</v>
      </c>
      <c r="B235" t="str">
        <v>MASS BSF</v>
      </c>
      <c r="C235" t="str">
        <v>AAR-880</v>
      </c>
      <c r="D235" t="str">
        <v>AAR-880</v>
      </c>
      <c r="E235" t="str">
        <v/>
      </c>
      <c r="F235" t="str">
        <v>867806078847433</v>
      </c>
      <c r="G235" t="str">
        <v>Otro</v>
      </c>
      <c r="H235" t="str">
        <v/>
      </c>
      <c r="I235" t="str">
        <v>28/09/2026</v>
      </c>
      <c r="J235" t="str">
        <v>15:26:18</v>
      </c>
      <c r="K235">
        <v>-12.318153</v>
      </c>
      <c r="L235">
        <v>-76.82409</v>
      </c>
      <c r="M235">
        <f>HYPERLINK("https://www.google.com/maps/search/?api=1&amp;query=-12.318153,-76.82409","Punta Hermosa, Lima")</f>
      </c>
      <c r="N235">
        <v>11.2</v>
      </c>
      <c r="O235">
        <v>85</v>
      </c>
      <c r="P235">
        <v>2580.23</v>
      </c>
      <c r="Q235" t="str">
        <v>161.40</v>
      </c>
      <c r="R235" t="str">
        <v/>
      </c>
      <c r="S235" t="str">
        <v/>
      </c>
      <c r="T235" t="str">
        <v/>
      </c>
      <c r="U235" t="str">
        <v/>
      </c>
    </row>
    <row r="236">
      <c r="A236" t="str">
        <v>235</v>
      </c>
      <c r="B236" t="str">
        <v>MASS BSF</v>
      </c>
      <c r="C236" t="str">
        <v>AAR-880</v>
      </c>
      <c r="D236" t="str">
        <v>AAR-880</v>
      </c>
      <c r="E236" t="str">
        <v/>
      </c>
      <c r="F236" t="str">
        <v>867806078847433</v>
      </c>
      <c r="G236" t="str">
        <v>Otro</v>
      </c>
      <c r="H236" t="str">
        <v/>
      </c>
      <c r="I236" t="str">
        <v>28/09/2026</v>
      </c>
      <c r="J236" t="str">
        <v>15:26:31</v>
      </c>
      <c r="K236">
        <v>-12.318445</v>
      </c>
      <c r="L236">
        <v>-76.82391</v>
      </c>
      <c r="M236">
        <f>HYPERLINK("https://www.google.com/maps/search/?api=1&amp;query=-12.318445,-76.82391","Punta Hermosa, Lima")</f>
      </c>
      <c r="N236">
        <v>9.2</v>
      </c>
      <c r="O236">
        <v>85</v>
      </c>
      <c r="P236">
        <v>2580.27</v>
      </c>
      <c r="Q236" t="str">
        <v>161.40</v>
      </c>
      <c r="R236" t="str">
        <v/>
      </c>
      <c r="S236" t="str">
        <v/>
      </c>
      <c r="T236" t="str">
        <v/>
      </c>
      <c r="U236" t="str">
        <v/>
      </c>
    </row>
    <row r="237">
      <c r="A237" t="str">
        <v>236</v>
      </c>
      <c r="B237" t="str">
        <v>MASS BSF</v>
      </c>
      <c r="C237" t="str">
        <v>AAR-880</v>
      </c>
      <c r="D237" t="str">
        <v>AAR-880</v>
      </c>
      <c r="E237" t="str">
        <v/>
      </c>
      <c r="F237" t="str">
        <v>867806078847433</v>
      </c>
      <c r="G237" t="str">
        <v>Otro</v>
      </c>
      <c r="H237" t="str">
        <v/>
      </c>
      <c r="I237" t="str">
        <v>28/09/2026</v>
      </c>
      <c r="J237" t="str">
        <v>15:26:36</v>
      </c>
      <c r="K237">
        <v>-12.318501</v>
      </c>
      <c r="L237">
        <v>-76.82381</v>
      </c>
      <c r="M237">
        <f>HYPERLINK("https://www.google.com/maps/search/?api=1&amp;query=-12.318501,-76.82381","Punta Hermosa, Lima")</f>
      </c>
      <c r="N237">
        <v>10.5</v>
      </c>
      <c r="O237">
        <v>85</v>
      </c>
      <c r="P237">
        <v>2580.28</v>
      </c>
      <c r="Q237" t="str">
        <v>161.40</v>
      </c>
      <c r="R237" t="str">
        <v/>
      </c>
      <c r="S237" t="str">
        <v/>
      </c>
      <c r="T237" t="str">
        <v/>
      </c>
      <c r="U237" t="str">
        <v/>
      </c>
    </row>
    <row r="238">
      <c r="A238" t="str">
        <v>237</v>
      </c>
      <c r="B238" t="str">
        <v>MASS BSF</v>
      </c>
      <c r="C238" t="str">
        <v>AAR-880</v>
      </c>
      <c r="D238" t="str">
        <v>AAR-880</v>
      </c>
      <c r="E238" t="str">
        <v/>
      </c>
      <c r="F238" t="str">
        <v>867806078847433</v>
      </c>
      <c r="G238" t="str">
        <v>Otro</v>
      </c>
      <c r="H238" t="str">
        <v/>
      </c>
      <c r="I238" t="str">
        <v>28/09/2026</v>
      </c>
      <c r="J238" t="str">
        <v>15:26:41</v>
      </c>
      <c r="K238">
        <v>-12.318472</v>
      </c>
      <c r="L238">
        <v>-76.82368</v>
      </c>
      <c r="M238">
        <f>HYPERLINK("https://www.google.com/maps/search/?api=1&amp;query=-12.318472,-76.82368","Punta Hermosa, Lima")</f>
      </c>
      <c r="N238">
        <v>10.5</v>
      </c>
      <c r="O238">
        <v>85</v>
      </c>
      <c r="P238">
        <v>2580.29</v>
      </c>
      <c r="Q238" t="str">
        <v>161.40</v>
      </c>
      <c r="R238" t="str">
        <v/>
      </c>
      <c r="S238" t="str">
        <v/>
      </c>
      <c r="T238" t="str">
        <v/>
      </c>
      <c r="U238" t="str">
        <v/>
      </c>
    </row>
    <row r="239">
      <c r="A239" t="str">
        <v>238</v>
      </c>
      <c r="B239" t="str">
        <v>MASS BSF</v>
      </c>
      <c r="C239" t="str">
        <v>AAR-880</v>
      </c>
      <c r="D239" t="str">
        <v>AAR-880</v>
      </c>
      <c r="E239" t="str">
        <v/>
      </c>
      <c r="F239" t="str">
        <v>867806078847433</v>
      </c>
      <c r="G239" t="str">
        <v>Otro</v>
      </c>
      <c r="H239" t="str">
        <v/>
      </c>
      <c r="I239" t="str">
        <v>28/09/2026</v>
      </c>
      <c r="J239" t="str">
        <v>15:26:57</v>
      </c>
      <c r="K239">
        <v>-12.31826</v>
      </c>
      <c r="L239">
        <v>-76.82332</v>
      </c>
      <c r="M239">
        <f>HYPERLINK("https://www.google.com/maps/search/?api=1&amp;query=-12.31826,-76.82332","Punta Hermosa, Lima")</f>
      </c>
      <c r="N239">
        <v>8.5</v>
      </c>
      <c r="O239">
        <v>85</v>
      </c>
      <c r="P239">
        <v>2580.34</v>
      </c>
      <c r="Q239" t="str">
        <v>161.40</v>
      </c>
      <c r="R239" t="str">
        <v/>
      </c>
      <c r="S239" t="str">
        <v/>
      </c>
      <c r="T239" t="str">
        <v/>
      </c>
      <c r="U239" t="str">
        <v/>
      </c>
    </row>
    <row r="240">
      <c r="A240" t="str">
        <v>239</v>
      </c>
      <c r="B240" t="str">
        <v>MASS BSF</v>
      </c>
      <c r="C240" t="str">
        <v>AAR-880</v>
      </c>
      <c r="D240" t="str">
        <v>AAR-880</v>
      </c>
      <c r="E240" t="str">
        <v/>
      </c>
      <c r="F240" t="str">
        <v>867806078847433</v>
      </c>
      <c r="G240" t="str">
        <v>Otro</v>
      </c>
      <c r="H240" t="str">
        <v/>
      </c>
      <c r="I240" t="str">
        <v>28/09/2026</v>
      </c>
      <c r="J240" t="str">
        <v>15:27:12</v>
      </c>
      <c r="K240">
        <v>-12.318038</v>
      </c>
      <c r="L240">
        <v>-76.822975</v>
      </c>
      <c r="M240">
        <f>HYPERLINK("https://www.google.com/maps/search/?api=1&amp;query=-12.318038,-76.822975","Punta Hermosa, Lima")</f>
      </c>
      <c r="N240">
        <v>10</v>
      </c>
      <c r="O240">
        <v>91</v>
      </c>
      <c r="P240">
        <v>2580.38</v>
      </c>
      <c r="Q240" t="str">
        <v>161.40</v>
      </c>
      <c r="R240" t="str">
        <v/>
      </c>
      <c r="S240" t="str">
        <v/>
      </c>
      <c r="T240" t="str">
        <v/>
      </c>
      <c r="U240" t="str">
        <v/>
      </c>
    </row>
    <row r="241">
      <c r="A241" t="str">
        <v>240</v>
      </c>
      <c r="B241" t="str">
        <v>MASS BSF</v>
      </c>
      <c r="C241" t="str">
        <v>AAR-880</v>
      </c>
      <c r="D241" t="str">
        <v>AAR-880</v>
      </c>
      <c r="E241" t="str">
        <v/>
      </c>
      <c r="F241" t="str">
        <v>867806078847433</v>
      </c>
      <c r="G241" t="str">
        <v>Otro</v>
      </c>
      <c r="H241" t="str">
        <v/>
      </c>
      <c r="I241" t="str">
        <v>28/09/2026</v>
      </c>
      <c r="J241" t="str">
        <v>15:27:17</v>
      </c>
      <c r="K241">
        <v>-12.3179</v>
      </c>
      <c r="L241">
        <v>-76.82292</v>
      </c>
      <c r="M241">
        <f>HYPERLINK("https://www.google.com/maps/search/?api=1&amp;query=-12.3179,-76.82292","Punta Hermosa, Lima")</f>
      </c>
      <c r="N241">
        <v>12</v>
      </c>
      <c r="O241">
        <v>91</v>
      </c>
      <c r="P241">
        <v>2580.4</v>
      </c>
      <c r="Q241" t="str">
        <v>161.40</v>
      </c>
      <c r="R241" t="str">
        <v/>
      </c>
      <c r="S241" t="str">
        <v/>
      </c>
      <c r="T241" t="str">
        <v/>
      </c>
      <c r="U241" t="str">
        <v/>
      </c>
    </row>
    <row r="242">
      <c r="A242" t="str">
        <v>241</v>
      </c>
      <c r="B242" t="str">
        <v>MASS BSF</v>
      </c>
      <c r="C242" t="str">
        <v>AAR-880</v>
      </c>
      <c r="D242" t="str">
        <v>AAR-880</v>
      </c>
      <c r="E242" t="str">
        <v/>
      </c>
      <c r="F242" t="str">
        <v>867806078847433</v>
      </c>
      <c r="G242" t="str">
        <v>Otro</v>
      </c>
      <c r="H242" t="str">
        <v/>
      </c>
      <c r="I242" t="str">
        <v>28/09/2026</v>
      </c>
      <c r="J242" t="str">
        <v>15:27:31</v>
      </c>
      <c r="K242">
        <v>-12.31751</v>
      </c>
      <c r="L242">
        <v>-76.822815</v>
      </c>
      <c r="M242">
        <f>HYPERLINK("https://www.google.com/maps/search/?api=1&amp;query=-12.31751,-76.822815","Punta Hermosa, Lima")</f>
      </c>
      <c r="N242">
        <v>6.6</v>
      </c>
      <c r="O242">
        <v>91</v>
      </c>
      <c r="P242">
        <v>2580.44</v>
      </c>
      <c r="Q242" t="str">
        <v>161.40</v>
      </c>
      <c r="R242" t="str">
        <v/>
      </c>
      <c r="S242" t="str">
        <v/>
      </c>
      <c r="T242" t="str">
        <v/>
      </c>
      <c r="U242" t="str">
        <v/>
      </c>
    </row>
    <row r="243">
      <c r="A243" t="str">
        <v>242</v>
      </c>
      <c r="B243" t="str">
        <v>MASS BSF</v>
      </c>
      <c r="C243" t="str">
        <v>AAR-880</v>
      </c>
      <c r="D243" t="str">
        <v>AAR-880</v>
      </c>
      <c r="E243" t="str">
        <v/>
      </c>
      <c r="F243" t="str">
        <v>867806078847433</v>
      </c>
      <c r="G243" t="str">
        <v>Otro</v>
      </c>
      <c r="H243" t="str">
        <v/>
      </c>
      <c r="I243" t="str">
        <v>28/09/2026</v>
      </c>
      <c r="J243" t="str">
        <v>15:27:36</v>
      </c>
      <c r="K243">
        <v>-12.317442</v>
      </c>
      <c r="L243">
        <v>-76.82285</v>
      </c>
      <c r="M243">
        <f>HYPERLINK("https://www.google.com/maps/search/?api=1&amp;query=-12.317442,-76.82285","Punta Hermosa, Lima")</f>
      </c>
      <c r="N243">
        <v>8.1</v>
      </c>
      <c r="O243">
        <v>91</v>
      </c>
      <c r="P243">
        <v>2580.45</v>
      </c>
      <c r="Q243" t="str">
        <v>161.40</v>
      </c>
      <c r="R243" t="str">
        <v/>
      </c>
      <c r="S243" t="str">
        <v/>
      </c>
      <c r="T243" t="str">
        <v/>
      </c>
      <c r="U243" t="str">
        <v/>
      </c>
    </row>
    <row r="244">
      <c r="A244" t="str">
        <v>243</v>
      </c>
      <c r="B244" t="str">
        <v>MASS BSF</v>
      </c>
      <c r="C244" t="str">
        <v>AAR-880</v>
      </c>
      <c r="D244" t="str">
        <v>AAR-880</v>
      </c>
      <c r="E244" t="str">
        <v/>
      </c>
      <c r="F244" t="str">
        <v>867806078847433</v>
      </c>
      <c r="G244" t="str">
        <v>Otro</v>
      </c>
      <c r="H244" t="str">
        <v/>
      </c>
      <c r="I244" t="str">
        <v>28/09/2026</v>
      </c>
      <c r="J244" t="str">
        <v>15:27:41</v>
      </c>
      <c r="K244">
        <v>-12.317362</v>
      </c>
      <c r="L244">
        <v>-76.82291</v>
      </c>
      <c r="M244">
        <f>HYPERLINK("https://www.google.com/maps/search/?api=1&amp;query=-12.317362,-76.82291","Punta Hermosa, Lima")</f>
      </c>
      <c r="N244">
        <v>8.1</v>
      </c>
      <c r="O244">
        <v>91</v>
      </c>
      <c r="P244">
        <v>2580.46</v>
      </c>
      <c r="Q244" t="str">
        <v>161.40</v>
      </c>
      <c r="R244" t="str">
        <v/>
      </c>
      <c r="S244" t="str">
        <v/>
      </c>
      <c r="T244" t="str">
        <v/>
      </c>
      <c r="U244" t="str">
        <v/>
      </c>
    </row>
    <row r="245">
      <c r="A245" t="str">
        <v>244</v>
      </c>
      <c r="B245" t="str">
        <v>MASS BSF</v>
      </c>
      <c r="C245" t="str">
        <v>AAR-880</v>
      </c>
      <c r="D245" t="str">
        <v>AAR-880</v>
      </c>
      <c r="E245" t="str">
        <v/>
      </c>
      <c r="F245" t="str">
        <v>867806078847433</v>
      </c>
      <c r="G245" t="str">
        <v>Otro</v>
      </c>
      <c r="H245" t="str">
        <v/>
      </c>
      <c r="I245" t="str">
        <v>28/09/2026</v>
      </c>
      <c r="J245" t="str">
        <v>15:28:41</v>
      </c>
      <c r="K245">
        <v>-12.317398</v>
      </c>
      <c r="L245">
        <v>-76.82293</v>
      </c>
      <c r="M245">
        <f>HYPERLINK("https://www.google.com/maps/search/?api=1&amp;query=-12.317398,-76.82293","Punta Hermosa, Lima")</f>
      </c>
      <c r="N245">
        <v>0</v>
      </c>
      <c r="O245">
        <v>91</v>
      </c>
      <c r="P245">
        <v>2580.47</v>
      </c>
      <c r="Q245" t="str">
        <v>161.40</v>
      </c>
      <c r="R245" t="str">
        <v/>
      </c>
      <c r="S245" t="str">
        <v/>
      </c>
      <c r="T245" t="str">
        <v/>
      </c>
      <c r="U245" t="str">
        <v/>
      </c>
    </row>
    <row r="246">
      <c r="A246" t="str">
        <v>245</v>
      </c>
      <c r="B246" t="str">
        <v>MASS BSF</v>
      </c>
      <c r="C246" t="str">
        <v>AAR-880</v>
      </c>
      <c r="D246" t="str">
        <v>AAR-880</v>
      </c>
      <c r="E246" t="str">
        <v/>
      </c>
      <c r="F246" t="str">
        <v>867806078847433</v>
      </c>
      <c r="G246" t="str">
        <v>Otro</v>
      </c>
      <c r="H246" t="str">
        <v/>
      </c>
      <c r="I246" t="str">
        <v>28/09/2026</v>
      </c>
      <c r="J246" t="str">
        <v>15:29:41</v>
      </c>
      <c r="K246">
        <v>-12.317398</v>
      </c>
      <c r="L246">
        <v>-76.82293</v>
      </c>
      <c r="M246">
        <f>HYPERLINK("https://www.google.com/maps/search/?api=1&amp;query=-12.317398,-76.82293","Punta Hermosa, Lima")</f>
      </c>
      <c r="N246">
        <v>0</v>
      </c>
      <c r="O246">
        <v>91</v>
      </c>
      <c r="P246">
        <v>2580.47</v>
      </c>
      <c r="Q246" t="str">
        <v>161.40</v>
      </c>
      <c r="R246" t="str">
        <v/>
      </c>
      <c r="S246" t="str">
        <v/>
      </c>
      <c r="T246" t="str">
        <v/>
      </c>
      <c r="U246" t="str">
        <v/>
      </c>
    </row>
    <row r="247">
      <c r="A247" t="str">
        <v>246</v>
      </c>
      <c r="B247" t="str">
        <v>MASS BSF</v>
      </c>
      <c r="C247" t="str">
        <v>AAR-880</v>
      </c>
      <c r="D247" t="str">
        <v>AAR-880</v>
      </c>
      <c r="E247" t="str">
        <v/>
      </c>
      <c r="F247" t="str">
        <v>867806078847433</v>
      </c>
      <c r="G247" t="str">
        <v>Otro</v>
      </c>
      <c r="H247" t="str">
        <v/>
      </c>
      <c r="I247" t="str">
        <v>28/09/2026</v>
      </c>
      <c r="J247" t="str">
        <v>15:30:41</v>
      </c>
      <c r="K247">
        <v>-12.317398</v>
      </c>
      <c r="L247">
        <v>-76.82293</v>
      </c>
      <c r="M247">
        <f>HYPERLINK("https://www.google.com/maps/search/?api=1&amp;query=-12.317398,-76.82293","Punta Hermosa, Lima")</f>
      </c>
      <c r="N247">
        <v>0</v>
      </c>
      <c r="O247">
        <v>91</v>
      </c>
      <c r="P247">
        <v>2580.47</v>
      </c>
      <c r="Q247" t="str">
        <v>161.40</v>
      </c>
      <c r="R247" t="str">
        <v/>
      </c>
      <c r="S247" t="str">
        <v/>
      </c>
      <c r="T247" t="str">
        <v/>
      </c>
      <c r="U247" t="str">
        <v/>
      </c>
    </row>
    <row r="248">
      <c r="A248" t="str">
        <v>247</v>
      </c>
      <c r="B248" t="str">
        <v>MASS BSF</v>
      </c>
      <c r="C248" t="str">
        <v>AAR-880</v>
      </c>
      <c r="D248" t="str">
        <v>AAR-880</v>
      </c>
      <c r="E248" t="str">
        <v/>
      </c>
      <c r="F248" t="str">
        <v>867806078847433</v>
      </c>
      <c r="G248" t="str">
        <v>Otro</v>
      </c>
      <c r="H248" t="str">
        <v/>
      </c>
      <c r="I248" t="str">
        <v>28/09/2026</v>
      </c>
      <c r="J248" t="str">
        <v>15:31:41</v>
      </c>
      <c r="K248">
        <v>-12.317398</v>
      </c>
      <c r="L248">
        <v>-76.82293</v>
      </c>
      <c r="M248">
        <f>HYPERLINK("https://www.google.com/maps/search/?api=1&amp;query=-12.317398,-76.82293","Punta Hermosa, Lima")</f>
      </c>
      <c r="N248">
        <v>0</v>
      </c>
      <c r="O248">
        <v>87</v>
      </c>
      <c r="P248">
        <v>2580.47</v>
      </c>
      <c r="Q248" t="str">
        <v>161.40</v>
      </c>
      <c r="R248" t="str">
        <v/>
      </c>
      <c r="S248" t="str">
        <v/>
      </c>
      <c r="T248" t="str">
        <v/>
      </c>
      <c r="U248" t="str">
        <v/>
      </c>
    </row>
    <row r="249">
      <c r="A249" t="str">
        <v>248</v>
      </c>
      <c r="B249" t="str">
        <v>MASS BSF</v>
      </c>
      <c r="C249" t="str">
        <v>AAR-880</v>
      </c>
      <c r="D249" t="str">
        <v>AAR-880</v>
      </c>
      <c r="E249" t="str">
        <v/>
      </c>
      <c r="F249" t="str">
        <v>867806078847433</v>
      </c>
      <c r="G249" t="str">
        <v>Otro</v>
      </c>
      <c r="H249" t="str">
        <v/>
      </c>
      <c r="I249" t="str">
        <v>28/09/2026</v>
      </c>
      <c r="J249" t="str">
        <v>15:32:41</v>
      </c>
      <c r="K249">
        <v>-12.317398</v>
      </c>
      <c r="L249">
        <v>-76.82293</v>
      </c>
      <c r="M249">
        <f>HYPERLINK("https://www.google.com/maps/search/?api=1&amp;query=-12.317398,-76.82293","Punta Hermosa, Lima")</f>
      </c>
      <c r="N249">
        <v>0</v>
      </c>
      <c r="O249">
        <v>81</v>
      </c>
      <c r="P249">
        <v>2580.47</v>
      </c>
      <c r="Q249" t="str">
        <v>161.40</v>
      </c>
      <c r="R249" t="str">
        <v/>
      </c>
      <c r="S249" t="str">
        <v/>
      </c>
      <c r="T249" t="str">
        <v/>
      </c>
      <c r="U249" t="str">
        <v/>
      </c>
    </row>
    <row r="250">
      <c r="A250" t="str">
        <v>249</v>
      </c>
      <c r="B250" t="str">
        <v>MASS BSF</v>
      </c>
      <c r="C250" t="str">
        <v>AAR-880</v>
      </c>
      <c r="D250" t="str">
        <v>AAR-880</v>
      </c>
      <c r="E250" t="str">
        <v/>
      </c>
      <c r="F250" t="str">
        <v>867806078847433</v>
      </c>
      <c r="G250" t="str">
        <v>Otro</v>
      </c>
      <c r="H250" t="str">
        <v/>
      </c>
      <c r="I250" t="str">
        <v>28/09/2026</v>
      </c>
      <c r="J250" t="str">
        <v>15:33:41</v>
      </c>
      <c r="K250">
        <v>-12.317398</v>
      </c>
      <c r="L250">
        <v>-76.82293</v>
      </c>
      <c r="M250">
        <f>HYPERLINK("https://www.google.com/maps/search/?api=1&amp;query=-12.317398,-76.82293","Punta Hermosa, Lima")</f>
      </c>
      <c r="N250">
        <v>0</v>
      </c>
      <c r="O250">
        <v>81</v>
      </c>
      <c r="P250">
        <v>2580.47</v>
      </c>
      <c r="Q250" t="str">
        <v>161.40</v>
      </c>
      <c r="R250" t="str">
        <v/>
      </c>
      <c r="S250" t="str">
        <v/>
      </c>
      <c r="T250" t="str">
        <v/>
      </c>
      <c r="U250" t="str">
        <v/>
      </c>
    </row>
    <row r="251">
      <c r="A251" t="str">
        <v>250</v>
      </c>
      <c r="B251" t="str">
        <v>MASS BSF</v>
      </c>
      <c r="C251" t="str">
        <v>AAR-880</v>
      </c>
      <c r="D251" t="str">
        <v>AAR-880</v>
      </c>
      <c r="E251" t="str">
        <v/>
      </c>
      <c r="F251" t="str">
        <v>867806078847433</v>
      </c>
      <c r="G251" t="str">
        <v>Otro</v>
      </c>
      <c r="H251" t="str">
        <v/>
      </c>
      <c r="I251" t="str">
        <v>28/09/2026</v>
      </c>
      <c r="J251" t="str">
        <v>15:34:41</v>
      </c>
      <c r="K251">
        <v>-12.317398</v>
      </c>
      <c r="L251">
        <v>-76.82293</v>
      </c>
      <c r="M251">
        <f>HYPERLINK("https://www.google.com/maps/search/?api=1&amp;query=-12.317398,-76.82293","Punta Hermosa, Lima")</f>
      </c>
      <c r="N251">
        <v>0</v>
      </c>
      <c r="O251">
        <v>81</v>
      </c>
      <c r="P251">
        <v>2580.47</v>
      </c>
      <c r="Q251" t="str">
        <v>161.40</v>
      </c>
      <c r="R251" t="str">
        <v/>
      </c>
      <c r="S251" t="str">
        <v/>
      </c>
      <c r="T251" t="str">
        <v/>
      </c>
      <c r="U251" t="str">
        <v/>
      </c>
    </row>
    <row r="252">
      <c r="A252" t="str">
        <v>251</v>
      </c>
      <c r="B252" t="str">
        <v>MASS BSF</v>
      </c>
      <c r="C252" t="str">
        <v>AAR-880</v>
      </c>
      <c r="D252" t="str">
        <v>AAR-880</v>
      </c>
      <c r="E252" t="str">
        <v/>
      </c>
      <c r="F252" t="str">
        <v>867806078847433</v>
      </c>
      <c r="G252" t="str">
        <v>Otro</v>
      </c>
      <c r="H252" t="str">
        <v/>
      </c>
      <c r="I252" t="str">
        <v>28/09/2026</v>
      </c>
      <c r="J252" t="str">
        <v>15:35:39</v>
      </c>
      <c r="K252">
        <v>-12.317398</v>
      </c>
      <c r="L252">
        <v>-76.82293</v>
      </c>
      <c r="M252">
        <f>HYPERLINK("https://www.google.com/maps/search/?api=1&amp;query=-12.317398,-76.82293","Punta Hermosa, Lima")</f>
      </c>
      <c r="N252">
        <v>0</v>
      </c>
      <c r="O252">
        <v>81</v>
      </c>
      <c r="P252">
        <v>2580.47</v>
      </c>
      <c r="Q252" t="str">
        <v>162.30</v>
      </c>
      <c r="R252" t="str">
        <v>Vehículo apagado</v>
      </c>
      <c r="S252" t="str">
        <v/>
      </c>
      <c r="T252" t="str">
        <v/>
      </c>
      <c r="U252" t="str">
        <v/>
      </c>
    </row>
    <row r="253">
      <c r="A253" t="str">
        <v>252</v>
      </c>
      <c r="B253" t="str">
        <v>MASS BSF</v>
      </c>
      <c r="C253" t="str">
        <v>AAR-880</v>
      </c>
      <c r="D253" t="str">
        <v>AAR-880</v>
      </c>
      <c r="E253" t="str">
        <v/>
      </c>
      <c r="F253" t="str">
        <v>867806078847433</v>
      </c>
      <c r="G253" t="str">
        <v>Otro</v>
      </c>
      <c r="H253" t="str">
        <v/>
      </c>
      <c r="I253" t="str">
        <v>28/09/2026</v>
      </c>
      <c r="J253" t="str">
        <v>15:45:39</v>
      </c>
      <c r="K253">
        <v>-12.317398</v>
      </c>
      <c r="L253">
        <v>-76.82293</v>
      </c>
      <c r="M253">
        <f>HYPERLINK("https://www.google.com/maps/search/?api=1&amp;query=-12.317398,-76.82293","Punta Hermosa, Lima")</f>
      </c>
      <c r="N253">
        <v>0</v>
      </c>
      <c r="O253">
        <v>81</v>
      </c>
      <c r="P253">
        <v>2580.47</v>
      </c>
      <c r="Q253" t="str">
        <v>162.30</v>
      </c>
      <c r="R253" t="str">
        <v/>
      </c>
      <c r="S253" t="str">
        <v/>
      </c>
      <c r="T253" t="str">
        <v/>
      </c>
      <c r="U253" t="str">
        <v/>
      </c>
    </row>
    <row r="254">
      <c r="A254" t="str">
        <v>253</v>
      </c>
      <c r="B254" t="str">
        <v>MASS BSF</v>
      </c>
      <c r="C254" t="str">
        <v>AAR-880</v>
      </c>
      <c r="D254" t="str">
        <v>AAR-880</v>
      </c>
      <c r="E254" t="str">
        <v/>
      </c>
      <c r="F254" t="str">
        <v>867806078847433</v>
      </c>
      <c r="G254" t="str">
        <v>Otro</v>
      </c>
      <c r="H254" t="str">
        <v/>
      </c>
      <c r="I254" t="str">
        <v>28/09/2026</v>
      </c>
      <c r="J254" t="str">
        <v>15:49:10</v>
      </c>
      <c r="K254">
        <v>-12.317398</v>
      </c>
      <c r="L254">
        <v>-76.82293</v>
      </c>
      <c r="M254">
        <f>HYPERLINK("https://www.google.com/maps/search/?api=1&amp;query=-12.317398,-76.82293","Punta Hermosa, Lima")</f>
      </c>
      <c r="N254">
        <v>0</v>
      </c>
      <c r="O254">
        <v>81</v>
      </c>
      <c r="P254">
        <v>2580.47</v>
      </c>
      <c r="Q254" t="str">
        <v>162.30</v>
      </c>
      <c r="R254" t="str">
        <v>Vehículo encendido</v>
      </c>
      <c r="S254" t="str">
        <v/>
      </c>
      <c r="T254" t="str">
        <v/>
      </c>
      <c r="U254" t="str">
        <v/>
      </c>
    </row>
    <row r="255">
      <c r="A255" t="str">
        <v>254</v>
      </c>
      <c r="B255" t="str">
        <v>MASS BSF</v>
      </c>
      <c r="C255" t="str">
        <v>AAR-880</v>
      </c>
      <c r="D255" t="str">
        <v>AAR-880</v>
      </c>
      <c r="E255" t="str">
        <v/>
      </c>
      <c r="F255" t="str">
        <v>867806078847433</v>
      </c>
      <c r="G255" t="str">
        <v>Otro</v>
      </c>
      <c r="H255" t="str">
        <v/>
      </c>
      <c r="I255" t="str">
        <v>28/09/2026</v>
      </c>
      <c r="J255" t="str">
        <v>15:49:10</v>
      </c>
      <c r="K255">
        <v>-12.317398</v>
      </c>
      <c r="L255">
        <v>-76.82293</v>
      </c>
      <c r="M255">
        <f>HYPERLINK("https://www.google.com/maps/search/?api=1&amp;query=-12.317398,-76.82293","Punta Hermosa, Lima")</f>
      </c>
      <c r="N255">
        <v>0</v>
      </c>
      <c r="O255">
        <v>81</v>
      </c>
      <c r="P255">
        <v>2580.47</v>
      </c>
      <c r="Q255" t="str">
        <v>162.30</v>
      </c>
      <c r="R255" t="str">
        <v>Se movio</v>
      </c>
      <c r="S255" t="str">
        <v/>
      </c>
      <c r="T255" t="str">
        <v/>
      </c>
      <c r="U255" t="str">
        <v/>
      </c>
    </row>
    <row r="256">
      <c r="A256" t="str">
        <v>255</v>
      </c>
      <c r="B256" t="str">
        <v>MASS BSF</v>
      </c>
      <c r="C256" t="str">
        <v>AAR-880</v>
      </c>
      <c r="D256" t="str">
        <v>AAR-880</v>
      </c>
      <c r="E256" t="str">
        <v/>
      </c>
      <c r="F256" t="str">
        <v>867806078847433</v>
      </c>
      <c r="G256" t="str">
        <v>Otro</v>
      </c>
      <c r="H256" t="str">
        <v/>
      </c>
      <c r="I256" t="str">
        <v>28/09/2026</v>
      </c>
      <c r="J256" t="str">
        <v>15:50:10</v>
      </c>
      <c r="K256">
        <v>-12.317442</v>
      </c>
      <c r="L256">
        <v>-76.82287</v>
      </c>
      <c r="M256">
        <f>HYPERLINK("https://www.google.com/maps/search/?api=1&amp;query=-12.317442,-76.82287","Punta Hermosa, Lima")</f>
      </c>
      <c r="N256">
        <v>0</v>
      </c>
      <c r="O256">
        <v>81</v>
      </c>
      <c r="P256">
        <v>2580.48</v>
      </c>
      <c r="Q256" t="str">
        <v>162.30</v>
      </c>
      <c r="R256" t="str">
        <v/>
      </c>
      <c r="S256" t="str">
        <v/>
      </c>
      <c r="T256" t="str">
        <v/>
      </c>
      <c r="U256" t="str">
        <v/>
      </c>
    </row>
    <row r="257">
      <c r="A257" t="str">
        <v>256</v>
      </c>
      <c r="B257" t="str">
        <v>MASS BSF</v>
      </c>
      <c r="C257" t="str">
        <v>AAR-880</v>
      </c>
      <c r="D257" t="str">
        <v>AAR-880</v>
      </c>
      <c r="E257" t="str">
        <v/>
      </c>
      <c r="F257" t="str">
        <v>867806078847433</v>
      </c>
      <c r="G257" t="str">
        <v>Otro</v>
      </c>
      <c r="H257" t="str">
        <v/>
      </c>
      <c r="I257" t="str">
        <v>28/09/2026</v>
      </c>
      <c r="J257" t="str">
        <v>15:50:51</v>
      </c>
      <c r="K257">
        <v>-12.317493</v>
      </c>
      <c r="L257">
        <v>-76.82287</v>
      </c>
      <c r="M257">
        <f>HYPERLINK("https://www.google.com/maps/search/?api=1&amp;query=-12.317493,-76.82287","Punta Hermosa, Lima")</f>
      </c>
      <c r="N257">
        <v>6.4</v>
      </c>
      <c r="O257">
        <v>81</v>
      </c>
      <c r="P257">
        <v>2580.49</v>
      </c>
      <c r="Q257" t="str">
        <v>162.30</v>
      </c>
      <c r="R257" t="str">
        <v/>
      </c>
      <c r="S257" t="str">
        <v/>
      </c>
      <c r="T257" t="str">
        <v/>
      </c>
      <c r="U257" t="str">
        <v/>
      </c>
    </row>
    <row r="258">
      <c r="A258" t="str">
        <v>257</v>
      </c>
      <c r="B258" t="str">
        <v>MASS BSF</v>
      </c>
      <c r="C258" t="str">
        <v>AAR-880</v>
      </c>
      <c r="D258" t="str">
        <v>AAR-880</v>
      </c>
      <c r="E258" t="str">
        <v/>
      </c>
      <c r="F258" t="str">
        <v>867806078847433</v>
      </c>
      <c r="G258" t="str">
        <v>Otro</v>
      </c>
      <c r="H258" t="str">
        <v/>
      </c>
      <c r="I258" t="str">
        <v>28/09/2026</v>
      </c>
      <c r="J258" t="str">
        <v>15:50:56</v>
      </c>
      <c r="K258">
        <v>-12.317581</v>
      </c>
      <c r="L258">
        <v>-76.82287</v>
      </c>
      <c r="M258">
        <f>HYPERLINK("https://www.google.com/maps/search/?api=1&amp;query=-12.317581,-76.82287","Punta Hermosa, Lima")</f>
      </c>
      <c r="N258">
        <v>7.4</v>
      </c>
      <c r="O258">
        <v>81</v>
      </c>
      <c r="P258">
        <v>2580.5</v>
      </c>
      <c r="Q258" t="str">
        <v>162.30</v>
      </c>
      <c r="R258" t="str">
        <v/>
      </c>
      <c r="S258" t="str">
        <v/>
      </c>
      <c r="T258" t="str">
        <v/>
      </c>
      <c r="U258" t="str">
        <v/>
      </c>
    </row>
    <row r="259">
      <c r="A259" t="str">
        <v>258</v>
      </c>
      <c r="B259" t="str">
        <v>MASS BSF</v>
      </c>
      <c r="C259" t="str">
        <v>AAR-880</v>
      </c>
      <c r="D259" t="str">
        <v>AAR-880</v>
      </c>
      <c r="E259" t="str">
        <v/>
      </c>
      <c r="F259" t="str">
        <v>867806078847433</v>
      </c>
      <c r="G259" t="str">
        <v>Otro</v>
      </c>
      <c r="H259" t="str">
        <v/>
      </c>
      <c r="I259" t="str">
        <v>28/09/2026</v>
      </c>
      <c r="J259" t="str">
        <v>15:51:05</v>
      </c>
      <c r="K259">
        <v>-12.317837</v>
      </c>
      <c r="L259">
        <v>-76.82292</v>
      </c>
      <c r="M259">
        <f>HYPERLINK("https://www.google.com/maps/search/?api=1&amp;query=-12.317837,-76.82292","Punta Hermosa, Lima")</f>
      </c>
      <c r="N259">
        <v>11.4</v>
      </c>
      <c r="O259">
        <v>81</v>
      </c>
      <c r="P259">
        <v>2580.53</v>
      </c>
      <c r="Q259" t="str">
        <v>162.30</v>
      </c>
      <c r="R259" t="str">
        <v/>
      </c>
      <c r="S259" t="str">
        <v/>
      </c>
      <c r="T259" t="str">
        <v/>
      </c>
      <c r="U259" t="str">
        <v/>
      </c>
    </row>
    <row r="260">
      <c r="A260" t="str">
        <v>259</v>
      </c>
      <c r="B260" t="str">
        <v>MASS BSF</v>
      </c>
      <c r="C260" t="str">
        <v>AAR-880</v>
      </c>
      <c r="D260" t="str">
        <v>AAR-880</v>
      </c>
      <c r="E260" t="str">
        <v/>
      </c>
      <c r="F260" t="str">
        <v>867806078847433</v>
      </c>
      <c r="G260" t="str">
        <v>Otro</v>
      </c>
      <c r="H260" t="str">
        <v/>
      </c>
      <c r="I260" t="str">
        <v>28/09/2026</v>
      </c>
      <c r="J260" t="str">
        <v>15:51:11</v>
      </c>
      <c r="K260">
        <v>-12.318006</v>
      </c>
      <c r="L260">
        <v>-76.82299</v>
      </c>
      <c r="M260">
        <f>HYPERLINK("https://www.google.com/maps/search/?api=1&amp;query=-12.318006,-76.82299","Punta Hermosa, Lima")</f>
      </c>
      <c r="N260">
        <v>12</v>
      </c>
      <c r="O260">
        <v>83</v>
      </c>
      <c r="P260">
        <v>2580.55</v>
      </c>
      <c r="Q260" t="str">
        <v>162.30</v>
      </c>
      <c r="R260" t="str">
        <v/>
      </c>
      <c r="S260" t="str">
        <v/>
      </c>
      <c r="T260" t="str">
        <v/>
      </c>
      <c r="U260" t="str">
        <v/>
      </c>
    </row>
    <row r="261">
      <c r="A261" t="str">
        <v>260</v>
      </c>
      <c r="B261" t="str">
        <v>MASS BSF</v>
      </c>
      <c r="C261" t="str">
        <v>AAR-880</v>
      </c>
      <c r="D261" t="str">
        <v>AAR-880</v>
      </c>
      <c r="E261" t="str">
        <v/>
      </c>
      <c r="F261" t="str">
        <v>867806078847433</v>
      </c>
      <c r="G261" t="str">
        <v>Otro</v>
      </c>
      <c r="H261" t="str">
        <v/>
      </c>
      <c r="I261" t="str">
        <v>28/09/2026</v>
      </c>
      <c r="J261" t="str">
        <v>15:51:16</v>
      </c>
      <c r="K261">
        <v>-12.318117</v>
      </c>
      <c r="L261">
        <v>-76.823135</v>
      </c>
      <c r="M261">
        <f>HYPERLINK("https://www.google.com/maps/search/?api=1&amp;query=-12.318117,-76.823135","Punta Hermosa, Lima")</f>
      </c>
      <c r="N261">
        <v>14.4</v>
      </c>
      <c r="O261">
        <v>83</v>
      </c>
      <c r="P261">
        <v>2580.57</v>
      </c>
      <c r="Q261" t="str">
        <v>162.30</v>
      </c>
      <c r="R261" t="str">
        <v/>
      </c>
      <c r="S261" t="str">
        <v/>
      </c>
      <c r="T261" t="str">
        <v/>
      </c>
      <c r="U261" t="str">
        <v/>
      </c>
    </row>
    <row r="262">
      <c r="A262" t="str">
        <v>261</v>
      </c>
      <c r="B262" t="str">
        <v>MASS BSF</v>
      </c>
      <c r="C262" t="str">
        <v>AAR-880</v>
      </c>
      <c r="D262" t="str">
        <v>AAR-880</v>
      </c>
      <c r="E262" t="str">
        <v/>
      </c>
      <c r="F262" t="str">
        <v>867806078847433</v>
      </c>
      <c r="G262" t="str">
        <v>Otro</v>
      </c>
      <c r="H262" t="str">
        <v/>
      </c>
      <c r="I262" t="str">
        <v>28/09/2026</v>
      </c>
      <c r="J262" t="str">
        <v>15:51:33</v>
      </c>
      <c r="K262">
        <v>-12.318414</v>
      </c>
      <c r="L262">
        <v>-76.82364</v>
      </c>
      <c r="M262">
        <f>HYPERLINK("https://www.google.com/maps/search/?api=1&amp;query=-12.318414,-76.82364","Punta Hermosa, Lima")</f>
      </c>
      <c r="N262">
        <v>10.3</v>
      </c>
      <c r="O262">
        <v>83</v>
      </c>
      <c r="P262">
        <v>2580.63</v>
      </c>
      <c r="Q262" t="str">
        <v>162.30</v>
      </c>
      <c r="R262" t="str">
        <v/>
      </c>
      <c r="S262" t="str">
        <v/>
      </c>
      <c r="T262" t="str">
        <v/>
      </c>
      <c r="U262" t="str">
        <v/>
      </c>
    </row>
    <row r="263">
      <c r="A263" t="str">
        <v>262</v>
      </c>
      <c r="B263" t="str">
        <v>MASS BSF</v>
      </c>
      <c r="C263" t="str">
        <v>AAR-880</v>
      </c>
      <c r="D263" t="str">
        <v>AAR-880</v>
      </c>
      <c r="E263" t="str">
        <v/>
      </c>
      <c r="F263" t="str">
        <v>867806078847433</v>
      </c>
      <c r="G263" t="str">
        <v>Otro</v>
      </c>
      <c r="H263" t="str">
        <v/>
      </c>
      <c r="I263" t="str">
        <v>28/09/2026</v>
      </c>
      <c r="J263" t="str">
        <v>15:51:38</v>
      </c>
      <c r="K263">
        <v>-12.31846</v>
      </c>
      <c r="L263">
        <v>-76.82378</v>
      </c>
      <c r="M263">
        <f>HYPERLINK("https://www.google.com/maps/search/?api=1&amp;query=-12.31846,-76.82378","Punta Hermosa, Lima")</f>
      </c>
      <c r="N263">
        <v>10.9</v>
      </c>
      <c r="O263">
        <v>83</v>
      </c>
      <c r="P263">
        <v>2580.64</v>
      </c>
      <c r="Q263" t="str">
        <v>162.30</v>
      </c>
      <c r="R263" t="str">
        <v/>
      </c>
      <c r="S263" t="str">
        <v/>
      </c>
      <c r="T263" t="str">
        <v/>
      </c>
      <c r="U263" t="str">
        <v/>
      </c>
    </row>
    <row r="264">
      <c r="A264" t="str">
        <v>263</v>
      </c>
      <c r="B264" t="str">
        <v>MASS BSF</v>
      </c>
      <c r="C264" t="str">
        <v>AAR-880</v>
      </c>
      <c r="D264" t="str">
        <v>AAR-880</v>
      </c>
      <c r="E264" t="str">
        <v/>
      </c>
      <c r="F264" t="str">
        <v>867806078847433</v>
      </c>
      <c r="G264" t="str">
        <v>Otro</v>
      </c>
      <c r="H264" t="str">
        <v/>
      </c>
      <c r="I264" t="str">
        <v>28/09/2026</v>
      </c>
      <c r="J264" t="str">
        <v>15:51:43</v>
      </c>
      <c r="K264">
        <v>-12.318394</v>
      </c>
      <c r="L264">
        <v>-76.8239</v>
      </c>
      <c r="M264">
        <f>HYPERLINK("https://www.google.com/maps/search/?api=1&amp;query=-12.318394,-76.8239","Punta Hermosa, Lima")</f>
      </c>
      <c r="N264">
        <v>11.4</v>
      </c>
      <c r="O264">
        <v>83</v>
      </c>
      <c r="P264">
        <v>2580.66</v>
      </c>
      <c r="Q264" t="str">
        <v>162.30</v>
      </c>
      <c r="R264" t="str">
        <v/>
      </c>
      <c r="S264" t="str">
        <v/>
      </c>
      <c r="T264" t="str">
        <v/>
      </c>
      <c r="U264" t="str">
        <v/>
      </c>
    </row>
    <row r="265">
      <c r="A265" t="str">
        <v>264</v>
      </c>
      <c r="B265" t="str">
        <v>MASS BSF</v>
      </c>
      <c r="C265" t="str">
        <v>AAR-880</v>
      </c>
      <c r="D265" t="str">
        <v>AAR-880</v>
      </c>
      <c r="E265" t="str">
        <v/>
      </c>
      <c r="F265" t="str">
        <v>867806078847433</v>
      </c>
      <c r="G265" t="str">
        <v>Otro</v>
      </c>
      <c r="H265" t="str">
        <v/>
      </c>
      <c r="I265" t="str">
        <v>28/09/2026</v>
      </c>
      <c r="J265" t="str">
        <v>15:52:02</v>
      </c>
      <c r="K265">
        <v>-12.317966</v>
      </c>
      <c r="L265">
        <v>-76.824196</v>
      </c>
      <c r="M265">
        <f>HYPERLINK("https://www.google.com/maps/search/?api=1&amp;query=-12.317966,-76.824196","Punta Hermosa, Lima")</f>
      </c>
      <c r="N265">
        <v>10.3</v>
      </c>
      <c r="O265">
        <v>83</v>
      </c>
      <c r="P265">
        <v>2580.71</v>
      </c>
      <c r="Q265" t="str">
        <v>162.30</v>
      </c>
      <c r="R265" t="str">
        <v/>
      </c>
      <c r="S265" t="str">
        <v/>
      </c>
      <c r="T265" t="str">
        <v/>
      </c>
      <c r="U265" t="str">
        <v/>
      </c>
    </row>
    <row r="266">
      <c r="A266" t="str">
        <v>265</v>
      </c>
      <c r="B266" t="str">
        <v>MASS BSF</v>
      </c>
      <c r="C266" t="str">
        <v>AAR-880</v>
      </c>
      <c r="D266" t="str">
        <v>AAR-880</v>
      </c>
      <c r="E266" t="str">
        <v/>
      </c>
      <c r="F266" t="str">
        <v>867806078847433</v>
      </c>
      <c r="G266" t="str">
        <v>Otro</v>
      </c>
      <c r="H266" t="str">
        <v/>
      </c>
      <c r="I266" t="str">
        <v>28/09/2026</v>
      </c>
      <c r="J266" t="str">
        <v>15:52:15</v>
      </c>
      <c r="K266">
        <v>-12.317655</v>
      </c>
      <c r="L266">
        <v>-76.82435</v>
      </c>
      <c r="M266">
        <f>HYPERLINK("https://www.google.com/maps/search/?api=1&amp;query=-12.317655,-76.82435","Punta Hermosa, Lima")</f>
      </c>
      <c r="N266">
        <v>11.6</v>
      </c>
      <c r="O266">
        <v>83</v>
      </c>
      <c r="P266">
        <v>2580.75</v>
      </c>
      <c r="Q266" t="str">
        <v>162.30</v>
      </c>
      <c r="R266" t="str">
        <v/>
      </c>
      <c r="S266" t="str">
        <v/>
      </c>
      <c r="T266" t="str">
        <v/>
      </c>
      <c r="U266" t="str">
        <v/>
      </c>
    </row>
    <row r="267">
      <c r="A267" t="str">
        <v>266</v>
      </c>
      <c r="B267" t="str">
        <v>MASS BSF</v>
      </c>
      <c r="C267" t="str">
        <v>AAR-880</v>
      </c>
      <c r="D267" t="str">
        <v>AAR-880</v>
      </c>
      <c r="E267" t="str">
        <v/>
      </c>
      <c r="F267" t="str">
        <v>867806078847433</v>
      </c>
      <c r="G267" t="str">
        <v>Otro</v>
      </c>
      <c r="H267" t="str">
        <v/>
      </c>
      <c r="I267" t="str">
        <v>28/09/2026</v>
      </c>
      <c r="J267" t="str">
        <v>15:52:20</v>
      </c>
      <c r="K267">
        <v>-12.317505</v>
      </c>
      <c r="L267">
        <v>-76.82436</v>
      </c>
      <c r="M267">
        <f>HYPERLINK("https://www.google.com/maps/search/?api=1&amp;query=-12.317505,-76.82436","Punta Hermosa, Lima")</f>
      </c>
      <c r="N267">
        <v>11.8</v>
      </c>
      <c r="O267">
        <v>83</v>
      </c>
      <c r="P267">
        <v>2580.77</v>
      </c>
      <c r="Q267" t="str">
        <v>162.30</v>
      </c>
      <c r="R267" t="str">
        <v/>
      </c>
      <c r="S267" t="str">
        <v/>
      </c>
      <c r="T267" t="str">
        <v/>
      </c>
      <c r="U267" t="str">
        <v/>
      </c>
    </row>
    <row r="268">
      <c r="A268" t="str">
        <v>267</v>
      </c>
      <c r="B268" t="str">
        <v>MASS BSF</v>
      </c>
      <c r="C268" t="str">
        <v>AAR-880</v>
      </c>
      <c r="D268" t="str">
        <v>AAR-880</v>
      </c>
      <c r="E268" t="str">
        <v/>
      </c>
      <c r="F268" t="str">
        <v>867806078847433</v>
      </c>
      <c r="G268" t="str">
        <v>Otro</v>
      </c>
      <c r="H268" t="str">
        <v/>
      </c>
      <c r="I268" t="str">
        <v>28/09/2026</v>
      </c>
      <c r="J268" t="str">
        <v>15:52:25</v>
      </c>
      <c r="K268">
        <v>-12.31745</v>
      </c>
      <c r="L268">
        <v>-76.824455</v>
      </c>
      <c r="M268">
        <f>HYPERLINK("https://www.google.com/maps/search/?api=1&amp;query=-12.31745,-76.824455","Punta Hermosa, Lima")</f>
      </c>
      <c r="N268">
        <v>8.7</v>
      </c>
      <c r="O268">
        <v>83</v>
      </c>
      <c r="P268">
        <v>2580.78</v>
      </c>
      <c r="Q268" t="str">
        <v>162.30</v>
      </c>
      <c r="R268" t="str">
        <v/>
      </c>
      <c r="S268" t="str">
        <v/>
      </c>
      <c r="T268" t="str">
        <v/>
      </c>
      <c r="U268" t="str">
        <v/>
      </c>
    </row>
    <row r="269">
      <c r="A269" t="str">
        <v>268</v>
      </c>
      <c r="B269" t="str">
        <v>MASS BSF</v>
      </c>
      <c r="C269" t="str">
        <v>AAR-880</v>
      </c>
      <c r="D269" t="str">
        <v>AAR-880</v>
      </c>
      <c r="E269" t="str">
        <v/>
      </c>
      <c r="F269" t="str">
        <v>867806078847433</v>
      </c>
      <c r="G269" t="str">
        <v>Otro</v>
      </c>
      <c r="H269" t="str">
        <v/>
      </c>
      <c r="I269" t="str">
        <v>28/09/2026</v>
      </c>
      <c r="J269" t="str">
        <v>15:53:25</v>
      </c>
      <c r="K269">
        <v>-12.317438</v>
      </c>
      <c r="L269">
        <v>-76.82442</v>
      </c>
      <c r="M269">
        <f>HYPERLINK("https://www.google.com/maps/search/?api=1&amp;query=-12.317438,-76.82442","Punta Hermosa, Lima")</f>
      </c>
      <c r="N269">
        <v>0</v>
      </c>
      <c r="O269">
        <v>83</v>
      </c>
      <c r="P269">
        <v>2580.79</v>
      </c>
      <c r="Q269" t="str">
        <v>162.30</v>
      </c>
      <c r="R269" t="str">
        <v/>
      </c>
      <c r="S269" t="str">
        <v/>
      </c>
      <c r="T269" t="str">
        <v/>
      </c>
      <c r="U269" t="str">
        <v/>
      </c>
    </row>
    <row r="270">
      <c r="A270" t="str">
        <v>269</v>
      </c>
      <c r="B270" t="str">
        <v>MASS BSF</v>
      </c>
      <c r="C270" t="str">
        <v>AAR-880</v>
      </c>
      <c r="D270" t="str">
        <v>AAR-880</v>
      </c>
      <c r="E270" t="str">
        <v/>
      </c>
      <c r="F270" t="str">
        <v>867806078847433</v>
      </c>
      <c r="G270" t="str">
        <v>Otro</v>
      </c>
      <c r="H270" t="str">
        <v/>
      </c>
      <c r="I270" t="str">
        <v>28/09/2026</v>
      </c>
      <c r="J270" t="str">
        <v>15:54:25</v>
      </c>
      <c r="K270">
        <v>-12.317438</v>
      </c>
      <c r="L270">
        <v>-76.82442</v>
      </c>
      <c r="M270">
        <f>HYPERLINK("https://www.google.com/maps/search/?api=1&amp;query=-12.317438,-76.82442","Punta Hermosa, Lima")</f>
      </c>
      <c r="N270">
        <v>0</v>
      </c>
      <c r="O270">
        <v>83</v>
      </c>
      <c r="P270">
        <v>2580.79</v>
      </c>
      <c r="Q270" t="str">
        <v>162.30</v>
      </c>
      <c r="R270" t="str">
        <v/>
      </c>
      <c r="S270" t="str">
        <v/>
      </c>
      <c r="T270" t="str">
        <v/>
      </c>
      <c r="U270" t="str">
        <v/>
      </c>
    </row>
    <row r="271">
      <c r="A271" t="str">
        <v>270</v>
      </c>
      <c r="B271" t="str">
        <v>MASS BSF</v>
      </c>
      <c r="C271" t="str">
        <v>AAR-880</v>
      </c>
      <c r="D271" t="str">
        <v>AAR-880</v>
      </c>
      <c r="E271" t="str">
        <v/>
      </c>
      <c r="F271" t="str">
        <v>867806078847433</v>
      </c>
      <c r="G271" t="str">
        <v>Otro</v>
      </c>
      <c r="H271" t="str">
        <v/>
      </c>
      <c r="I271" t="str">
        <v>28/09/2026</v>
      </c>
      <c r="J271" t="str">
        <v>15:55:25</v>
      </c>
      <c r="K271">
        <v>-12.317438</v>
      </c>
      <c r="L271">
        <v>-76.82442</v>
      </c>
      <c r="M271">
        <f>HYPERLINK("https://www.google.com/maps/search/?api=1&amp;query=-12.317438,-76.82442","Punta Hermosa, Lima")</f>
      </c>
      <c r="N271">
        <v>0</v>
      </c>
      <c r="O271">
        <v>83</v>
      </c>
      <c r="P271">
        <v>2580.79</v>
      </c>
      <c r="Q271" t="str">
        <v>162.30</v>
      </c>
      <c r="R271" t="str">
        <v/>
      </c>
      <c r="S271" t="str">
        <v/>
      </c>
      <c r="T271" t="str">
        <v/>
      </c>
      <c r="U271" t="str">
        <v/>
      </c>
    </row>
    <row r="272">
      <c r="A272" t="str">
        <v>271</v>
      </c>
      <c r="B272" t="str">
        <v>MASS BSF</v>
      </c>
      <c r="C272" t="str">
        <v>AAR-880</v>
      </c>
      <c r="D272" t="str">
        <v>AAR-880</v>
      </c>
      <c r="E272" t="str">
        <v/>
      </c>
      <c r="F272" t="str">
        <v>867806078847433</v>
      </c>
      <c r="G272" t="str">
        <v>Otro</v>
      </c>
      <c r="H272" t="str">
        <v/>
      </c>
      <c r="I272" t="str">
        <v>28/09/2026</v>
      </c>
      <c r="J272" t="str">
        <v>15:56:25</v>
      </c>
      <c r="K272">
        <v>-12.317438</v>
      </c>
      <c r="L272">
        <v>-76.82442</v>
      </c>
      <c r="M272">
        <f>HYPERLINK("https://www.google.com/maps/search/?api=1&amp;query=-12.317438,-76.82442","Punta Hermosa, Lima")</f>
      </c>
      <c r="N272">
        <v>0</v>
      </c>
      <c r="O272">
        <v>90</v>
      </c>
      <c r="P272">
        <v>2580.79</v>
      </c>
      <c r="Q272" t="str">
        <v>162.30</v>
      </c>
      <c r="R272" t="str">
        <v/>
      </c>
      <c r="S272" t="str">
        <v/>
      </c>
      <c r="T272" t="str">
        <v/>
      </c>
      <c r="U272" t="str">
        <v/>
      </c>
    </row>
    <row r="273">
      <c r="A273" t="str">
        <v>272</v>
      </c>
      <c r="B273" t="str">
        <v>MASS BSF</v>
      </c>
      <c r="C273" t="str">
        <v>AAR-880</v>
      </c>
      <c r="D273" t="str">
        <v>AAR-880</v>
      </c>
      <c r="E273" t="str">
        <v/>
      </c>
      <c r="F273" t="str">
        <v>867806078847433</v>
      </c>
      <c r="G273" t="str">
        <v>Otro</v>
      </c>
      <c r="H273" t="str">
        <v/>
      </c>
      <c r="I273" t="str">
        <v>28/09/2026</v>
      </c>
      <c r="J273" t="str">
        <v>15:57:25</v>
      </c>
      <c r="K273">
        <v>-12.317438</v>
      </c>
      <c r="L273">
        <v>-76.82442</v>
      </c>
      <c r="M273">
        <f>HYPERLINK("https://www.google.com/maps/search/?api=1&amp;query=-12.317438,-76.82442","Punta Hermosa, Lima")</f>
      </c>
      <c r="N273">
        <v>0</v>
      </c>
      <c r="O273">
        <v>90</v>
      </c>
      <c r="P273">
        <v>2580.79</v>
      </c>
      <c r="Q273" t="str">
        <v>162.30</v>
      </c>
      <c r="R273" t="str">
        <v/>
      </c>
      <c r="S273" t="str">
        <v/>
      </c>
      <c r="T273" t="str">
        <v/>
      </c>
      <c r="U273" t="str">
        <v/>
      </c>
    </row>
    <row r="274">
      <c r="A274" t="str">
        <v>273</v>
      </c>
      <c r="B274" t="str">
        <v>MASS BSF</v>
      </c>
      <c r="C274" t="str">
        <v>AAR-880</v>
      </c>
      <c r="D274" t="str">
        <v>AAR-880</v>
      </c>
      <c r="E274" t="str">
        <v/>
      </c>
      <c r="F274" t="str">
        <v>867806078847433</v>
      </c>
      <c r="G274" t="str">
        <v>Otro</v>
      </c>
      <c r="H274" t="str">
        <v/>
      </c>
      <c r="I274" t="str">
        <v>28/09/2026</v>
      </c>
      <c r="J274" t="str">
        <v>15:58:25</v>
      </c>
      <c r="K274">
        <v>-12.317438</v>
      </c>
      <c r="L274">
        <v>-76.82442</v>
      </c>
      <c r="M274">
        <f>HYPERLINK("https://www.google.com/maps/search/?api=1&amp;query=-12.317438,-76.82442","Punta Hermosa, Lima")</f>
      </c>
      <c r="N274">
        <v>0</v>
      </c>
      <c r="O274">
        <v>90</v>
      </c>
      <c r="P274">
        <v>2580.79</v>
      </c>
      <c r="Q274" t="str">
        <v>162.30</v>
      </c>
      <c r="R274" t="str">
        <v/>
      </c>
      <c r="S274" t="str">
        <v/>
      </c>
      <c r="T274" t="str">
        <v/>
      </c>
      <c r="U274" t="str">
        <v/>
      </c>
    </row>
    <row r="275">
      <c r="A275" t="str">
        <v>274</v>
      </c>
      <c r="B275" t="str">
        <v>MASS BSF</v>
      </c>
      <c r="C275" t="str">
        <v>AAR-880</v>
      </c>
      <c r="D275" t="str">
        <v>AAR-880</v>
      </c>
      <c r="E275" t="str">
        <v/>
      </c>
      <c r="F275" t="str">
        <v>867806078847433</v>
      </c>
      <c r="G275" t="str">
        <v>Otro</v>
      </c>
      <c r="H275" t="str">
        <v/>
      </c>
      <c r="I275" t="str">
        <v>28/09/2026</v>
      </c>
      <c r="J275" t="str">
        <v>15:59:25</v>
      </c>
      <c r="K275">
        <v>-12.317438</v>
      </c>
      <c r="L275">
        <v>-76.82442</v>
      </c>
      <c r="M275">
        <f>HYPERLINK("https://www.google.com/maps/search/?api=1&amp;query=-12.317438,-76.82442","Punta Hermosa, Lima")</f>
      </c>
      <c r="N275">
        <v>0</v>
      </c>
      <c r="O275">
        <v>90</v>
      </c>
      <c r="P275">
        <v>2580.79</v>
      </c>
      <c r="Q275" t="str">
        <v>162.30</v>
      </c>
      <c r="R275" t="str">
        <v/>
      </c>
      <c r="S275" t="str">
        <v/>
      </c>
      <c r="T275" t="str">
        <v/>
      </c>
      <c r="U275" t="str">
        <v/>
      </c>
    </row>
    <row r="276">
      <c r="A276" t="str">
        <v>275</v>
      </c>
      <c r="B276" t="str">
        <v>MASS BSF</v>
      </c>
      <c r="C276" t="str">
        <v>AAR-880</v>
      </c>
      <c r="D276" t="str">
        <v>AAR-880</v>
      </c>
      <c r="E276" t="str">
        <v/>
      </c>
      <c r="F276" t="str">
        <v>867806078847433</v>
      </c>
      <c r="G276" t="str">
        <v>Otro</v>
      </c>
      <c r="H276" t="str">
        <v/>
      </c>
      <c r="I276" t="str">
        <v>28/09/2026</v>
      </c>
      <c r="J276" t="str">
        <v>16:00:06</v>
      </c>
      <c r="K276">
        <v>-12.317438</v>
      </c>
      <c r="L276">
        <v>-76.82442</v>
      </c>
      <c r="M276">
        <f>HYPERLINK("https://www.google.com/maps/search/?api=1&amp;query=-12.317438,-76.82442","Punta Hermosa, Lima")</f>
      </c>
      <c r="N276">
        <v>0</v>
      </c>
      <c r="O276">
        <v>90</v>
      </c>
      <c r="P276">
        <v>2580.79</v>
      </c>
      <c r="Q276" t="str">
        <v>162.48</v>
      </c>
      <c r="R276" t="str">
        <v>Vehículo apagado</v>
      </c>
      <c r="S276" t="str">
        <v/>
      </c>
      <c r="T276" t="str">
        <v/>
      </c>
      <c r="U276" t="str">
        <v/>
      </c>
    </row>
    <row r="277">
      <c r="A277" t="str">
        <v>276</v>
      </c>
      <c r="B277" t="str">
        <v>MASS BSF</v>
      </c>
      <c r="C277" t="str">
        <v>AAR-880</v>
      </c>
      <c r="D277" t="str">
        <v>AAR-880</v>
      </c>
      <c r="E277" t="str">
        <v/>
      </c>
      <c r="F277" t="str">
        <v>867806078847433</v>
      </c>
      <c r="G277" t="str">
        <v>Otro</v>
      </c>
      <c r="H277" t="str">
        <v/>
      </c>
      <c r="I277" t="str">
        <v>28/09/2026</v>
      </c>
      <c r="J277" t="str">
        <v>16:10:06</v>
      </c>
      <c r="K277">
        <v>-12.317438</v>
      </c>
      <c r="L277">
        <v>-76.82442</v>
      </c>
      <c r="M277">
        <f>HYPERLINK("https://www.google.com/maps/search/?api=1&amp;query=-12.317438,-76.82442","Punta Hermosa, Lima")</f>
      </c>
      <c r="N277">
        <v>0</v>
      </c>
      <c r="O277">
        <v>90</v>
      </c>
      <c r="P277">
        <v>2580.79</v>
      </c>
      <c r="Q277" t="str">
        <v>162.48</v>
      </c>
      <c r="R277" t="str">
        <v/>
      </c>
      <c r="S277" t="str">
        <v/>
      </c>
      <c r="T277" t="str">
        <v/>
      </c>
      <c r="U277" t="str">
        <v/>
      </c>
    </row>
    <row r="278">
      <c r="A278" t="str">
        <v>277</v>
      </c>
      <c r="B278" t="str">
        <v>MASS BSF</v>
      </c>
      <c r="C278" t="str">
        <v>AAR-880</v>
      </c>
      <c r="D278" t="str">
        <v>AAR-880</v>
      </c>
      <c r="E278" t="str">
        <v/>
      </c>
      <c r="F278" t="str">
        <v>867806078847433</v>
      </c>
      <c r="G278" t="str">
        <v>Otro</v>
      </c>
      <c r="H278" t="str">
        <v/>
      </c>
      <c r="I278" t="str">
        <v>28/09/2026</v>
      </c>
      <c r="J278" t="str">
        <v>16:20:06</v>
      </c>
      <c r="K278">
        <v>-12.317438</v>
      </c>
      <c r="L278">
        <v>-76.82442</v>
      </c>
      <c r="M278">
        <f>HYPERLINK("https://www.google.com/maps/search/?api=1&amp;query=-12.317438,-76.82442","Punta Hermosa, Lima")</f>
      </c>
      <c r="N278">
        <v>0</v>
      </c>
      <c r="O278">
        <v>81</v>
      </c>
      <c r="P278">
        <v>2580.79</v>
      </c>
      <c r="Q278" t="str">
        <v>162.48</v>
      </c>
      <c r="R278" t="str">
        <v/>
      </c>
      <c r="S278" t="str">
        <v/>
      </c>
      <c r="T278" t="str">
        <v/>
      </c>
      <c r="U278" t="str">
        <v/>
      </c>
    </row>
    <row r="279">
      <c r="A279" t="str">
        <v>278</v>
      </c>
      <c r="B279" t="str">
        <v>MASS BSF</v>
      </c>
      <c r="C279" t="str">
        <v>AAR-880</v>
      </c>
      <c r="D279" t="str">
        <v>AAR-880</v>
      </c>
      <c r="E279" t="str">
        <v/>
      </c>
      <c r="F279" t="str">
        <v>867806078847433</v>
      </c>
      <c r="G279" t="str">
        <v>Otro</v>
      </c>
      <c r="H279" t="str">
        <v/>
      </c>
      <c r="I279" t="str">
        <v>28/09/2026</v>
      </c>
      <c r="J279" t="str">
        <v>16:30:06</v>
      </c>
      <c r="K279">
        <v>-12.317438</v>
      </c>
      <c r="L279">
        <v>-76.82442</v>
      </c>
      <c r="M279">
        <f>HYPERLINK("https://www.google.com/maps/search/?api=1&amp;query=-12.317438,-76.82442","Punta Hermosa, Lima")</f>
      </c>
      <c r="N279">
        <v>0</v>
      </c>
      <c r="O279">
        <v>81</v>
      </c>
      <c r="P279">
        <v>2580.79</v>
      </c>
      <c r="Q279" t="str">
        <v>162.48</v>
      </c>
      <c r="R279" t="str">
        <v/>
      </c>
      <c r="S279" t="str">
        <v/>
      </c>
      <c r="T279" t="str">
        <v/>
      </c>
      <c r="U279" t="str">
        <v/>
      </c>
    </row>
    <row r="280">
      <c r="A280" t="str">
        <v>279</v>
      </c>
      <c r="B280" t="str">
        <v>MASS BSF</v>
      </c>
      <c r="C280" t="str">
        <v>AAR-880</v>
      </c>
      <c r="D280" t="str">
        <v>AAR-880</v>
      </c>
      <c r="E280" t="str">
        <v/>
      </c>
      <c r="F280" t="str">
        <v>867806078847433</v>
      </c>
      <c r="G280" t="str">
        <v>Otro</v>
      </c>
      <c r="H280" t="str">
        <v/>
      </c>
      <c r="I280" t="str">
        <v>28/09/2026</v>
      </c>
      <c r="J280" t="str">
        <v>16:40:06</v>
      </c>
      <c r="K280">
        <v>-12.317438</v>
      </c>
      <c r="L280">
        <v>-76.82442</v>
      </c>
      <c r="M280">
        <f>HYPERLINK("https://www.google.com/maps/search/?api=1&amp;query=-12.317438,-76.82442","Punta Hermosa, Lima")</f>
      </c>
      <c r="N280">
        <v>0</v>
      </c>
      <c r="O280">
        <v>81</v>
      </c>
      <c r="P280">
        <v>2580.79</v>
      </c>
      <c r="Q280" t="str">
        <v>162.48</v>
      </c>
      <c r="R280" t="str">
        <v/>
      </c>
      <c r="S280" t="str">
        <v/>
      </c>
      <c r="T280" t="str">
        <v/>
      </c>
      <c r="U280" t="str">
        <v/>
      </c>
    </row>
    <row r="281">
      <c r="A281" t="str">
        <v>280</v>
      </c>
      <c r="B281" t="str">
        <v>MASS BSF</v>
      </c>
      <c r="C281" t="str">
        <v>AAR-880</v>
      </c>
      <c r="D281" t="str">
        <v>AAR-880</v>
      </c>
      <c r="E281" t="str">
        <v/>
      </c>
      <c r="F281" t="str">
        <v>867806078847433</v>
      </c>
      <c r="G281" t="str">
        <v>Otro</v>
      </c>
      <c r="H281" t="str">
        <v/>
      </c>
      <c r="I281" t="str">
        <v>28/09/2026</v>
      </c>
      <c r="J281" t="str">
        <v>16:50:06</v>
      </c>
      <c r="K281">
        <v>-12.317438</v>
      </c>
      <c r="L281">
        <v>-76.82442</v>
      </c>
      <c r="M281">
        <f>HYPERLINK("https://www.google.com/maps/search/?api=1&amp;query=-12.317438,-76.82442","Punta Hermosa, Lima")</f>
      </c>
      <c r="N281">
        <v>0</v>
      </c>
      <c r="O281">
        <v>81</v>
      </c>
      <c r="P281">
        <v>2580.79</v>
      </c>
      <c r="Q281" t="str">
        <v>162.48</v>
      </c>
      <c r="R281" t="str">
        <v/>
      </c>
      <c r="S281" t="str">
        <v/>
      </c>
      <c r="T281" t="str">
        <v/>
      </c>
      <c r="U281" t="str">
        <v/>
      </c>
    </row>
    <row r="282">
      <c r="A282" t="str">
        <v>281</v>
      </c>
      <c r="B282" t="str">
        <v>MASS BSF</v>
      </c>
      <c r="C282" t="str">
        <v>AAR-880</v>
      </c>
      <c r="D282" t="str">
        <v>AAR-880</v>
      </c>
      <c r="E282" t="str">
        <v/>
      </c>
      <c r="F282" t="str">
        <v>867806078847433</v>
      </c>
      <c r="G282" t="str">
        <v>Otro</v>
      </c>
      <c r="H282" t="str">
        <v/>
      </c>
      <c r="I282" t="str">
        <v>28/09/2026</v>
      </c>
      <c r="J282" t="str">
        <v>16:55:02</v>
      </c>
      <c r="K282">
        <v>-12.317438</v>
      </c>
      <c r="L282">
        <v>-76.82442</v>
      </c>
      <c r="M282">
        <f>HYPERLINK("https://www.google.com/maps/search/?api=1&amp;query=-12.317438,-76.82442","Punta Hermosa, Lima")</f>
      </c>
      <c r="N282">
        <v>0</v>
      </c>
      <c r="O282">
        <v>81</v>
      </c>
      <c r="P282">
        <v>2580.79</v>
      </c>
      <c r="Q282" t="str">
        <v>162.48</v>
      </c>
      <c r="R282" t="str">
        <v>Vehículo encendido</v>
      </c>
      <c r="S282" t="str">
        <v/>
      </c>
      <c r="T282" t="str">
        <v/>
      </c>
      <c r="U282" t="str">
        <v/>
      </c>
    </row>
    <row r="283">
      <c r="A283" t="str">
        <v>282</v>
      </c>
      <c r="B283" t="str">
        <v>MASS BSF</v>
      </c>
      <c r="C283" t="str">
        <v>AAR-880</v>
      </c>
      <c r="D283" t="str">
        <v>AAR-880</v>
      </c>
      <c r="E283" t="str">
        <v/>
      </c>
      <c r="F283" t="str">
        <v>867806078847433</v>
      </c>
      <c r="G283" t="str">
        <v>Otro</v>
      </c>
      <c r="H283" t="str">
        <v/>
      </c>
      <c r="I283" t="str">
        <v>28/09/2026</v>
      </c>
      <c r="J283" t="str">
        <v>16:55:02</v>
      </c>
      <c r="K283">
        <v>-12.317438</v>
      </c>
      <c r="L283">
        <v>-76.82442</v>
      </c>
      <c r="M283">
        <f>HYPERLINK("https://www.google.com/maps/search/?api=1&amp;query=-12.317438,-76.82442","Punta Hermosa, Lima")</f>
      </c>
      <c r="N283">
        <v>0</v>
      </c>
      <c r="O283">
        <v>81</v>
      </c>
      <c r="P283">
        <v>2580.79</v>
      </c>
      <c r="Q283" t="str">
        <v>162.48</v>
      </c>
      <c r="R283" t="str">
        <v>Se movio</v>
      </c>
      <c r="S283" t="str">
        <v/>
      </c>
      <c r="T283" t="str">
        <v/>
      </c>
      <c r="U283" t="str">
        <v/>
      </c>
    </row>
    <row r="284">
      <c r="A284" t="str">
        <v>283</v>
      </c>
      <c r="B284" t="str">
        <v>MASS BSF</v>
      </c>
      <c r="C284" t="str">
        <v>AAR-880</v>
      </c>
      <c r="D284" t="str">
        <v>AAR-880</v>
      </c>
      <c r="E284" t="str">
        <v/>
      </c>
      <c r="F284" t="str">
        <v>867806078847433</v>
      </c>
      <c r="G284" t="str">
        <v>Otro</v>
      </c>
      <c r="H284" t="str">
        <v/>
      </c>
      <c r="I284" t="str">
        <v>28/09/2026</v>
      </c>
      <c r="J284" t="str">
        <v>16:55:14</v>
      </c>
      <c r="K284">
        <v>-12.317496</v>
      </c>
      <c r="L284">
        <v>-76.82441</v>
      </c>
      <c r="M284">
        <f>HYPERLINK("https://www.google.com/maps/search/?api=1&amp;query=-12.317496,-76.82441","Punta Hermosa, Lima")</f>
      </c>
      <c r="N284">
        <v>8.8</v>
      </c>
      <c r="O284">
        <v>81</v>
      </c>
      <c r="P284">
        <v>2580.8</v>
      </c>
      <c r="Q284" t="str">
        <v>162.48</v>
      </c>
      <c r="R284" t="str">
        <v/>
      </c>
      <c r="S284" t="str">
        <v/>
      </c>
      <c r="T284" t="str">
        <v/>
      </c>
      <c r="U284" t="str">
        <v/>
      </c>
    </row>
    <row r="285">
      <c r="A285" t="str">
        <v>284</v>
      </c>
      <c r="B285" t="str">
        <v>MASS BSF</v>
      </c>
      <c r="C285" t="str">
        <v>AAR-880</v>
      </c>
      <c r="D285" t="str">
        <v>AAR-880</v>
      </c>
      <c r="E285" t="str">
        <v/>
      </c>
      <c r="F285" t="str">
        <v>867806078847433</v>
      </c>
      <c r="G285" t="str">
        <v>Otro</v>
      </c>
      <c r="H285" t="str">
        <v/>
      </c>
      <c r="I285" t="str">
        <v>28/09/2026</v>
      </c>
      <c r="J285" t="str">
        <v>16:55:19</v>
      </c>
      <c r="K285">
        <v>-12.317594</v>
      </c>
      <c r="L285">
        <v>-76.82442</v>
      </c>
      <c r="M285">
        <f>HYPERLINK("https://www.google.com/maps/search/?api=1&amp;query=-12.317594,-76.82442","Punta Hermosa, Lima")</f>
      </c>
      <c r="N285">
        <v>9</v>
      </c>
      <c r="O285">
        <v>88</v>
      </c>
      <c r="P285">
        <v>2580.81</v>
      </c>
      <c r="Q285" t="str">
        <v>162.48</v>
      </c>
      <c r="R285" t="str">
        <v/>
      </c>
      <c r="S285" t="str">
        <v/>
      </c>
      <c r="T285" t="str">
        <v/>
      </c>
      <c r="U285" t="str">
        <v/>
      </c>
    </row>
    <row r="286">
      <c r="A286" t="str">
        <v>285</v>
      </c>
      <c r="B286" t="str">
        <v>MASS BSF</v>
      </c>
      <c r="C286" t="str">
        <v>AAR-880</v>
      </c>
      <c r="D286" t="str">
        <v>AAR-880</v>
      </c>
      <c r="E286" t="str">
        <v/>
      </c>
      <c r="F286" t="str">
        <v>867806078847433</v>
      </c>
      <c r="G286" t="str">
        <v>Otro</v>
      </c>
      <c r="H286" t="str">
        <v/>
      </c>
      <c r="I286" t="str">
        <v>28/09/2026</v>
      </c>
      <c r="J286" t="str">
        <v>16:56:19</v>
      </c>
      <c r="K286">
        <v>-12.317555</v>
      </c>
      <c r="L286">
        <v>-76.82437</v>
      </c>
      <c r="M286">
        <f>HYPERLINK("https://www.google.com/maps/search/?api=1&amp;query=-12.317555,-76.82437","Punta Hermosa, Lima")</f>
      </c>
      <c r="N286">
        <v>0</v>
      </c>
      <c r="O286">
        <v>88</v>
      </c>
      <c r="P286">
        <v>2580.83</v>
      </c>
      <c r="Q286" t="str">
        <v>162.48</v>
      </c>
      <c r="R286" t="str">
        <v/>
      </c>
      <c r="S286" t="str">
        <v/>
      </c>
      <c r="T286" t="str">
        <v/>
      </c>
      <c r="U286" t="str">
        <v/>
      </c>
    </row>
    <row r="287">
      <c r="A287" t="str">
        <v>286</v>
      </c>
      <c r="B287" t="str">
        <v>MASS BSF</v>
      </c>
      <c r="C287" t="str">
        <v>AAR-880</v>
      </c>
      <c r="D287" t="str">
        <v>AAR-880</v>
      </c>
      <c r="E287" t="str">
        <v/>
      </c>
      <c r="F287" t="str">
        <v>867806078847433</v>
      </c>
      <c r="G287" t="str">
        <v>Otro</v>
      </c>
      <c r="H287" t="str">
        <v/>
      </c>
      <c r="I287" t="str">
        <v>28/09/2026</v>
      </c>
      <c r="J287" t="str">
        <v>16:57:19</v>
      </c>
      <c r="K287">
        <v>-12.317555</v>
      </c>
      <c r="L287">
        <v>-76.82437</v>
      </c>
      <c r="M287">
        <f>HYPERLINK("https://www.google.com/maps/search/?api=1&amp;query=-12.317555,-76.82437","Punta Hermosa, Lima")</f>
      </c>
      <c r="N287">
        <v>0</v>
      </c>
      <c r="O287">
        <v>88</v>
      </c>
      <c r="P287">
        <v>2580.83</v>
      </c>
      <c r="Q287" t="str">
        <v>162.48</v>
      </c>
      <c r="R287" t="str">
        <v/>
      </c>
      <c r="S287" t="str">
        <v/>
      </c>
      <c r="T287" t="str">
        <v/>
      </c>
      <c r="U287" t="str">
        <v/>
      </c>
    </row>
    <row r="288">
      <c r="A288" t="str">
        <v>287</v>
      </c>
      <c r="B288" t="str">
        <v>MASS BSF</v>
      </c>
      <c r="C288" t="str">
        <v>AAR-880</v>
      </c>
      <c r="D288" t="str">
        <v>AAR-880</v>
      </c>
      <c r="E288" t="str">
        <v/>
      </c>
      <c r="F288" t="str">
        <v>867806078847433</v>
      </c>
      <c r="G288" t="str">
        <v>Otro</v>
      </c>
      <c r="H288" t="str">
        <v/>
      </c>
      <c r="I288" t="str">
        <v>28/09/2026</v>
      </c>
      <c r="J288" t="str">
        <v>16:58:19</v>
      </c>
      <c r="K288">
        <v>-12.317555</v>
      </c>
      <c r="L288">
        <v>-76.82437</v>
      </c>
      <c r="M288">
        <f>HYPERLINK("https://www.google.com/maps/search/?api=1&amp;query=-12.317555,-76.82437","Punta Hermosa, Lima")</f>
      </c>
      <c r="N288">
        <v>0</v>
      </c>
      <c r="O288">
        <v>88</v>
      </c>
      <c r="P288">
        <v>2580.83</v>
      </c>
      <c r="Q288" t="str">
        <v>162.48</v>
      </c>
      <c r="R288" t="str">
        <v/>
      </c>
      <c r="S288" t="str">
        <v/>
      </c>
      <c r="T288" t="str">
        <v/>
      </c>
      <c r="U288" t="str">
        <v/>
      </c>
    </row>
    <row r="289">
      <c r="A289" t="str">
        <v>288</v>
      </c>
      <c r="B289" t="str">
        <v>MASS BSF</v>
      </c>
      <c r="C289" t="str">
        <v>AAR-880</v>
      </c>
      <c r="D289" t="str">
        <v>AAR-880</v>
      </c>
      <c r="E289" t="str">
        <v/>
      </c>
      <c r="F289" t="str">
        <v>867806078847433</v>
      </c>
      <c r="G289" t="str">
        <v>Otro</v>
      </c>
      <c r="H289" t="str">
        <v/>
      </c>
      <c r="I289" t="str">
        <v>28/09/2026</v>
      </c>
      <c r="J289" t="str">
        <v>16:59:19</v>
      </c>
      <c r="K289">
        <v>-12.317555</v>
      </c>
      <c r="L289">
        <v>-76.82437</v>
      </c>
      <c r="M289">
        <f>HYPERLINK("https://www.google.com/maps/search/?api=1&amp;query=-12.317555,-76.82437","Punta Hermosa, Lima")</f>
      </c>
      <c r="N289">
        <v>0</v>
      </c>
      <c r="O289">
        <v>88</v>
      </c>
      <c r="P289">
        <v>2580.83</v>
      </c>
      <c r="Q289" t="str">
        <v>162.48</v>
      </c>
      <c r="R289" t="str">
        <v/>
      </c>
      <c r="S289" t="str">
        <v/>
      </c>
      <c r="T289" t="str">
        <v/>
      </c>
      <c r="U289" t="str">
        <v/>
      </c>
    </row>
    <row r="290">
      <c r="A290" t="str">
        <v>289</v>
      </c>
      <c r="B290" t="str">
        <v>MASS BSF</v>
      </c>
      <c r="C290" t="str">
        <v>AAR-880</v>
      </c>
      <c r="D290" t="str">
        <v>AAR-880</v>
      </c>
      <c r="E290" t="str">
        <v/>
      </c>
      <c r="F290" t="str">
        <v>867806078847433</v>
      </c>
      <c r="G290" t="str">
        <v>Otro</v>
      </c>
      <c r="H290" t="str">
        <v/>
      </c>
      <c r="I290" t="str">
        <v>28/09/2026</v>
      </c>
      <c r="J290" t="str">
        <v>17:00:19</v>
      </c>
      <c r="K290">
        <v>-12.317555</v>
      </c>
      <c r="L290">
        <v>-76.82437</v>
      </c>
      <c r="M290">
        <f>HYPERLINK("https://www.google.com/maps/search/?api=1&amp;query=-12.317555,-76.82437","Punta Hermosa, Lima")</f>
      </c>
      <c r="N290">
        <v>0</v>
      </c>
      <c r="O290">
        <v>88</v>
      </c>
      <c r="P290">
        <v>2580.83</v>
      </c>
      <c r="Q290" t="str">
        <v>162.48</v>
      </c>
      <c r="R290" t="str">
        <v/>
      </c>
      <c r="S290" t="str">
        <v/>
      </c>
      <c r="T290" t="str">
        <v/>
      </c>
      <c r="U290" t="str">
        <v/>
      </c>
    </row>
    <row r="291">
      <c r="A291" t="str">
        <v>290</v>
      </c>
      <c r="B291" t="str">
        <v>MASS BSF</v>
      </c>
      <c r="C291" t="str">
        <v>AAR-880</v>
      </c>
      <c r="D291" t="str">
        <v>AAR-880</v>
      </c>
      <c r="E291" t="str">
        <v/>
      </c>
      <c r="F291" t="str">
        <v>867806078847433</v>
      </c>
      <c r="G291" t="str">
        <v>Otro</v>
      </c>
      <c r="H291" t="str">
        <v/>
      </c>
      <c r="I291" t="str">
        <v>28/09/2026</v>
      </c>
      <c r="J291" t="str">
        <v>17:01:19</v>
      </c>
      <c r="K291">
        <v>-12.317555</v>
      </c>
      <c r="L291">
        <v>-76.82437</v>
      </c>
      <c r="M291">
        <f>HYPERLINK("https://www.google.com/maps/search/?api=1&amp;query=-12.317555,-76.82437","Punta Hermosa, Lima")</f>
      </c>
      <c r="N291">
        <v>0</v>
      </c>
      <c r="O291">
        <v>88</v>
      </c>
      <c r="P291">
        <v>2580.83</v>
      </c>
      <c r="Q291" t="str">
        <v>162.48</v>
      </c>
      <c r="R291" t="str">
        <v/>
      </c>
      <c r="S291" t="str">
        <v/>
      </c>
      <c r="T291" t="str">
        <v/>
      </c>
      <c r="U291" t="str">
        <v/>
      </c>
    </row>
    <row r="292">
      <c r="A292" t="str">
        <v>291</v>
      </c>
      <c r="B292" t="str">
        <v>MASS BSF</v>
      </c>
      <c r="C292" t="str">
        <v>AAR-880</v>
      </c>
      <c r="D292" t="str">
        <v>AAR-880</v>
      </c>
      <c r="E292" t="str">
        <v/>
      </c>
      <c r="F292" t="str">
        <v>867806078847433</v>
      </c>
      <c r="G292" t="str">
        <v>Otro</v>
      </c>
      <c r="H292" t="str">
        <v/>
      </c>
      <c r="I292" t="str">
        <v>28/09/2026</v>
      </c>
      <c r="J292" t="str">
        <v>17:02:19</v>
      </c>
      <c r="K292">
        <v>-12.317555</v>
      </c>
      <c r="L292">
        <v>-76.82437</v>
      </c>
      <c r="M292">
        <f>HYPERLINK("https://www.google.com/maps/search/?api=1&amp;query=-12.317555,-76.82437","Punta Hermosa, Lima")</f>
      </c>
      <c r="N292">
        <v>0</v>
      </c>
      <c r="O292">
        <v>88</v>
      </c>
      <c r="P292">
        <v>2580.83</v>
      </c>
      <c r="Q292" t="str">
        <v>162.48</v>
      </c>
      <c r="R292" t="str">
        <v/>
      </c>
      <c r="S292" t="str">
        <v/>
      </c>
      <c r="T292" t="str">
        <v/>
      </c>
      <c r="U292" t="str">
        <v/>
      </c>
    </row>
    <row r="293">
      <c r="A293" t="str">
        <v>292</v>
      </c>
      <c r="B293" t="str">
        <v>MASS BSF</v>
      </c>
      <c r="C293" t="str">
        <v>AAR-880</v>
      </c>
      <c r="D293" t="str">
        <v>AAR-880</v>
      </c>
      <c r="E293" t="str">
        <v/>
      </c>
      <c r="F293" t="str">
        <v>867806078847433</v>
      </c>
      <c r="G293" t="str">
        <v>Otro</v>
      </c>
      <c r="H293" t="str">
        <v/>
      </c>
      <c r="I293" t="str">
        <v>28/09/2026</v>
      </c>
      <c r="J293" t="str">
        <v>17:03:19</v>
      </c>
      <c r="K293">
        <v>-12.317555</v>
      </c>
      <c r="L293">
        <v>-76.82437</v>
      </c>
      <c r="M293">
        <f>HYPERLINK("https://www.google.com/maps/search/?api=1&amp;query=-12.317555,-76.82437","Punta Hermosa, Lima")</f>
      </c>
      <c r="N293">
        <v>0</v>
      </c>
      <c r="O293">
        <v>88</v>
      </c>
      <c r="P293">
        <v>2580.83</v>
      </c>
      <c r="Q293" t="str">
        <v>162.48</v>
      </c>
      <c r="R293" t="str">
        <v/>
      </c>
      <c r="S293" t="str">
        <v/>
      </c>
      <c r="T293" t="str">
        <v/>
      </c>
      <c r="U293" t="str">
        <v/>
      </c>
    </row>
    <row r="294">
      <c r="A294" t="str">
        <v>293</v>
      </c>
      <c r="B294" t="str">
        <v>MASS BSF</v>
      </c>
      <c r="C294" t="str">
        <v>AAR-880</v>
      </c>
      <c r="D294" t="str">
        <v>AAR-880</v>
      </c>
      <c r="E294" t="str">
        <v/>
      </c>
      <c r="F294" t="str">
        <v>867806078847433</v>
      </c>
      <c r="G294" t="str">
        <v>Otro</v>
      </c>
      <c r="H294" t="str">
        <v/>
      </c>
      <c r="I294" t="str">
        <v>28/09/2026</v>
      </c>
      <c r="J294" t="str">
        <v>17:04:19</v>
      </c>
      <c r="K294">
        <v>-12.317555</v>
      </c>
      <c r="L294">
        <v>-76.82437</v>
      </c>
      <c r="M294">
        <f>HYPERLINK("https://www.google.com/maps/search/?api=1&amp;query=-12.317555,-76.82437","Punta Hermosa, Lima")</f>
      </c>
      <c r="N294">
        <v>0</v>
      </c>
      <c r="O294">
        <v>88</v>
      </c>
      <c r="P294">
        <v>2580.83</v>
      </c>
      <c r="Q294" t="str">
        <v>162.48</v>
      </c>
      <c r="R294" t="str">
        <v/>
      </c>
      <c r="S294" t="str">
        <v/>
      </c>
      <c r="T294" t="str">
        <v/>
      </c>
      <c r="U294" t="str">
        <v/>
      </c>
    </row>
    <row r="295">
      <c r="A295" t="str">
        <v>294</v>
      </c>
      <c r="B295" t="str">
        <v>MASS BSF</v>
      </c>
      <c r="C295" t="str">
        <v>AAR-880</v>
      </c>
      <c r="D295" t="str">
        <v>AAR-880</v>
      </c>
      <c r="E295" t="str">
        <v/>
      </c>
      <c r="F295" t="str">
        <v>867806078847433</v>
      </c>
      <c r="G295" t="str">
        <v>Otro</v>
      </c>
      <c r="H295" t="str">
        <v/>
      </c>
      <c r="I295" t="str">
        <v>28/09/2026</v>
      </c>
      <c r="J295" t="str">
        <v>17:05:19</v>
      </c>
      <c r="K295">
        <v>-12.317555</v>
      </c>
      <c r="L295">
        <v>-76.82437</v>
      </c>
      <c r="M295">
        <f>HYPERLINK("https://www.google.com/maps/search/?api=1&amp;query=-12.317555,-76.82437","Punta Hermosa, Lima")</f>
      </c>
      <c r="N295">
        <v>0</v>
      </c>
      <c r="O295">
        <v>88</v>
      </c>
      <c r="P295">
        <v>2580.83</v>
      </c>
      <c r="Q295" t="str">
        <v>162.48</v>
      </c>
      <c r="R295" t="str">
        <v/>
      </c>
      <c r="S295" t="str">
        <v/>
      </c>
      <c r="T295" t="str">
        <v/>
      </c>
      <c r="U295" t="str">
        <v/>
      </c>
    </row>
    <row r="296">
      <c r="A296" t="str">
        <v>295</v>
      </c>
      <c r="B296" t="str">
        <v>MASS BSF</v>
      </c>
      <c r="C296" t="str">
        <v>AAR-880</v>
      </c>
      <c r="D296" t="str">
        <v>AAR-880</v>
      </c>
      <c r="E296" t="str">
        <v/>
      </c>
      <c r="F296" t="str">
        <v>867806078847433</v>
      </c>
      <c r="G296" t="str">
        <v>Otro</v>
      </c>
      <c r="H296" t="str">
        <v/>
      </c>
      <c r="I296" t="str">
        <v>28/09/2026</v>
      </c>
      <c r="J296" t="str">
        <v>17:06:19</v>
      </c>
      <c r="K296">
        <v>-12.317555</v>
      </c>
      <c r="L296">
        <v>-76.82437</v>
      </c>
      <c r="M296">
        <f>HYPERLINK("https://www.google.com/maps/search/?api=1&amp;query=-12.317555,-76.82437","Punta Hermosa, Lima")</f>
      </c>
      <c r="N296">
        <v>0</v>
      </c>
      <c r="O296">
        <v>89</v>
      </c>
      <c r="P296">
        <v>2580.83</v>
      </c>
      <c r="Q296" t="str">
        <v>162.67</v>
      </c>
      <c r="R296" t="str">
        <v/>
      </c>
      <c r="S296" t="str">
        <v/>
      </c>
      <c r="T296" t="str">
        <v/>
      </c>
      <c r="U296" t="str">
        <v/>
      </c>
    </row>
    <row r="297">
      <c r="A297" t="str">
        <v>296</v>
      </c>
      <c r="B297" t="str">
        <v>MASS BSF</v>
      </c>
      <c r="C297" t="str">
        <v>AAR-880</v>
      </c>
      <c r="D297" t="str">
        <v>AAR-880</v>
      </c>
      <c r="E297" t="str">
        <v/>
      </c>
      <c r="F297" t="str">
        <v>867806078847433</v>
      </c>
      <c r="G297" t="str">
        <v>Otro</v>
      </c>
      <c r="H297" t="str">
        <v/>
      </c>
      <c r="I297" t="str">
        <v>28/09/2026</v>
      </c>
      <c r="J297" t="str">
        <v>17:06:21</v>
      </c>
      <c r="K297">
        <v>-12.317555</v>
      </c>
      <c r="L297">
        <v>-76.82437</v>
      </c>
      <c r="M297">
        <f>HYPERLINK("https://www.google.com/maps/search/?api=1&amp;query=-12.317555,-76.82437","Punta Hermosa, Lima")</f>
      </c>
      <c r="N297">
        <v>0</v>
      </c>
      <c r="O297">
        <v>89</v>
      </c>
      <c r="P297">
        <v>2580.83</v>
      </c>
      <c r="Q297" t="str">
        <v>162.67</v>
      </c>
      <c r="R297" t="str">
        <v>Vehículo apagado</v>
      </c>
      <c r="S297" t="str">
        <v/>
      </c>
      <c r="T297" t="str">
        <v/>
      </c>
      <c r="U297" t="str">
        <v/>
      </c>
    </row>
    <row r="298">
      <c r="A298" t="str">
        <v>297</v>
      </c>
      <c r="B298" t="str">
        <v>MASS BSF</v>
      </c>
      <c r="C298" t="str">
        <v>AAR-880</v>
      </c>
      <c r="D298" t="str">
        <v>AAR-880</v>
      </c>
      <c r="E298" t="str">
        <v/>
      </c>
      <c r="F298" t="str">
        <v>867806078847433</v>
      </c>
      <c r="G298" t="str">
        <v>Otro</v>
      </c>
      <c r="H298" t="str">
        <v/>
      </c>
      <c r="I298" t="str">
        <v>28/09/2026</v>
      </c>
      <c r="J298" t="str">
        <v>17:16:21</v>
      </c>
      <c r="K298">
        <v>-12.317555</v>
      </c>
      <c r="L298">
        <v>-76.82437</v>
      </c>
      <c r="M298">
        <f>HYPERLINK("https://www.google.com/maps/search/?api=1&amp;query=-12.317555,-76.82437","Punta Hermosa, Lima")</f>
      </c>
      <c r="N298">
        <v>0</v>
      </c>
      <c r="O298">
        <v>89</v>
      </c>
      <c r="P298">
        <v>2580.83</v>
      </c>
      <c r="Q298" t="str">
        <v>234,592.93</v>
      </c>
      <c r="R298" t="str">
        <v/>
      </c>
      <c r="S298" t="str">
        <v/>
      </c>
      <c r="T298" t="str">
        <v/>
      </c>
      <c r="U298" t="str">
        <v/>
      </c>
    </row>
    <row r="299">
      <c r="A299" t="str">
        <v>298</v>
      </c>
      <c r="B299" t="str">
        <v>MASS BSF</v>
      </c>
      <c r="C299" t="str">
        <v>AAR-880</v>
      </c>
      <c r="D299" t="str">
        <v>AAR-880</v>
      </c>
      <c r="E299" t="str">
        <v/>
      </c>
      <c r="F299" t="str">
        <v>867806078847433</v>
      </c>
      <c r="G299" t="str">
        <v>Otro</v>
      </c>
      <c r="H299" t="str">
        <v/>
      </c>
      <c r="I299" t="str">
        <v>28/09/2026</v>
      </c>
      <c r="J299" t="str">
        <v>17:26:21</v>
      </c>
      <c r="K299">
        <v>-12.317555</v>
      </c>
      <c r="L299">
        <v>-76.82437</v>
      </c>
      <c r="M299">
        <f>HYPERLINK("https://www.google.com/maps/search/?api=1&amp;query=-12.317555,-76.82437","Punta Hermosa, Lima")</f>
      </c>
      <c r="N299">
        <v>0</v>
      </c>
      <c r="O299">
        <v>89</v>
      </c>
      <c r="P299">
        <v>2580.83</v>
      </c>
      <c r="Q299" t="str">
        <v>162.67</v>
      </c>
      <c r="R299" t="str">
        <v/>
      </c>
      <c r="S299" t="str">
        <v/>
      </c>
      <c r="T299" t="str">
        <v/>
      </c>
      <c r="U299" t="str">
        <v/>
      </c>
    </row>
    <row r="300">
      <c r="A300" t="str">
        <v>299</v>
      </c>
      <c r="B300" t="str">
        <v>MASS BSF</v>
      </c>
      <c r="C300" t="str">
        <v>AAR-880</v>
      </c>
      <c r="D300" t="str">
        <v>AAR-880</v>
      </c>
      <c r="E300" t="str">
        <v/>
      </c>
      <c r="F300" t="str">
        <v>867806078847433</v>
      </c>
      <c r="G300" t="str">
        <v>Otro</v>
      </c>
      <c r="H300" t="str">
        <v/>
      </c>
      <c r="I300" t="str">
        <v>28/09/2026</v>
      </c>
      <c r="J300" t="str">
        <v>17:32:50</v>
      </c>
      <c r="K300">
        <v>-12.317555</v>
      </c>
      <c r="L300">
        <v>-76.82437</v>
      </c>
      <c r="M300">
        <f>HYPERLINK("https://www.google.com/maps/search/?api=1&amp;query=-12.317555,-76.82437","Punta Hermosa, Lima")</f>
      </c>
      <c r="N300">
        <v>0</v>
      </c>
      <c r="O300">
        <v>82</v>
      </c>
      <c r="P300">
        <v>2580.83</v>
      </c>
      <c r="Q300" t="str">
        <v>162.67</v>
      </c>
      <c r="R300" t="str">
        <v>Vehículo encendido</v>
      </c>
      <c r="S300" t="str">
        <v/>
      </c>
      <c r="T300" t="str">
        <v/>
      </c>
      <c r="U300" t="str">
        <v/>
      </c>
    </row>
    <row r="301">
      <c r="A301" t="str">
        <v>300</v>
      </c>
      <c r="B301" t="str">
        <v>MASS BSF</v>
      </c>
      <c r="C301" t="str">
        <v>AAR-880</v>
      </c>
      <c r="D301" t="str">
        <v>AAR-880</v>
      </c>
      <c r="E301" t="str">
        <v/>
      </c>
      <c r="F301" t="str">
        <v>867806078847433</v>
      </c>
      <c r="G301" t="str">
        <v>Otro</v>
      </c>
      <c r="H301" t="str">
        <v/>
      </c>
      <c r="I301" t="str">
        <v>28/09/2026</v>
      </c>
      <c r="J301" t="str">
        <v>17:32:50</v>
      </c>
      <c r="K301">
        <v>-12.317555</v>
      </c>
      <c r="L301">
        <v>-76.82437</v>
      </c>
      <c r="M301">
        <f>HYPERLINK("https://www.google.com/maps/search/?api=1&amp;query=-12.317555,-76.82437","Punta Hermosa, Lima")</f>
      </c>
      <c r="N301">
        <v>0</v>
      </c>
      <c r="O301">
        <v>82</v>
      </c>
      <c r="P301">
        <v>2580.83</v>
      </c>
      <c r="Q301" t="str">
        <v>162.67</v>
      </c>
      <c r="R301" t="str">
        <v>Se movio</v>
      </c>
      <c r="S301" t="str">
        <v/>
      </c>
      <c r="T301" t="str">
        <v/>
      </c>
      <c r="U301" t="str">
        <v/>
      </c>
    </row>
    <row r="302">
      <c r="A302" t="str">
        <v>301</v>
      </c>
      <c r="B302" t="str">
        <v>MASS BSF</v>
      </c>
      <c r="C302" t="str">
        <v>AAR-880</v>
      </c>
      <c r="D302" t="str">
        <v>AAR-880</v>
      </c>
      <c r="E302" t="str">
        <v/>
      </c>
      <c r="F302" t="str">
        <v>867806078847433</v>
      </c>
      <c r="G302" t="str">
        <v>Otro</v>
      </c>
      <c r="H302" t="str">
        <v/>
      </c>
      <c r="I302" t="str">
        <v>28/09/2026</v>
      </c>
      <c r="J302" t="str">
        <v>17:33:50</v>
      </c>
      <c r="K302">
        <v>-12.317522</v>
      </c>
      <c r="L302">
        <v>-76.82428</v>
      </c>
      <c r="M302">
        <f>HYPERLINK("https://www.google.com/maps/search/?api=1&amp;query=-12.317522,-76.82428","Punta Hermosa, Lima")</f>
      </c>
      <c r="N302">
        <v>0</v>
      </c>
      <c r="O302">
        <v>82</v>
      </c>
      <c r="P302">
        <v>2580.84</v>
      </c>
      <c r="Q302" t="str">
        <v>162.67</v>
      </c>
      <c r="R302" t="str">
        <v/>
      </c>
      <c r="S302" t="str">
        <v/>
      </c>
      <c r="T302" t="str">
        <v/>
      </c>
      <c r="U302" t="str">
        <v/>
      </c>
    </row>
    <row r="303">
      <c r="A303" t="str">
        <v>302</v>
      </c>
      <c r="B303" t="str">
        <v>MASS BSF</v>
      </c>
      <c r="C303" t="str">
        <v>AAR-880</v>
      </c>
      <c r="D303" t="str">
        <v>AAR-880</v>
      </c>
      <c r="E303" t="str">
        <v/>
      </c>
      <c r="F303" t="str">
        <v>867806078847433</v>
      </c>
      <c r="G303" t="str">
        <v>Otro</v>
      </c>
      <c r="H303" t="str">
        <v/>
      </c>
      <c r="I303" t="str">
        <v>28/09/2026</v>
      </c>
      <c r="J303" t="str">
        <v>17:34:50</v>
      </c>
      <c r="K303">
        <v>-12.317522</v>
      </c>
      <c r="L303">
        <v>-76.82428</v>
      </c>
      <c r="M303">
        <f>HYPERLINK("https://www.google.com/maps/search/?api=1&amp;query=-12.317522,-76.82428","Punta Hermosa, Lima")</f>
      </c>
      <c r="N303">
        <v>0</v>
      </c>
      <c r="O303">
        <v>89</v>
      </c>
      <c r="P303">
        <v>2580.84</v>
      </c>
      <c r="Q303" t="str">
        <v>162.67</v>
      </c>
      <c r="R303" t="str">
        <v/>
      </c>
      <c r="S303" t="str">
        <v/>
      </c>
      <c r="T303" t="str">
        <v/>
      </c>
      <c r="U303" t="str">
        <v/>
      </c>
    </row>
    <row r="304">
      <c r="A304" t="str">
        <v>303</v>
      </c>
      <c r="B304" t="str">
        <v>MASS BSF</v>
      </c>
      <c r="C304" t="str">
        <v>AAR-880</v>
      </c>
      <c r="D304" t="str">
        <v>AAR-880</v>
      </c>
      <c r="E304" t="str">
        <v/>
      </c>
      <c r="F304" t="str">
        <v>867806078847433</v>
      </c>
      <c r="G304" t="str">
        <v>Otro</v>
      </c>
      <c r="H304" t="str">
        <v/>
      </c>
      <c r="I304" t="str">
        <v>28/09/2026</v>
      </c>
      <c r="J304" t="str">
        <v>17:35:50</v>
      </c>
      <c r="K304">
        <v>-12.317522</v>
      </c>
      <c r="L304">
        <v>-76.82428</v>
      </c>
      <c r="M304">
        <f>HYPERLINK("https://www.google.com/maps/search/?api=1&amp;query=-12.317522,-76.82428","Punta Hermosa, Lima")</f>
      </c>
      <c r="N304">
        <v>0</v>
      </c>
      <c r="O304">
        <v>97</v>
      </c>
      <c r="P304">
        <v>2580.84</v>
      </c>
      <c r="Q304" t="str">
        <v>162.67</v>
      </c>
      <c r="R304" t="str">
        <v/>
      </c>
      <c r="S304" t="str">
        <v/>
      </c>
      <c r="T304" t="str">
        <v/>
      </c>
      <c r="U304" t="str">
        <v/>
      </c>
    </row>
    <row r="305">
      <c r="A305" t="str">
        <v>304</v>
      </c>
      <c r="B305" t="str">
        <v>MASS BSF</v>
      </c>
      <c r="C305" t="str">
        <v>AAR-880</v>
      </c>
      <c r="D305" t="str">
        <v>AAR-880</v>
      </c>
      <c r="E305" t="str">
        <v/>
      </c>
      <c r="F305" t="str">
        <v>867806078847433</v>
      </c>
      <c r="G305" t="str">
        <v>Otro</v>
      </c>
      <c r="H305" t="str">
        <v/>
      </c>
      <c r="I305" t="str">
        <v>28/09/2026</v>
      </c>
      <c r="J305" t="str">
        <v>17:36:50</v>
      </c>
      <c r="K305">
        <v>-12.317522</v>
      </c>
      <c r="L305">
        <v>-76.82428</v>
      </c>
      <c r="M305">
        <f>HYPERLINK("https://www.google.com/maps/search/?api=1&amp;query=-12.317522,-76.82428","Punta Hermosa, Lima")</f>
      </c>
      <c r="N305">
        <v>0</v>
      </c>
      <c r="O305">
        <v>97</v>
      </c>
      <c r="P305">
        <v>2580.84</v>
      </c>
      <c r="Q305" t="str">
        <v>162.67</v>
      </c>
      <c r="R305" t="str">
        <v/>
      </c>
      <c r="S305" t="str">
        <v/>
      </c>
      <c r="T305" t="str">
        <v/>
      </c>
      <c r="U305" t="str">
        <v/>
      </c>
    </row>
    <row r="306">
      <c r="A306" t="str">
        <v>305</v>
      </c>
      <c r="B306" t="str">
        <v>MASS BSF</v>
      </c>
      <c r="C306" t="str">
        <v>AAR-880</v>
      </c>
      <c r="D306" t="str">
        <v>AAR-880</v>
      </c>
      <c r="E306" t="str">
        <v/>
      </c>
      <c r="F306" t="str">
        <v>867806078847433</v>
      </c>
      <c r="G306" t="str">
        <v>Otro</v>
      </c>
      <c r="H306" t="str">
        <v/>
      </c>
      <c r="I306" t="str">
        <v>28/09/2026</v>
      </c>
      <c r="J306" t="str">
        <v>17:37:50</v>
      </c>
      <c r="K306">
        <v>-12.317578</v>
      </c>
      <c r="L306">
        <v>-76.82436</v>
      </c>
      <c r="M306">
        <f>HYPERLINK("https://www.google.com/maps/search/?api=1&amp;query=-12.317578,-76.82436","Punta Hermosa, Lima")</f>
      </c>
      <c r="N306">
        <v>0</v>
      </c>
      <c r="O306">
        <v>97</v>
      </c>
      <c r="P306">
        <v>2580.85</v>
      </c>
      <c r="Q306" t="str">
        <v>162.67</v>
      </c>
      <c r="R306" t="str">
        <v/>
      </c>
      <c r="S306" t="str">
        <v/>
      </c>
      <c r="T306" t="str">
        <v/>
      </c>
      <c r="U306" t="str">
        <v/>
      </c>
    </row>
    <row r="307">
      <c r="A307" t="str">
        <v>306</v>
      </c>
      <c r="B307" t="str">
        <v>MASS BSF</v>
      </c>
      <c r="C307" t="str">
        <v>AAR-880</v>
      </c>
      <c r="D307" t="str">
        <v>AAR-880</v>
      </c>
      <c r="E307" t="str">
        <v/>
      </c>
      <c r="F307" t="str">
        <v>867806078847433</v>
      </c>
      <c r="G307" t="str">
        <v>Otro</v>
      </c>
      <c r="H307" t="str">
        <v/>
      </c>
      <c r="I307" t="str">
        <v>28/09/2026</v>
      </c>
      <c r="J307" t="str">
        <v>17:38:50</v>
      </c>
      <c r="K307">
        <v>-12.317578</v>
      </c>
      <c r="L307">
        <v>-76.82436</v>
      </c>
      <c r="M307">
        <f>HYPERLINK("https://www.google.com/maps/search/?api=1&amp;query=-12.317578,-76.82436","Punta Hermosa, Lima")</f>
      </c>
      <c r="N307">
        <v>0</v>
      </c>
      <c r="O307">
        <v>97</v>
      </c>
      <c r="P307">
        <v>2580.85</v>
      </c>
      <c r="Q307" t="str">
        <v>162.67</v>
      </c>
      <c r="R307" t="str">
        <v/>
      </c>
      <c r="S307" t="str">
        <v/>
      </c>
      <c r="T307" t="str">
        <v/>
      </c>
      <c r="U307" t="str">
        <v/>
      </c>
    </row>
    <row r="308">
      <c r="A308" t="str">
        <v>307</v>
      </c>
      <c r="B308" t="str">
        <v>MASS BSF</v>
      </c>
      <c r="C308" t="str">
        <v>AAR-880</v>
      </c>
      <c r="D308" t="str">
        <v>AAR-880</v>
      </c>
      <c r="E308" t="str">
        <v/>
      </c>
      <c r="F308" t="str">
        <v>867806078847433</v>
      </c>
      <c r="G308" t="str">
        <v>Otro</v>
      </c>
      <c r="H308" t="str">
        <v/>
      </c>
      <c r="I308" t="str">
        <v>28/09/2026</v>
      </c>
      <c r="J308" t="str">
        <v>17:39:50</v>
      </c>
      <c r="K308">
        <v>-12.317578</v>
      </c>
      <c r="L308">
        <v>-76.82436</v>
      </c>
      <c r="M308">
        <f>HYPERLINK("https://www.google.com/maps/search/?api=1&amp;query=-12.317578,-76.82436","Punta Hermosa, Lima")</f>
      </c>
      <c r="N308">
        <v>0</v>
      </c>
      <c r="O308">
        <v>97</v>
      </c>
      <c r="P308">
        <v>2580.85</v>
      </c>
      <c r="Q308" t="str">
        <v>162.67</v>
      </c>
      <c r="R308" t="str">
        <v/>
      </c>
      <c r="S308" t="str">
        <v/>
      </c>
      <c r="T308" t="str">
        <v/>
      </c>
      <c r="U308" t="str">
        <v/>
      </c>
    </row>
    <row r="309">
      <c r="A309" t="str">
        <v>308</v>
      </c>
      <c r="B309" t="str">
        <v>MASS BSF</v>
      </c>
      <c r="C309" t="str">
        <v>AAR-880</v>
      </c>
      <c r="D309" t="str">
        <v>AAR-880</v>
      </c>
      <c r="E309" t="str">
        <v/>
      </c>
      <c r="F309" t="str">
        <v>867806078847433</v>
      </c>
      <c r="G309" t="str">
        <v>Otro</v>
      </c>
      <c r="H309" t="str">
        <v/>
      </c>
      <c r="I309" t="str">
        <v>28/09/2026</v>
      </c>
      <c r="J309" t="str">
        <v>17:40:20</v>
      </c>
      <c r="K309">
        <v>-12.317578</v>
      </c>
      <c r="L309">
        <v>-76.82436</v>
      </c>
      <c r="M309">
        <f>HYPERLINK("https://www.google.com/maps/search/?api=1&amp;query=-12.317578,-76.82436","Punta Hermosa, Lima")</f>
      </c>
      <c r="N309">
        <v>0</v>
      </c>
      <c r="O309">
        <v>97</v>
      </c>
      <c r="P309">
        <v>2580.85</v>
      </c>
      <c r="Q309" t="str">
        <v>162.80</v>
      </c>
      <c r="R309" t="str">
        <v>Vehículo apagado</v>
      </c>
      <c r="S309" t="str">
        <v/>
      </c>
      <c r="T309" t="str">
        <v/>
      </c>
      <c r="U309" t="str">
        <v/>
      </c>
    </row>
    <row r="310">
      <c r="A310" t="str">
        <v>309</v>
      </c>
      <c r="B310" t="str">
        <v>MASS BSF</v>
      </c>
      <c r="C310" t="str">
        <v>AAR-880</v>
      </c>
      <c r="D310" t="str">
        <v>AAR-880</v>
      </c>
      <c r="E310" t="str">
        <v/>
      </c>
      <c r="F310" t="str">
        <v>867806078847433</v>
      </c>
      <c r="G310" t="str">
        <v>Otro</v>
      </c>
      <c r="H310" t="str">
        <v/>
      </c>
      <c r="I310" t="str">
        <v>28/09/2026</v>
      </c>
      <c r="J310" t="str">
        <v>17:44:03</v>
      </c>
      <c r="K310">
        <v>-12.317578</v>
      </c>
      <c r="L310">
        <v>-76.82436</v>
      </c>
      <c r="M310">
        <f>HYPERLINK("https://www.google.com/maps/search/?api=1&amp;query=-12.317578,-76.82436","Punta Hermosa, Lima")</f>
      </c>
      <c r="N310">
        <v>0</v>
      </c>
      <c r="O310">
        <v>97</v>
      </c>
      <c r="P310">
        <v>2580.85</v>
      </c>
      <c r="Q310" t="str">
        <v>162.80</v>
      </c>
      <c r="R310" t="str">
        <v>Vehículo encendido</v>
      </c>
      <c r="S310" t="str">
        <v/>
      </c>
      <c r="T310" t="str">
        <v/>
      </c>
      <c r="U310" t="str">
        <v/>
      </c>
    </row>
    <row r="311">
      <c r="A311" t="str">
        <v>310</v>
      </c>
      <c r="B311" t="str">
        <v>MASS BSF</v>
      </c>
      <c r="C311" t="str">
        <v>AAR-880</v>
      </c>
      <c r="D311" t="str">
        <v>AAR-880</v>
      </c>
      <c r="E311" t="str">
        <v/>
      </c>
      <c r="F311" t="str">
        <v>867806078847433</v>
      </c>
      <c r="G311" t="str">
        <v>Otro</v>
      </c>
      <c r="H311" t="str">
        <v/>
      </c>
      <c r="I311" t="str">
        <v>28/09/2026</v>
      </c>
      <c r="J311" t="str">
        <v>17:44:03</v>
      </c>
      <c r="K311">
        <v>-12.317578</v>
      </c>
      <c r="L311">
        <v>-76.82436</v>
      </c>
      <c r="M311">
        <f>HYPERLINK("https://www.google.com/maps/search/?api=1&amp;query=-12.317578,-76.82436","Punta Hermosa, Lima")</f>
      </c>
      <c r="N311">
        <v>0</v>
      </c>
      <c r="O311">
        <v>97</v>
      </c>
      <c r="P311">
        <v>2580.85</v>
      </c>
      <c r="Q311" t="str">
        <v>162.80</v>
      </c>
      <c r="R311" t="str">
        <v>Se movio</v>
      </c>
      <c r="S311" t="str">
        <v/>
      </c>
      <c r="T311" t="str">
        <v/>
      </c>
      <c r="U311" t="str">
        <v/>
      </c>
    </row>
    <row r="312">
      <c r="A312" t="str">
        <v>311</v>
      </c>
      <c r="B312" t="str">
        <v>MASS BSF</v>
      </c>
      <c r="C312" t="str">
        <v>AAR-880</v>
      </c>
      <c r="D312" t="str">
        <v>AAR-880</v>
      </c>
      <c r="E312" t="str">
        <v/>
      </c>
      <c r="F312" t="str">
        <v>867806078847433</v>
      </c>
      <c r="G312" t="str">
        <v>Otro</v>
      </c>
      <c r="H312" t="str">
        <v/>
      </c>
      <c r="I312" t="str">
        <v>28/09/2026</v>
      </c>
      <c r="J312" t="str">
        <v>17:45:03</v>
      </c>
      <c r="K312">
        <v>-12.317607</v>
      </c>
      <c r="L312">
        <v>-76.824425</v>
      </c>
      <c r="M312">
        <f>HYPERLINK("https://www.google.com/maps/search/?api=1&amp;query=-12.317607,-76.824425","Punta Hermosa, Lima")</f>
      </c>
      <c r="N312">
        <v>0</v>
      </c>
      <c r="O312">
        <v>97</v>
      </c>
      <c r="P312">
        <v>2580.86</v>
      </c>
      <c r="Q312" t="str">
        <v>162.80</v>
      </c>
      <c r="R312" t="str">
        <v/>
      </c>
      <c r="S312" t="str">
        <v/>
      </c>
      <c r="T312" t="str">
        <v/>
      </c>
      <c r="U312" t="str">
        <v/>
      </c>
    </row>
    <row r="313">
      <c r="A313" t="str">
        <v>312</v>
      </c>
      <c r="B313" t="str">
        <v>MASS BSF</v>
      </c>
      <c r="C313" t="str">
        <v>AAR-880</v>
      </c>
      <c r="D313" t="str">
        <v>AAR-880</v>
      </c>
      <c r="E313" t="str">
        <v/>
      </c>
      <c r="F313" t="str">
        <v>867806078847433</v>
      </c>
      <c r="G313" t="str">
        <v>Otro</v>
      </c>
      <c r="H313" t="str">
        <v/>
      </c>
      <c r="I313" t="str">
        <v>28/09/2026</v>
      </c>
      <c r="J313" t="str">
        <v>17:46:03</v>
      </c>
      <c r="K313">
        <v>-12.317607</v>
      </c>
      <c r="L313">
        <v>-76.824425</v>
      </c>
      <c r="M313">
        <f>HYPERLINK("https://www.google.com/maps/search/?api=1&amp;query=-12.317607,-76.824425","Punta Hermosa, Lima")</f>
      </c>
      <c r="N313">
        <v>0</v>
      </c>
      <c r="O313">
        <v>97</v>
      </c>
      <c r="P313">
        <v>2580.86</v>
      </c>
      <c r="Q313" t="str">
        <v>162.80</v>
      </c>
      <c r="R313" t="str">
        <v/>
      </c>
      <c r="S313" t="str">
        <v/>
      </c>
      <c r="T313" t="str">
        <v/>
      </c>
      <c r="U313" t="str">
        <v/>
      </c>
    </row>
    <row r="314">
      <c r="A314" t="str">
        <v>313</v>
      </c>
      <c r="B314" t="str">
        <v>MASS BSF</v>
      </c>
      <c r="C314" t="str">
        <v>AAR-880</v>
      </c>
      <c r="D314" t="str">
        <v>AAR-880</v>
      </c>
      <c r="E314" t="str">
        <v/>
      </c>
      <c r="F314" t="str">
        <v>867806078847433</v>
      </c>
      <c r="G314" t="str">
        <v>Otro</v>
      </c>
      <c r="H314" t="str">
        <v/>
      </c>
      <c r="I314" t="str">
        <v>28/09/2026</v>
      </c>
      <c r="J314" t="str">
        <v>17:47:03</v>
      </c>
      <c r="K314">
        <v>-12.317607</v>
      </c>
      <c r="L314">
        <v>-76.824425</v>
      </c>
      <c r="M314">
        <f>HYPERLINK("https://www.google.com/maps/search/?api=1&amp;query=-12.317607,-76.824425","Punta Hermosa, Lima")</f>
      </c>
      <c r="N314">
        <v>0</v>
      </c>
      <c r="O314">
        <v>97</v>
      </c>
      <c r="P314">
        <v>2580.86</v>
      </c>
      <c r="Q314" t="str">
        <v>162.80</v>
      </c>
      <c r="R314" t="str">
        <v/>
      </c>
      <c r="S314" t="str">
        <v/>
      </c>
      <c r="T314" t="str">
        <v/>
      </c>
      <c r="U314" t="str">
        <v/>
      </c>
    </row>
    <row r="315">
      <c r="A315" t="str">
        <v>314</v>
      </c>
      <c r="B315" t="str">
        <v>MASS BSF</v>
      </c>
      <c r="C315" t="str">
        <v>AAR-880</v>
      </c>
      <c r="D315" t="str">
        <v>AAR-880</v>
      </c>
      <c r="E315" t="str">
        <v/>
      </c>
      <c r="F315" t="str">
        <v>867806078847433</v>
      </c>
      <c r="G315" t="str">
        <v>Otro</v>
      </c>
      <c r="H315" t="str">
        <v/>
      </c>
      <c r="I315" t="str">
        <v>28/09/2026</v>
      </c>
      <c r="J315" t="str">
        <v>17:48:03</v>
      </c>
      <c r="K315">
        <v>-12.317607</v>
      </c>
      <c r="L315">
        <v>-76.824425</v>
      </c>
      <c r="M315">
        <f>HYPERLINK("https://www.google.com/maps/search/?api=1&amp;query=-12.317607,-76.824425","Punta Hermosa, Lima")</f>
      </c>
      <c r="N315">
        <v>0</v>
      </c>
      <c r="O315">
        <v>97</v>
      </c>
      <c r="P315">
        <v>2580.86</v>
      </c>
      <c r="Q315" t="str">
        <v>162.80</v>
      </c>
      <c r="R315" t="str">
        <v/>
      </c>
      <c r="S315" t="str">
        <v/>
      </c>
      <c r="T315" t="str">
        <v/>
      </c>
      <c r="U315" t="str">
        <v/>
      </c>
    </row>
    <row r="316">
      <c r="A316" t="str">
        <v>315</v>
      </c>
      <c r="B316" t="str">
        <v>MASS BSF</v>
      </c>
      <c r="C316" t="str">
        <v>AAR-880</v>
      </c>
      <c r="D316" t="str">
        <v>AAR-880</v>
      </c>
      <c r="E316" t="str">
        <v/>
      </c>
      <c r="F316" t="str">
        <v>867806078847433</v>
      </c>
      <c r="G316" t="str">
        <v>Otro</v>
      </c>
      <c r="H316" t="str">
        <v/>
      </c>
      <c r="I316" t="str">
        <v>28/09/2026</v>
      </c>
      <c r="J316" t="str">
        <v>17:49:03</v>
      </c>
      <c r="K316">
        <v>-12.317567</v>
      </c>
      <c r="L316">
        <v>-76.82434</v>
      </c>
      <c r="M316">
        <f>HYPERLINK("https://www.google.com/maps/search/?api=1&amp;query=-12.317567,-76.82434","Punta Hermosa, Lima")</f>
      </c>
      <c r="N316">
        <v>0</v>
      </c>
      <c r="O316">
        <v>97</v>
      </c>
      <c r="P316">
        <v>2580.87</v>
      </c>
      <c r="Q316" t="str">
        <v>162.80</v>
      </c>
      <c r="R316" t="str">
        <v/>
      </c>
      <c r="S316" t="str">
        <v/>
      </c>
      <c r="T316" t="str">
        <v/>
      </c>
      <c r="U316" t="str">
        <v/>
      </c>
    </row>
    <row r="317">
      <c r="A317" t="str">
        <v>316</v>
      </c>
      <c r="B317" t="str">
        <v>MASS BSF</v>
      </c>
      <c r="C317" t="str">
        <v>AAR-880</v>
      </c>
      <c r="D317" t="str">
        <v>AAR-880</v>
      </c>
      <c r="E317" t="str">
        <v/>
      </c>
      <c r="F317" t="str">
        <v>867806078847433</v>
      </c>
      <c r="G317" t="str">
        <v>Otro</v>
      </c>
      <c r="H317" t="str">
        <v/>
      </c>
      <c r="I317" t="str">
        <v>28/09/2026</v>
      </c>
      <c r="J317" t="str">
        <v>17:49:50</v>
      </c>
      <c r="K317">
        <v>-12.317576</v>
      </c>
      <c r="L317">
        <v>-76.82442</v>
      </c>
      <c r="M317">
        <f>HYPERLINK("https://www.google.com/maps/search/?api=1&amp;query=-12.317576,-76.82442","Punta Hermosa, Lima")</f>
      </c>
      <c r="N317">
        <v>6.4</v>
      </c>
      <c r="O317">
        <v>97</v>
      </c>
      <c r="P317">
        <v>2580.88</v>
      </c>
      <c r="Q317" t="str">
        <v>162.80</v>
      </c>
      <c r="R317" t="str">
        <v/>
      </c>
      <c r="S317" t="str">
        <v/>
      </c>
      <c r="T317" t="str">
        <v/>
      </c>
      <c r="U317" t="str">
        <v/>
      </c>
    </row>
    <row r="318">
      <c r="A318" t="str">
        <v>317</v>
      </c>
      <c r="B318" t="str">
        <v>MASS BSF</v>
      </c>
      <c r="C318" t="str">
        <v>AAR-880</v>
      </c>
      <c r="D318" t="str">
        <v>AAR-880</v>
      </c>
      <c r="E318" t="str">
        <v/>
      </c>
      <c r="F318" t="str">
        <v>867806078847433</v>
      </c>
      <c r="G318" t="str">
        <v>Otro</v>
      </c>
      <c r="H318" t="str">
        <v/>
      </c>
      <c r="I318" t="str">
        <v>28/09/2026</v>
      </c>
      <c r="J318" t="str">
        <v>17:49:55</v>
      </c>
      <c r="K318">
        <v>-12.317525</v>
      </c>
      <c r="L318">
        <v>-76.82449</v>
      </c>
      <c r="M318">
        <f>HYPERLINK("https://www.google.com/maps/search/?api=1&amp;query=-12.317525,-76.82449","Punta Hermosa, Lima")</f>
      </c>
      <c r="N318">
        <v>7.4</v>
      </c>
      <c r="O318">
        <v>82</v>
      </c>
      <c r="P318">
        <v>2580.89</v>
      </c>
      <c r="Q318" t="str">
        <v>162.80</v>
      </c>
      <c r="R318" t="str">
        <v/>
      </c>
      <c r="S318" t="str">
        <v/>
      </c>
      <c r="T318" t="str">
        <v/>
      </c>
      <c r="U318" t="str">
        <v/>
      </c>
    </row>
    <row r="319">
      <c r="A319" t="str">
        <v>318</v>
      </c>
      <c r="B319" t="str">
        <v>MASS BSF</v>
      </c>
      <c r="C319" t="str">
        <v>AAR-880</v>
      </c>
      <c r="D319" t="str">
        <v>AAR-880</v>
      </c>
      <c r="E319" t="str">
        <v/>
      </c>
      <c r="F319" t="str">
        <v>867806078847433</v>
      </c>
      <c r="G319" t="str">
        <v>Otro</v>
      </c>
      <c r="H319" t="str">
        <v/>
      </c>
      <c r="I319" t="str">
        <v>28/09/2026</v>
      </c>
      <c r="J319" t="str">
        <v>17:50:01</v>
      </c>
      <c r="K319">
        <v>-12.317422</v>
      </c>
      <c r="L319">
        <v>-76.82457</v>
      </c>
      <c r="M319">
        <f>HYPERLINK("https://www.google.com/maps/search/?api=1&amp;query=-12.317422,-76.82457","Punta Hermosa, Lima")</f>
      </c>
      <c r="N319">
        <v>8.3</v>
      </c>
      <c r="O319">
        <v>97</v>
      </c>
      <c r="P319">
        <v>2580.9</v>
      </c>
      <c r="Q319" t="str">
        <v>162.80</v>
      </c>
      <c r="R319" t="str">
        <v/>
      </c>
      <c r="S319" t="str">
        <v/>
      </c>
      <c r="T319" t="str">
        <v/>
      </c>
      <c r="U319" t="str">
        <v/>
      </c>
    </row>
    <row r="320">
      <c r="A320" t="str">
        <v>319</v>
      </c>
      <c r="B320" t="str">
        <v>MASS BSF</v>
      </c>
      <c r="C320" t="str">
        <v>AAR-880</v>
      </c>
      <c r="D320" t="str">
        <v>AAR-880</v>
      </c>
      <c r="E320" t="str">
        <v/>
      </c>
      <c r="F320" t="str">
        <v>867806078847433</v>
      </c>
      <c r="G320" t="str">
        <v>Otro</v>
      </c>
      <c r="H320" t="str">
        <v/>
      </c>
      <c r="I320" t="str">
        <v>28/09/2026</v>
      </c>
      <c r="J320" t="str">
        <v>17:51:01</v>
      </c>
      <c r="K320">
        <v>-12.315793</v>
      </c>
      <c r="L320">
        <v>-76.825584</v>
      </c>
      <c r="M320">
        <f>HYPERLINK("https://www.google.com/maps/search/?api=1&amp;query=-12.315793,-76.825584","Punta Hermosa, Lima")</f>
      </c>
      <c r="N320">
        <v>12.9</v>
      </c>
      <c r="O320">
        <v>97</v>
      </c>
      <c r="P320">
        <v>2581.1</v>
      </c>
      <c r="Q320" t="str">
        <v>162.80</v>
      </c>
      <c r="R320" t="str">
        <v/>
      </c>
      <c r="S320" t="str">
        <v/>
      </c>
      <c r="T320" t="str">
        <v/>
      </c>
      <c r="U320" t="str">
        <v/>
      </c>
    </row>
    <row r="321">
      <c r="A321" t="str">
        <v>320</v>
      </c>
      <c r="B321" t="str">
        <v>MASS BSF</v>
      </c>
      <c r="C321" t="str">
        <v>AAR-880</v>
      </c>
      <c r="D321" t="str">
        <v>AAR-880</v>
      </c>
      <c r="E321" t="str">
        <v/>
      </c>
      <c r="F321" t="str">
        <v>867806078847433</v>
      </c>
      <c r="G321" t="str">
        <v>Otro</v>
      </c>
      <c r="H321" t="str">
        <v/>
      </c>
      <c r="I321" t="str">
        <v>28/09/2026</v>
      </c>
      <c r="J321" t="str">
        <v>17:51:17</v>
      </c>
      <c r="K321">
        <v>-12.315315</v>
      </c>
      <c r="L321">
        <v>-76.82586</v>
      </c>
      <c r="M321">
        <f>HYPERLINK("https://www.google.com/maps/search/?api=1&amp;query=-12.315315,-76.82586","Punta Hermosa, Lima")</f>
      </c>
      <c r="N321">
        <v>11.8</v>
      </c>
      <c r="O321">
        <v>97</v>
      </c>
      <c r="P321">
        <v>2581.16</v>
      </c>
      <c r="Q321" t="str">
        <v>162.80</v>
      </c>
      <c r="R321" t="str">
        <v/>
      </c>
      <c r="S321" t="str">
        <v/>
      </c>
      <c r="T321" t="str">
        <v/>
      </c>
      <c r="U321" t="str">
        <v/>
      </c>
    </row>
    <row r="322">
      <c r="A322" t="str">
        <v>321</v>
      </c>
      <c r="B322" t="str">
        <v>MASS BSF</v>
      </c>
      <c r="C322" t="str">
        <v>AAR-880</v>
      </c>
      <c r="D322" t="str">
        <v>AAR-880</v>
      </c>
      <c r="E322" t="str">
        <v/>
      </c>
      <c r="F322" t="str">
        <v>867806078847433</v>
      </c>
      <c r="G322" t="str">
        <v>Otro</v>
      </c>
      <c r="H322" t="str">
        <v/>
      </c>
      <c r="I322" t="str">
        <v>28/09/2026</v>
      </c>
      <c r="J322" t="str">
        <v>17:51:22</v>
      </c>
      <c r="K322">
        <v>-12.315275</v>
      </c>
      <c r="L322">
        <v>-76.82601</v>
      </c>
      <c r="M322">
        <f>HYPERLINK("https://www.google.com/maps/search/?api=1&amp;query=-12.315275,-76.82601","Punta Hermosa, Lima")</f>
      </c>
      <c r="N322">
        <v>15.7</v>
      </c>
      <c r="O322">
        <v>97</v>
      </c>
      <c r="P322">
        <v>2581.18</v>
      </c>
      <c r="Q322" t="str">
        <v>162.80</v>
      </c>
      <c r="R322" t="str">
        <v/>
      </c>
      <c r="S322" t="str">
        <v/>
      </c>
      <c r="T322" t="str">
        <v/>
      </c>
      <c r="U322" t="str">
        <v/>
      </c>
    </row>
    <row r="323">
      <c r="A323" t="str">
        <v>322</v>
      </c>
      <c r="B323" t="str">
        <v>MASS BSF</v>
      </c>
      <c r="C323" t="str">
        <v>AAR-880</v>
      </c>
      <c r="D323" t="str">
        <v>AAR-880</v>
      </c>
      <c r="E323" t="str">
        <v/>
      </c>
      <c r="F323" t="str">
        <v>867806078847433</v>
      </c>
      <c r="G323" t="str">
        <v>Otro</v>
      </c>
      <c r="H323" t="str">
        <v/>
      </c>
      <c r="I323" t="str">
        <v>28/09/2026</v>
      </c>
      <c r="J323" t="str">
        <v>17:51:27</v>
      </c>
      <c r="K323">
        <v>-12.315349</v>
      </c>
      <c r="L323">
        <v>-76.826195</v>
      </c>
      <c r="M323">
        <f>HYPERLINK("https://www.google.com/maps/search/?api=1&amp;query=-12.315349,-76.826195","Punta Hermosa, Lima")</f>
      </c>
      <c r="N323">
        <v>15.3</v>
      </c>
      <c r="O323">
        <v>97</v>
      </c>
      <c r="P323">
        <v>2581.2</v>
      </c>
      <c r="Q323" t="str">
        <v>162.80</v>
      </c>
      <c r="R323" t="str">
        <v/>
      </c>
      <c r="S323" t="str">
        <v/>
      </c>
      <c r="T323" t="str">
        <v/>
      </c>
      <c r="U323" t="str">
        <v/>
      </c>
    </row>
    <row r="324">
      <c r="A324" t="str">
        <v>323</v>
      </c>
      <c r="B324" t="str">
        <v>MASS BSF</v>
      </c>
      <c r="C324" t="str">
        <v>AAR-880</v>
      </c>
      <c r="D324" t="str">
        <v>AAR-880</v>
      </c>
      <c r="E324" t="str">
        <v/>
      </c>
      <c r="F324" t="str">
        <v>867806078847433</v>
      </c>
      <c r="G324" t="str">
        <v>Otro</v>
      </c>
      <c r="H324" t="str">
        <v/>
      </c>
      <c r="I324" t="str">
        <v>28/09/2026</v>
      </c>
      <c r="J324" t="str">
        <v>17:52:27</v>
      </c>
      <c r="K324">
        <v>-12.31646</v>
      </c>
      <c r="L324">
        <v>-76.827934</v>
      </c>
      <c r="M324">
        <f>HYPERLINK("https://www.google.com/maps/search/?api=1&amp;query=-12.31646,-76.827934","Punta Hermosa, Lima")</f>
      </c>
      <c r="N324">
        <v>10.9</v>
      </c>
      <c r="O324">
        <v>92</v>
      </c>
      <c r="P324">
        <v>2581.42</v>
      </c>
      <c r="Q324" t="str">
        <v>162.80</v>
      </c>
      <c r="R324" t="str">
        <v/>
      </c>
      <c r="S324" t="str">
        <v/>
      </c>
      <c r="T324" t="str">
        <v/>
      </c>
      <c r="U324" t="str">
        <v/>
      </c>
    </row>
    <row r="325">
      <c r="A325" t="str">
        <v>324</v>
      </c>
      <c r="B325" t="str">
        <v>MASS BSF</v>
      </c>
      <c r="C325" t="str">
        <v>AAR-880</v>
      </c>
      <c r="D325" t="str">
        <v>AAR-880</v>
      </c>
      <c r="E325" t="str">
        <v/>
      </c>
      <c r="F325" t="str">
        <v>867806078847433</v>
      </c>
      <c r="G325" t="str">
        <v>Otro</v>
      </c>
      <c r="H325" t="str">
        <v/>
      </c>
      <c r="I325" t="str">
        <v>28/09/2026</v>
      </c>
      <c r="J325" t="str">
        <v>17:53:27</v>
      </c>
      <c r="K325">
        <v>-12.317385</v>
      </c>
      <c r="L325">
        <v>-76.82946</v>
      </c>
      <c r="M325">
        <f>HYPERLINK("https://www.google.com/maps/search/?api=1&amp;query=-12.317385,-76.82946","Punta Hermosa, Lima")</f>
      </c>
      <c r="N325">
        <v>12.5</v>
      </c>
      <c r="O325">
        <v>91</v>
      </c>
      <c r="P325">
        <v>2581.61</v>
      </c>
      <c r="Q325" t="str">
        <v>162.80</v>
      </c>
      <c r="R325" t="str">
        <v/>
      </c>
      <c r="S325" t="str">
        <v/>
      </c>
      <c r="T325" t="str">
        <v/>
      </c>
      <c r="U325" t="str">
        <v/>
      </c>
    </row>
    <row r="326">
      <c r="A326" t="str">
        <v>325</v>
      </c>
      <c r="B326" t="str">
        <v>MASS BSF</v>
      </c>
      <c r="C326" t="str">
        <v>AAR-880</v>
      </c>
      <c r="D326" t="str">
        <v>AAR-880</v>
      </c>
      <c r="E326" t="str">
        <v/>
      </c>
      <c r="F326" t="str">
        <v>867806078847433</v>
      </c>
      <c r="G326" t="str">
        <v>Otro</v>
      </c>
      <c r="H326" t="str">
        <v/>
      </c>
      <c r="I326" t="str">
        <v>28/09/2026</v>
      </c>
      <c r="J326" t="str">
        <v>17:53:59</v>
      </c>
      <c r="K326">
        <v>-12.317553</v>
      </c>
      <c r="L326">
        <v>-76.82978</v>
      </c>
      <c r="M326">
        <f>HYPERLINK("https://www.google.com/maps/search/?api=1&amp;query=-12.317553,-76.82978","Punta Hermosa, Lima")</f>
      </c>
      <c r="N326">
        <v>7.4</v>
      </c>
      <c r="O326">
        <v>89</v>
      </c>
      <c r="P326">
        <v>2581.65</v>
      </c>
      <c r="Q326" t="str">
        <v>163.20</v>
      </c>
      <c r="R326" t="str">
        <v>Salió de zona</v>
      </c>
      <c r="S326" t="str">
        <v>MASS BSF 1</v>
      </c>
      <c r="T326" t="str">
        <v xml:space="preserve"> </v>
      </c>
      <c r="U326" t="str">
        <v/>
      </c>
    </row>
    <row r="327">
      <c r="A327" t="str">
        <v>326</v>
      </c>
      <c r="B327" t="str">
        <v>MASS BSF</v>
      </c>
      <c r="C327" t="str">
        <v>AAR-880</v>
      </c>
      <c r="D327" t="str">
        <v>AAR-880</v>
      </c>
      <c r="E327" t="str">
        <v/>
      </c>
      <c r="F327" t="str">
        <v>867806078847433</v>
      </c>
      <c r="G327" t="str">
        <v>Otro</v>
      </c>
      <c r="H327" t="str">
        <v/>
      </c>
      <c r="I327" t="str">
        <v>28/09/2026</v>
      </c>
      <c r="J327" t="str">
        <v>17:53:59</v>
      </c>
      <c r="K327">
        <v>-12.317553</v>
      </c>
      <c r="L327">
        <v>-76.82978</v>
      </c>
      <c r="M327">
        <f>HYPERLINK("https://www.google.com/maps/search/?api=1&amp;query=-12.317553,-76.82978","Punta Hermosa, Lima")</f>
      </c>
      <c r="N327">
        <v>7.4</v>
      </c>
      <c r="O327">
        <v>91</v>
      </c>
      <c r="P327">
        <v>2581.65</v>
      </c>
      <c r="Q327" t="str">
        <v>162.80</v>
      </c>
      <c r="R327" t="str">
        <v/>
      </c>
      <c r="S327" t="str">
        <v/>
      </c>
      <c r="T327" t="str">
        <v/>
      </c>
      <c r="U327" t="str">
        <v/>
      </c>
    </row>
    <row r="328">
      <c r="A328" t="str">
        <v>327</v>
      </c>
      <c r="B328" t="str">
        <v>MASS BSF</v>
      </c>
      <c r="C328" t="str">
        <v>AAR-880</v>
      </c>
      <c r="D328" t="str">
        <v>AAR-880</v>
      </c>
      <c r="E328" t="str">
        <v/>
      </c>
      <c r="F328" t="str">
        <v>867806078847433</v>
      </c>
      <c r="G328" t="str">
        <v>Otro</v>
      </c>
      <c r="H328" t="str">
        <v/>
      </c>
      <c r="I328" t="str">
        <v>28/09/2026</v>
      </c>
      <c r="J328" t="str">
        <v>17:54:04</v>
      </c>
      <c r="K328">
        <v>-12.31756</v>
      </c>
      <c r="L328">
        <v>-76.82991</v>
      </c>
      <c r="M328">
        <f>HYPERLINK("https://www.google.com/maps/search/?api=1&amp;query=-12.31756,-76.82991","Punta Hermosa, Lima")</f>
      </c>
      <c r="N328">
        <v>11.6</v>
      </c>
      <c r="O328">
        <v>91</v>
      </c>
      <c r="P328">
        <v>2581.66</v>
      </c>
      <c r="Q328" t="str">
        <v>162.80</v>
      </c>
      <c r="R328" t="str">
        <v/>
      </c>
      <c r="S328" t="str">
        <v/>
      </c>
      <c r="T328" t="str">
        <v/>
      </c>
      <c r="U328" t="str">
        <v/>
      </c>
    </row>
    <row r="329">
      <c r="A329" t="str">
        <v>328</v>
      </c>
      <c r="B329" t="str">
        <v>MASS BSF</v>
      </c>
      <c r="C329" t="str">
        <v>AAR-880</v>
      </c>
      <c r="D329" t="str">
        <v>AAR-880</v>
      </c>
      <c r="E329" t="str">
        <v/>
      </c>
      <c r="F329" t="str">
        <v>867806078847433</v>
      </c>
      <c r="G329" t="str">
        <v>Otro</v>
      </c>
      <c r="H329" t="str">
        <v/>
      </c>
      <c r="I329" t="str">
        <v>28/09/2026</v>
      </c>
      <c r="J329" t="str">
        <v>17:54:10</v>
      </c>
      <c r="K329">
        <v>-12.31752</v>
      </c>
      <c r="L329">
        <v>-76.83009</v>
      </c>
      <c r="M329">
        <f>HYPERLINK("https://www.google.com/maps/search/?api=1&amp;query=-12.31752,-76.83009","Punta Hermosa, Lima")</f>
      </c>
      <c r="N329">
        <v>10.5</v>
      </c>
      <c r="O329">
        <v>91</v>
      </c>
      <c r="P329">
        <v>2581.68</v>
      </c>
      <c r="Q329" t="str">
        <v>162.80</v>
      </c>
      <c r="R329" t="str">
        <v/>
      </c>
      <c r="S329" t="str">
        <v/>
      </c>
      <c r="T329" t="str">
        <v/>
      </c>
      <c r="U329" t="str">
        <v/>
      </c>
    </row>
    <row r="330">
      <c r="A330" t="str">
        <v>329</v>
      </c>
      <c r="B330" t="str">
        <v>MASS BSF</v>
      </c>
      <c r="C330" t="str">
        <v>AAR-880</v>
      </c>
      <c r="D330" t="str">
        <v>AAR-880</v>
      </c>
      <c r="E330" t="str">
        <v/>
      </c>
      <c r="F330" t="str">
        <v>867806078847433</v>
      </c>
      <c r="G330" t="str">
        <v>Otro</v>
      </c>
      <c r="H330" t="str">
        <v/>
      </c>
      <c r="I330" t="str">
        <v>28/09/2026</v>
      </c>
      <c r="J330" t="str">
        <v>17:54:17</v>
      </c>
      <c r="K330">
        <v>-12.317453</v>
      </c>
      <c r="L330">
        <v>-76.830246</v>
      </c>
      <c r="M330">
        <f>HYPERLINK("https://www.google.com/maps/search/?api=1&amp;query=-12.317453,-76.830246","Carretera Panamericana Sur, Punta Hermosa, Lima")</f>
      </c>
      <c r="N330">
        <v>11.6</v>
      </c>
      <c r="O330">
        <v>92</v>
      </c>
      <c r="P330">
        <v>2581.7</v>
      </c>
      <c r="Q330" t="str">
        <v>162.80</v>
      </c>
      <c r="R330" t="str">
        <v/>
      </c>
      <c r="S330" t="str">
        <v/>
      </c>
      <c r="T330" t="str">
        <v/>
      </c>
      <c r="U330" t="str">
        <v/>
      </c>
    </row>
    <row r="331">
      <c r="A331" t="str">
        <v>330</v>
      </c>
      <c r="B331" t="str">
        <v>MASS BSF</v>
      </c>
      <c r="C331" t="str">
        <v>AAR-880</v>
      </c>
      <c r="D331" t="str">
        <v>AAR-880</v>
      </c>
      <c r="E331" t="str">
        <v/>
      </c>
      <c r="F331" t="str">
        <v>867806078847433</v>
      </c>
      <c r="G331" t="str">
        <v>Otro</v>
      </c>
      <c r="H331" t="str">
        <v/>
      </c>
      <c r="I331" t="str">
        <v>28/09/2026</v>
      </c>
      <c r="J331" t="str">
        <v>17:54:21</v>
      </c>
      <c r="K331">
        <v>-12.317338</v>
      </c>
      <c r="L331">
        <v>-76.83037</v>
      </c>
      <c r="M331">
        <f>HYPERLINK("https://www.google.com/maps/search/?api=1&amp;query=-12.317338,-76.83037","Carretera Panamericana Sur, Punta Hermosa, Lima")</f>
      </c>
      <c r="N331">
        <v>13.7</v>
      </c>
      <c r="O331">
        <v>92</v>
      </c>
      <c r="P331">
        <v>2581.72</v>
      </c>
      <c r="Q331" t="str">
        <v>162.80</v>
      </c>
      <c r="R331" t="str">
        <v/>
      </c>
      <c r="S331" t="str">
        <v/>
      </c>
      <c r="T331" t="str">
        <v/>
      </c>
      <c r="U331" t="str">
        <v/>
      </c>
    </row>
    <row r="332">
      <c r="A332" t="str">
        <v>331</v>
      </c>
      <c r="B332" t="str">
        <v>MASS BSF</v>
      </c>
      <c r="C332" t="str">
        <v>AAR-880</v>
      </c>
      <c r="D332" t="str">
        <v>AAR-880</v>
      </c>
      <c r="E332" t="str">
        <v/>
      </c>
      <c r="F332" t="str">
        <v>867806078847433</v>
      </c>
      <c r="G332" t="str">
        <v>Otro</v>
      </c>
      <c r="H332" t="str">
        <v/>
      </c>
      <c r="I332" t="str">
        <v>28/09/2026</v>
      </c>
      <c r="J332" t="str">
        <v>17:55:21</v>
      </c>
      <c r="K332">
        <v>-12.314878</v>
      </c>
      <c r="L332">
        <v>-76.83221</v>
      </c>
      <c r="M332">
        <f>HYPERLINK("https://www.google.com/maps/search/?api=1&amp;query=-12.314878,-76.83221","Carretera Panamericana Sur, Punta Hermosa, Lima")</f>
      </c>
      <c r="N332">
        <v>33.3</v>
      </c>
      <c r="O332">
        <v>92</v>
      </c>
      <c r="P332">
        <v>2582.05</v>
      </c>
      <c r="Q332" t="str">
        <v>162.80</v>
      </c>
      <c r="R332" t="str">
        <v/>
      </c>
      <c r="S332" t="str">
        <v/>
      </c>
      <c r="T332" t="str">
        <v/>
      </c>
      <c r="U332" t="str">
        <v/>
      </c>
    </row>
    <row r="333">
      <c r="A333" t="str">
        <v>332</v>
      </c>
      <c r="B333" t="str">
        <v>MASS BSF</v>
      </c>
      <c r="C333" t="str">
        <v>AAR-880</v>
      </c>
      <c r="D333" t="str">
        <v>AAR-880</v>
      </c>
      <c r="E333" t="str">
        <v/>
      </c>
      <c r="F333" t="str">
        <v>867806078847433</v>
      </c>
      <c r="G333" t="str">
        <v>Otro</v>
      </c>
      <c r="H333" t="str">
        <v/>
      </c>
      <c r="I333" t="str">
        <v>28/09/2026</v>
      </c>
      <c r="J333" t="str">
        <v>17:56:17</v>
      </c>
      <c r="K333">
        <v>-12.30915</v>
      </c>
      <c r="L333">
        <v>-76.83605</v>
      </c>
      <c r="M333">
        <f>HYPERLINK("https://www.google.com/maps/search/?api=1&amp;query=-12.30915,-76.83605","Carretera Panamericana Sur, Punta Hermosa, Lima")</f>
      </c>
      <c r="N333">
        <v>58.7</v>
      </c>
      <c r="O333">
        <v>92</v>
      </c>
      <c r="P333">
        <v>2582.8</v>
      </c>
      <c r="Q333" t="str">
        <v>162.80</v>
      </c>
      <c r="R333" t="str">
        <v/>
      </c>
      <c r="S333" t="str">
        <v/>
      </c>
      <c r="T333" t="str">
        <v/>
      </c>
      <c r="U333" t="str">
        <v/>
      </c>
    </row>
    <row r="334">
      <c r="A334" t="str">
        <v>333</v>
      </c>
      <c r="B334" t="str">
        <v>MASS BSF</v>
      </c>
      <c r="C334" t="str">
        <v>AAR-880</v>
      </c>
      <c r="D334" t="str">
        <v>AAR-880</v>
      </c>
      <c r="E334" t="str">
        <v/>
      </c>
      <c r="F334" t="str">
        <v>867806078847433</v>
      </c>
      <c r="G334" t="str">
        <v>Otro</v>
      </c>
      <c r="H334" t="str">
        <v/>
      </c>
      <c r="I334" t="str">
        <v>28/09/2026</v>
      </c>
      <c r="J334" t="str">
        <v>17:56:43</v>
      </c>
      <c r="K334">
        <v>-12.306044</v>
      </c>
      <c r="L334">
        <v>-76.83848</v>
      </c>
      <c r="M334">
        <f>HYPERLINK("https://www.google.com/maps/search/?api=1&amp;query=-12.306044,-76.83848","Carretera Panamericana Sur, Lurín, Lima")</f>
      </c>
      <c r="N334">
        <v>60.1</v>
      </c>
      <c r="O334">
        <v>92</v>
      </c>
      <c r="P334">
        <v>2583.24</v>
      </c>
      <c r="Q334" t="str">
        <v>162.80</v>
      </c>
      <c r="R334" t="str">
        <v/>
      </c>
      <c r="S334" t="str">
        <v/>
      </c>
      <c r="T334" t="str">
        <v/>
      </c>
      <c r="U334" t="str">
        <v/>
      </c>
    </row>
    <row r="335">
      <c r="A335" t="str">
        <v>334</v>
      </c>
      <c r="B335" t="str">
        <v>MASS BSF</v>
      </c>
      <c r="C335" t="str">
        <v>AAR-880</v>
      </c>
      <c r="D335" t="str">
        <v>AAR-880</v>
      </c>
      <c r="E335" t="str">
        <v/>
      </c>
      <c r="F335" t="str">
        <v>867806078847433</v>
      </c>
      <c r="G335" t="str">
        <v>Otro</v>
      </c>
      <c r="H335" t="str">
        <v/>
      </c>
      <c r="I335" t="str">
        <v>28/09/2026</v>
      </c>
      <c r="J335" t="str">
        <v>17:57:05</v>
      </c>
      <c r="K335">
        <v>-12.303877</v>
      </c>
      <c r="L335">
        <v>-76.84103</v>
      </c>
      <c r="M335">
        <f>HYPERLINK("https://www.google.com/maps/search/?api=1&amp;query=-12.303877,-76.84103","Carretera Panamericana Sur, Lurín, Lima")</f>
      </c>
      <c r="N335">
        <v>63.5</v>
      </c>
      <c r="O335">
        <v>92</v>
      </c>
      <c r="P335">
        <v>2583.6</v>
      </c>
      <c r="Q335" t="str">
        <v>162.80</v>
      </c>
      <c r="R335" t="str">
        <v/>
      </c>
      <c r="S335" t="str">
        <v/>
      </c>
      <c r="T335" t="str">
        <v/>
      </c>
      <c r="U335" t="str">
        <v/>
      </c>
    </row>
    <row r="336">
      <c r="A336" t="str">
        <v>335</v>
      </c>
      <c r="B336" t="str">
        <v>MASS BSF</v>
      </c>
      <c r="C336" t="str">
        <v>AAR-880</v>
      </c>
      <c r="D336" t="str">
        <v>AAR-880</v>
      </c>
      <c r="E336" t="str">
        <v/>
      </c>
      <c r="F336" t="str">
        <v>867806078847433</v>
      </c>
      <c r="G336" t="str">
        <v>Otro</v>
      </c>
      <c r="H336" t="str">
        <v/>
      </c>
      <c r="I336" t="str">
        <v>28/09/2026</v>
      </c>
      <c r="J336" t="str">
        <v>17:57:22</v>
      </c>
      <c r="K336">
        <v>-12.302385</v>
      </c>
      <c r="L336">
        <v>-76.84352</v>
      </c>
      <c r="M336">
        <f>HYPERLINK("https://www.google.com/maps/search/?api=1&amp;query=-12.302385,-76.84352","Carretera Panamericana Sur, Lurín, Lima")</f>
      </c>
      <c r="N336">
        <v>72.2</v>
      </c>
      <c r="O336">
        <v>92</v>
      </c>
      <c r="P336">
        <v>2583.92</v>
      </c>
      <c r="Q336" t="str">
        <v>162.80</v>
      </c>
      <c r="R336" t="str">
        <v/>
      </c>
      <c r="S336" t="str">
        <v/>
      </c>
      <c r="T336" t="str">
        <v/>
      </c>
      <c r="U336" t="str">
        <v/>
      </c>
    </row>
    <row r="337">
      <c r="A337" t="str">
        <v>336</v>
      </c>
      <c r="B337" t="str">
        <v>MASS BSF</v>
      </c>
      <c r="C337" t="str">
        <v>AAR-880</v>
      </c>
      <c r="D337" t="str">
        <v>AAR-880</v>
      </c>
      <c r="E337" t="str">
        <v/>
      </c>
      <c r="F337" t="str">
        <v>867806078847433</v>
      </c>
      <c r="G337" t="str">
        <v>Otro</v>
      </c>
      <c r="H337" t="str">
        <v/>
      </c>
      <c r="I337" t="str">
        <v>28/09/2026</v>
      </c>
      <c r="J337" t="str">
        <v>17:58:11</v>
      </c>
      <c r="K337">
        <v>-12.299223</v>
      </c>
      <c r="L337">
        <v>-76.850685</v>
      </c>
      <c r="M337">
        <f>HYPERLINK("https://www.google.com/maps/search/?api=1&amp;query=-12.299223,-76.850685","Carretera Panamericana Sur, Lurín, Lima")</f>
      </c>
      <c r="N337">
        <v>54.4</v>
      </c>
      <c r="O337">
        <v>92</v>
      </c>
      <c r="P337">
        <v>2584.77</v>
      </c>
      <c r="Q337" t="str">
        <v>162.80</v>
      </c>
      <c r="R337" t="str">
        <v/>
      </c>
      <c r="S337" t="str">
        <v/>
      </c>
      <c r="T337" t="str">
        <v/>
      </c>
      <c r="U337" t="str">
        <v/>
      </c>
    </row>
    <row r="338">
      <c r="A338" t="str">
        <v>337</v>
      </c>
      <c r="B338" t="str">
        <v>MASS BSF</v>
      </c>
      <c r="C338" t="str">
        <v>AAR-880</v>
      </c>
      <c r="D338" t="str">
        <v>AAR-880</v>
      </c>
      <c r="E338" t="str">
        <v/>
      </c>
      <c r="F338" t="str">
        <v>867806078847433</v>
      </c>
      <c r="G338" t="str">
        <v>Otro</v>
      </c>
      <c r="H338" t="str">
        <v/>
      </c>
      <c r="I338" t="str">
        <v>28/09/2026</v>
      </c>
      <c r="J338" t="str">
        <v>17:59:01</v>
      </c>
      <c r="K338">
        <v>-12.29598</v>
      </c>
      <c r="L338">
        <v>-76.85785</v>
      </c>
      <c r="M338">
        <f>HYPERLINK("https://www.google.com/maps/search/?api=1&amp;query=-12.29598,-76.85785","Carretera Panamericana Sur, Lurín, Lima")</f>
      </c>
      <c r="N338">
        <v>65.7</v>
      </c>
      <c r="O338">
        <v>87</v>
      </c>
      <c r="P338">
        <v>2585.62</v>
      </c>
      <c r="Q338" t="str">
        <v>162.80</v>
      </c>
      <c r="R338" t="str">
        <v/>
      </c>
      <c r="S338" t="str">
        <v/>
      </c>
      <c r="T338" t="str">
        <v/>
      </c>
      <c r="U338" t="str">
        <v/>
      </c>
    </row>
    <row r="339">
      <c r="A339" t="str">
        <v>338</v>
      </c>
      <c r="B339" t="str">
        <v>MASS BSF</v>
      </c>
      <c r="C339" t="str">
        <v>AAR-880</v>
      </c>
      <c r="D339" t="str">
        <v>AAR-880</v>
      </c>
      <c r="E339" t="str">
        <v/>
      </c>
      <c r="F339" t="str">
        <v>867806078847433</v>
      </c>
      <c r="G339" t="str">
        <v>Otro</v>
      </c>
      <c r="H339" t="str">
        <v/>
      </c>
      <c r="I339" t="str">
        <v>28/09/2026</v>
      </c>
      <c r="J339" t="str">
        <v>17:59:48</v>
      </c>
      <c r="K339">
        <v>-12.292028</v>
      </c>
      <c r="L339">
        <v>-76.86428</v>
      </c>
      <c r="M339">
        <f>HYPERLINK("https://www.google.com/maps/search/?api=1&amp;query=-12.292028,-76.86428","Carretera Panamericana Sur, Lurín, Lima")</f>
      </c>
      <c r="N339">
        <v>63.3</v>
      </c>
      <c r="O339">
        <v>87</v>
      </c>
      <c r="P339">
        <v>2586.44</v>
      </c>
      <c r="Q339" t="str">
        <v>162.80</v>
      </c>
      <c r="R339" t="str">
        <v/>
      </c>
      <c r="S339" t="str">
        <v/>
      </c>
      <c r="T339" t="str">
        <v/>
      </c>
      <c r="U339" t="str">
        <v/>
      </c>
    </row>
    <row r="340">
      <c r="A340" t="str">
        <v>339</v>
      </c>
      <c r="B340" t="str">
        <v>MASS BSF</v>
      </c>
      <c r="C340" t="str">
        <v>AAR-880</v>
      </c>
      <c r="D340" t="str">
        <v>AAR-880</v>
      </c>
      <c r="E340" t="str">
        <v/>
      </c>
      <c r="F340" t="str">
        <v>867806078847433</v>
      </c>
      <c r="G340" t="str">
        <v>Otro</v>
      </c>
      <c r="H340" t="str">
        <v/>
      </c>
      <c r="I340" t="str">
        <v>28/09/2026</v>
      </c>
      <c r="J340" t="str">
        <v>18:00:34</v>
      </c>
      <c r="K340">
        <v>-12.288013</v>
      </c>
      <c r="L340">
        <v>-76.87064</v>
      </c>
      <c r="M340">
        <f>HYPERLINK("https://www.google.com/maps/search/?api=1&amp;query=-12.288013,-76.87064","Carretera Panamericana Sur, Lurín, Lima")</f>
      </c>
      <c r="N340">
        <v>66.3</v>
      </c>
      <c r="O340">
        <v>87</v>
      </c>
      <c r="P340">
        <v>2587.25</v>
      </c>
      <c r="Q340" t="str">
        <v>162.80</v>
      </c>
      <c r="R340" t="str">
        <v/>
      </c>
      <c r="S340" t="str">
        <v/>
      </c>
      <c r="T340" t="str">
        <v/>
      </c>
      <c r="U340" t="str">
        <v/>
      </c>
    </row>
    <row r="341">
      <c r="A341" t="str">
        <v>340</v>
      </c>
      <c r="B341" t="str">
        <v>MASS BSF</v>
      </c>
      <c r="C341" t="str">
        <v>AAR-880</v>
      </c>
      <c r="D341" t="str">
        <v>AAR-880</v>
      </c>
      <c r="E341" t="str">
        <v/>
      </c>
      <c r="F341" t="str">
        <v>867806078847433</v>
      </c>
      <c r="G341" t="str">
        <v>Otro</v>
      </c>
      <c r="H341" t="str">
        <v/>
      </c>
      <c r="I341" t="str">
        <v>28/09/2026</v>
      </c>
      <c r="J341" t="str">
        <v>18:01:20</v>
      </c>
      <c r="K341">
        <v>-12.283972</v>
      </c>
      <c r="L341">
        <v>-76.877075</v>
      </c>
      <c r="M341">
        <f>HYPERLINK("https://www.google.com/maps/search/?api=1&amp;query=-12.283972,-76.877075","Carretera Panamericana Sur, Lurín, Lima")</f>
      </c>
      <c r="N341">
        <v>64</v>
      </c>
      <c r="O341">
        <v>92</v>
      </c>
      <c r="P341">
        <v>2588.08</v>
      </c>
      <c r="Q341" t="str">
        <v>162.80</v>
      </c>
      <c r="R341" t="str">
        <v/>
      </c>
      <c r="S341" t="str">
        <v/>
      </c>
      <c r="T341" t="str">
        <v/>
      </c>
      <c r="U341" t="str">
        <v/>
      </c>
    </row>
    <row r="342">
      <c r="A342" t="str">
        <v>341</v>
      </c>
      <c r="B342" t="str">
        <v>MASS BSF</v>
      </c>
      <c r="C342" t="str">
        <v>AAR-880</v>
      </c>
      <c r="D342" t="str">
        <v>AAR-880</v>
      </c>
      <c r="E342" t="str">
        <v/>
      </c>
      <c r="F342" t="str">
        <v>867806078847433</v>
      </c>
      <c r="G342" t="str">
        <v>Otro</v>
      </c>
      <c r="H342" t="str">
        <v/>
      </c>
      <c r="I342" t="str">
        <v>28/09/2026</v>
      </c>
      <c r="J342" t="str">
        <v>18:02:09</v>
      </c>
      <c r="K342">
        <v>-12.279977</v>
      </c>
      <c r="L342">
        <v>-76.883514</v>
      </c>
      <c r="M342">
        <f>HYPERLINK("https://www.google.com/maps/search/?api=1&amp;query=-12.279977,-76.883514","Carretera Panamericana Sur, Lurín, Lima")</f>
      </c>
      <c r="N342">
        <v>62.2</v>
      </c>
      <c r="O342">
        <v>92</v>
      </c>
      <c r="P342">
        <v>2588.9</v>
      </c>
      <c r="Q342" t="str">
        <v>162.80</v>
      </c>
      <c r="R342" t="str">
        <v/>
      </c>
      <c r="S342" t="str">
        <v/>
      </c>
      <c r="T342" t="str">
        <v/>
      </c>
      <c r="U342" t="str">
        <v/>
      </c>
    </row>
    <row r="343">
      <c r="A343" t="str">
        <v>342</v>
      </c>
      <c r="B343" t="str">
        <v>MASS BSF</v>
      </c>
      <c r="C343" t="str">
        <v>AAR-880</v>
      </c>
      <c r="D343" t="str">
        <v>AAR-880</v>
      </c>
      <c r="E343" t="str">
        <v/>
      </c>
      <c r="F343" t="str">
        <v>867806078847433</v>
      </c>
      <c r="G343" t="str">
        <v>Otro</v>
      </c>
      <c r="H343" t="str">
        <v/>
      </c>
      <c r="I343" t="str">
        <v>28/09/2026</v>
      </c>
      <c r="J343" t="str">
        <v>18:03:02</v>
      </c>
      <c r="K343">
        <v>-12.275958</v>
      </c>
      <c r="L343">
        <v>-76.889915</v>
      </c>
      <c r="M343">
        <f>HYPERLINK("https://www.google.com/maps/search/?api=1&amp;query=-12.275958,-76.889915","Carretera Panamericana Sur, Lurín, Lima")</f>
      </c>
      <c r="N343">
        <v>52.4</v>
      </c>
      <c r="O343">
        <v>92</v>
      </c>
      <c r="P343">
        <v>2589.72</v>
      </c>
      <c r="Q343" t="str">
        <v>162.80</v>
      </c>
      <c r="R343" t="str">
        <v/>
      </c>
      <c r="S343" t="str">
        <v/>
      </c>
      <c r="T343" t="str">
        <v/>
      </c>
      <c r="U343" t="str">
        <v/>
      </c>
    </row>
    <row r="344">
      <c r="A344" t="str">
        <v>343</v>
      </c>
      <c r="B344" t="str">
        <v>MASS BSF</v>
      </c>
      <c r="C344" t="str">
        <v>AAR-880</v>
      </c>
      <c r="D344" t="str">
        <v>AAR-880</v>
      </c>
      <c r="E344" t="str">
        <v/>
      </c>
      <c r="F344" t="str">
        <v>867806078847433</v>
      </c>
      <c r="G344" t="str">
        <v>Otro</v>
      </c>
      <c r="H344" t="str">
        <v/>
      </c>
      <c r="I344" t="str">
        <v>28/09/2026</v>
      </c>
      <c r="J344" t="str">
        <v>18:04:02</v>
      </c>
      <c r="K344">
        <v>-12.271967</v>
      </c>
      <c r="L344">
        <v>-76.89627</v>
      </c>
      <c r="M344">
        <f>HYPERLINK("https://www.google.com/maps/search/?api=1&amp;query=-12.271967,-76.89627","Carretera Panamericana Sur, Lurín, Lima")</f>
      </c>
      <c r="N344">
        <v>55</v>
      </c>
      <c r="O344">
        <v>92</v>
      </c>
      <c r="P344">
        <v>2590.54</v>
      </c>
      <c r="Q344" t="str">
        <v>162.80</v>
      </c>
      <c r="R344" t="str">
        <v/>
      </c>
      <c r="S344" t="str">
        <v/>
      </c>
      <c r="T344" t="str">
        <v/>
      </c>
      <c r="U344" t="str">
        <v/>
      </c>
    </row>
    <row r="345">
      <c r="A345" t="str">
        <v>344</v>
      </c>
      <c r="B345" t="str">
        <v>MASS BSF</v>
      </c>
      <c r="C345" t="str">
        <v>AAR-880</v>
      </c>
      <c r="D345" t="str">
        <v>AAR-880</v>
      </c>
      <c r="E345" t="str">
        <v/>
      </c>
      <c r="F345" t="str">
        <v>867806078847433</v>
      </c>
      <c r="G345" t="str">
        <v>Otro</v>
      </c>
      <c r="H345" t="str">
        <v/>
      </c>
      <c r="I345" t="str">
        <v>28/09/2026</v>
      </c>
      <c r="J345" t="str">
        <v>18:04:51</v>
      </c>
      <c r="K345">
        <v>-12.267939</v>
      </c>
      <c r="L345">
        <v>-76.902695</v>
      </c>
      <c r="M345">
        <f>HYPERLINK("https://www.google.com/maps/search/?api=1&amp;query=-12.267939,-76.902695","Carretera Panamericana Sur, Lurín, Lima")</f>
      </c>
      <c r="N345">
        <v>65.7</v>
      </c>
      <c r="O345">
        <v>92</v>
      </c>
      <c r="P345">
        <v>2591.36</v>
      </c>
      <c r="Q345" t="str">
        <v>162.80</v>
      </c>
      <c r="R345" t="str">
        <v/>
      </c>
      <c r="S345" t="str">
        <v/>
      </c>
      <c r="T345" t="str">
        <v/>
      </c>
      <c r="U345" t="str">
        <v/>
      </c>
    </row>
    <row r="346">
      <c r="A346" t="str">
        <v>345</v>
      </c>
      <c r="B346" t="str">
        <v>MASS BSF</v>
      </c>
      <c r="C346" t="str">
        <v>AAR-880</v>
      </c>
      <c r="D346" t="str">
        <v>AAR-880</v>
      </c>
      <c r="E346" t="str">
        <v/>
      </c>
      <c r="F346" t="str">
        <v>867806078847433</v>
      </c>
      <c r="G346" t="str">
        <v>Otro</v>
      </c>
      <c r="H346" t="str">
        <v/>
      </c>
      <c r="I346" t="str">
        <v>28/09/2026</v>
      </c>
      <c r="J346" t="str">
        <v>18:05:36</v>
      </c>
      <c r="K346">
        <v>-12.263904</v>
      </c>
      <c r="L346">
        <v>-76.90911</v>
      </c>
      <c r="M346">
        <f>HYPERLINK("https://www.google.com/maps/search/?api=1&amp;query=-12.263904,-76.90911","Carretera Panamericana Sur, Lurín, Lima")</f>
      </c>
      <c r="N346">
        <v>63.1</v>
      </c>
      <c r="O346">
        <v>92</v>
      </c>
      <c r="P346">
        <v>2592.18</v>
      </c>
      <c r="Q346" t="str">
        <v>162.80</v>
      </c>
      <c r="R346" t="str">
        <v/>
      </c>
      <c r="S346" t="str">
        <v/>
      </c>
      <c r="T346" t="str">
        <v/>
      </c>
      <c r="U346" t="str">
        <v/>
      </c>
    </row>
    <row r="347">
      <c r="A347" t="str">
        <v>346</v>
      </c>
      <c r="B347" t="str">
        <v>MASS BSF</v>
      </c>
      <c r="C347" t="str">
        <v>AAR-880</v>
      </c>
      <c r="D347" t="str">
        <v>AAR-880</v>
      </c>
      <c r="E347" t="str">
        <v/>
      </c>
      <c r="F347" t="str">
        <v>867806078847433</v>
      </c>
      <c r="G347" t="str">
        <v>Otro</v>
      </c>
      <c r="H347" t="str">
        <v/>
      </c>
      <c r="I347" t="str">
        <v>28/09/2026</v>
      </c>
      <c r="J347" t="str">
        <v>18:06:25</v>
      </c>
      <c r="K347">
        <v>-12.25987</v>
      </c>
      <c r="L347">
        <v>-76.91545</v>
      </c>
      <c r="M347">
        <f>HYPERLINK("https://www.google.com/maps/search/?api=1&amp;query=-12.25987,-76.91545","Carretera Panamericana Sur, Lurín, Lima")</f>
      </c>
      <c r="N347">
        <v>58.1</v>
      </c>
      <c r="O347">
        <v>92</v>
      </c>
      <c r="P347">
        <v>2593</v>
      </c>
      <c r="Q347" t="str">
        <v>162.80</v>
      </c>
      <c r="R347" t="str">
        <v/>
      </c>
      <c r="S347" t="str">
        <v/>
      </c>
      <c r="T347" t="str">
        <v/>
      </c>
      <c r="U347" t="str">
        <v/>
      </c>
    </row>
    <row r="348">
      <c r="A348" t="str">
        <v>347</v>
      </c>
      <c r="B348" t="str">
        <v>MASS BSF</v>
      </c>
      <c r="C348" t="str">
        <v>AAR-880</v>
      </c>
      <c r="D348" t="str">
        <v>AAR-880</v>
      </c>
      <c r="E348" t="str">
        <v/>
      </c>
      <c r="F348" t="str">
        <v>867806078847433</v>
      </c>
      <c r="G348" t="str">
        <v>Otro</v>
      </c>
      <c r="H348" t="str">
        <v/>
      </c>
      <c r="I348" t="str">
        <v>28/09/2026</v>
      </c>
      <c r="J348" t="str">
        <v>18:07:12</v>
      </c>
      <c r="K348">
        <v>-12.256507</v>
      </c>
      <c r="L348">
        <v>-76.920525</v>
      </c>
      <c r="M348">
        <f>HYPERLINK("https://www.google.com/maps/search/?api=1&amp;query=-12.256507,-76.920525","Carretera Panamericana Sur, Lurín, Lima")</f>
      </c>
      <c r="N348">
        <v>41.4</v>
      </c>
      <c r="O348">
        <v>92</v>
      </c>
      <c r="P348">
        <v>2593.66</v>
      </c>
      <c r="Q348" t="str">
        <v>162.80</v>
      </c>
      <c r="R348" t="str">
        <v/>
      </c>
      <c r="S348" t="str">
        <v/>
      </c>
      <c r="T348" t="str">
        <v/>
      </c>
      <c r="U348" t="str">
        <v/>
      </c>
    </row>
    <row r="349">
      <c r="A349" t="str">
        <v>348</v>
      </c>
      <c r="B349" t="str">
        <v>MASS BSF</v>
      </c>
      <c r="C349" t="str">
        <v>AAR-880</v>
      </c>
      <c r="D349" t="str">
        <v>AAR-880</v>
      </c>
      <c r="E349" t="str">
        <v/>
      </c>
      <c r="F349" t="str">
        <v>867806078847433</v>
      </c>
      <c r="G349" t="str">
        <v>Otro</v>
      </c>
      <c r="H349" t="str">
        <v/>
      </c>
      <c r="I349" t="str">
        <v>28/09/2026</v>
      </c>
      <c r="J349" t="str">
        <v>18:07:17</v>
      </c>
      <c r="K349">
        <v>-12.256103</v>
      </c>
      <c r="L349">
        <v>-76.92081</v>
      </c>
      <c r="M349">
        <f>HYPERLINK("https://www.google.com/maps/search/?api=1&amp;query=-12.256103,-76.92081","Lurín, Lima")</f>
      </c>
      <c r="N349">
        <v>36.6</v>
      </c>
      <c r="O349">
        <v>92</v>
      </c>
      <c r="P349">
        <v>2593.72</v>
      </c>
      <c r="Q349" t="str">
        <v>162.80</v>
      </c>
      <c r="R349" t="str">
        <v/>
      </c>
      <c r="S349" t="str">
        <v/>
      </c>
      <c r="T349" t="str">
        <v/>
      </c>
      <c r="U349" t="str">
        <v/>
      </c>
    </row>
    <row r="350">
      <c r="A350" t="str">
        <v>349</v>
      </c>
      <c r="B350" t="str">
        <v>MASS BSF</v>
      </c>
      <c r="C350" t="str">
        <v>AAR-880</v>
      </c>
      <c r="D350" t="str">
        <v>AAR-880</v>
      </c>
      <c r="E350" t="str">
        <v/>
      </c>
      <c r="F350" t="str">
        <v>867806078847433</v>
      </c>
      <c r="G350" t="str">
        <v>Otro</v>
      </c>
      <c r="H350" t="str">
        <v/>
      </c>
      <c r="I350" t="str">
        <v>28/09/2026</v>
      </c>
      <c r="J350" t="str">
        <v>18:07:22</v>
      </c>
      <c r="K350">
        <v>-12.255725</v>
      </c>
      <c r="L350">
        <v>-76.920906</v>
      </c>
      <c r="M350">
        <f>HYPERLINK("https://www.google.com/maps/search/?api=1&amp;query=-12.255725,-76.920906","Lurín, Lima")</f>
      </c>
      <c r="N350">
        <v>25.5</v>
      </c>
      <c r="O350">
        <v>92</v>
      </c>
      <c r="P350">
        <v>2593.76</v>
      </c>
      <c r="Q350" t="str">
        <v>162.80</v>
      </c>
      <c r="R350" t="str">
        <v/>
      </c>
      <c r="S350" t="str">
        <v/>
      </c>
      <c r="T350" t="str">
        <v/>
      </c>
      <c r="U350" t="str">
        <v/>
      </c>
    </row>
    <row r="351">
      <c r="A351" t="str">
        <v>350</v>
      </c>
      <c r="B351" t="str">
        <v>MASS BSF</v>
      </c>
      <c r="C351" t="str">
        <v>AAR-880</v>
      </c>
      <c r="D351" t="str">
        <v>AAR-880</v>
      </c>
      <c r="E351" t="str">
        <v/>
      </c>
      <c r="F351" t="str">
        <v>867806078847433</v>
      </c>
      <c r="G351" t="str">
        <v>Otro</v>
      </c>
      <c r="H351" t="str">
        <v/>
      </c>
      <c r="I351" t="str">
        <v>28/09/2026</v>
      </c>
      <c r="J351" t="str">
        <v>18:07:27</v>
      </c>
      <c r="K351">
        <v>-12.255422</v>
      </c>
      <c r="L351">
        <v>-76.920906</v>
      </c>
      <c r="M351">
        <f>HYPERLINK("https://www.google.com/maps/search/?api=1&amp;query=-12.255422,-76.920906","Lurín, Lima")</f>
      </c>
      <c r="N351">
        <v>24.4</v>
      </c>
      <c r="O351">
        <v>92</v>
      </c>
      <c r="P351">
        <v>2593.79</v>
      </c>
      <c r="Q351" t="str">
        <v>162.80</v>
      </c>
      <c r="R351" t="str">
        <v/>
      </c>
      <c r="S351" t="str">
        <v/>
      </c>
      <c r="T351" t="str">
        <v/>
      </c>
      <c r="U351" t="str">
        <v/>
      </c>
    </row>
    <row r="352">
      <c r="A352" t="str">
        <v>351</v>
      </c>
      <c r="B352" t="str">
        <v>MASS BSF</v>
      </c>
      <c r="C352" t="str">
        <v>AAR-880</v>
      </c>
      <c r="D352" t="str">
        <v>AAR-880</v>
      </c>
      <c r="E352" t="str">
        <v/>
      </c>
      <c r="F352" t="str">
        <v>867806078847433</v>
      </c>
      <c r="G352" t="str">
        <v>Otro</v>
      </c>
      <c r="H352" t="str">
        <v/>
      </c>
      <c r="I352" t="str">
        <v>28/09/2026</v>
      </c>
      <c r="J352" t="str">
        <v>18:07:32</v>
      </c>
      <c r="K352">
        <v>-12.255105</v>
      </c>
      <c r="L352">
        <v>-76.920815</v>
      </c>
      <c r="M352">
        <f>HYPERLINK("https://www.google.com/maps/search/?api=1&amp;query=-12.255105,-76.920815","Lurín, Lima")</f>
      </c>
      <c r="N352">
        <v>28.3</v>
      </c>
      <c r="O352">
        <v>92</v>
      </c>
      <c r="P352">
        <v>2593.83</v>
      </c>
      <c r="Q352" t="str">
        <v>162.80</v>
      </c>
      <c r="R352" t="str">
        <v/>
      </c>
      <c r="S352" t="str">
        <v/>
      </c>
      <c r="T352" t="str">
        <v/>
      </c>
      <c r="U352" t="str">
        <v/>
      </c>
    </row>
    <row r="353">
      <c r="A353" t="str">
        <v>352</v>
      </c>
      <c r="B353" t="str">
        <v>MASS BSF</v>
      </c>
      <c r="C353" t="str">
        <v>AAR-880</v>
      </c>
      <c r="D353" t="str">
        <v>AAR-880</v>
      </c>
      <c r="E353" t="str">
        <v/>
      </c>
      <c r="F353" t="str">
        <v>867806078847433</v>
      </c>
      <c r="G353" t="str">
        <v>Otro</v>
      </c>
      <c r="H353" t="str">
        <v/>
      </c>
      <c r="I353" t="str">
        <v>28/09/2026</v>
      </c>
      <c r="J353" t="str">
        <v>18:07:38</v>
      </c>
      <c r="K353">
        <v>-12.254726</v>
      </c>
      <c r="L353">
        <v>-76.920586</v>
      </c>
      <c r="M353">
        <f>HYPERLINK("https://www.google.com/maps/search/?api=1&amp;query=-12.254726,-76.920586","Lurín, Lima")</f>
      </c>
      <c r="N353">
        <v>26.2</v>
      </c>
      <c r="O353">
        <v>92</v>
      </c>
      <c r="P353">
        <v>2593.88</v>
      </c>
      <c r="Q353" t="str">
        <v>162.80</v>
      </c>
      <c r="R353" t="str">
        <v/>
      </c>
      <c r="S353" t="str">
        <v/>
      </c>
      <c r="T353" t="str">
        <v/>
      </c>
      <c r="U353" t="str">
        <v/>
      </c>
    </row>
    <row r="354">
      <c r="A354" t="str">
        <v>353</v>
      </c>
      <c r="B354" t="str">
        <v>MASS BSF</v>
      </c>
      <c r="C354" t="str">
        <v>AAR-880</v>
      </c>
      <c r="D354" t="str">
        <v>AAR-880</v>
      </c>
      <c r="E354" t="str">
        <v/>
      </c>
      <c r="F354" t="str">
        <v>867806078847433</v>
      </c>
      <c r="G354" t="str">
        <v>Otro</v>
      </c>
      <c r="H354" t="str">
        <v/>
      </c>
      <c r="I354" t="str">
        <v>28/09/2026</v>
      </c>
      <c r="J354" t="str">
        <v>18:07:43</v>
      </c>
      <c r="K354">
        <v>-12.254525</v>
      </c>
      <c r="L354">
        <v>-76.92037</v>
      </c>
      <c r="M354">
        <f>HYPERLINK("https://www.google.com/maps/search/?api=1&amp;query=-12.254525,-76.92037","Lurín, Lima")</f>
      </c>
      <c r="N354">
        <v>20.5</v>
      </c>
      <c r="O354">
        <v>92</v>
      </c>
      <c r="P354">
        <v>2593.91</v>
      </c>
      <c r="Q354" t="str">
        <v>162.80</v>
      </c>
      <c r="R354" t="str">
        <v/>
      </c>
      <c r="S354" t="str">
        <v/>
      </c>
      <c r="T354" t="str">
        <v/>
      </c>
      <c r="U354" t="str">
        <v/>
      </c>
    </row>
    <row r="355">
      <c r="A355" t="str">
        <v>354</v>
      </c>
      <c r="B355" t="str">
        <v>MASS BSF</v>
      </c>
      <c r="C355" t="str">
        <v>AAR-880</v>
      </c>
      <c r="D355" t="str">
        <v>AAR-880</v>
      </c>
      <c r="E355" t="str">
        <v/>
      </c>
      <c r="F355" t="str">
        <v>867806078847433</v>
      </c>
      <c r="G355" t="str">
        <v>Otro</v>
      </c>
      <c r="H355" t="str">
        <v/>
      </c>
      <c r="I355" t="str">
        <v>28/09/2026</v>
      </c>
      <c r="J355" t="str">
        <v>18:08:11</v>
      </c>
      <c r="K355">
        <v>-12.254245</v>
      </c>
      <c r="L355">
        <v>-76.92023</v>
      </c>
      <c r="M355">
        <f>HYPERLINK("https://www.google.com/maps/search/?api=1&amp;query=-12.254245,-76.92023","Antigua Panamericana Sur, Lurín, Lima")</f>
      </c>
      <c r="N355">
        <v>5.5</v>
      </c>
      <c r="O355">
        <v>92</v>
      </c>
      <c r="P355">
        <v>2593.94</v>
      </c>
      <c r="Q355" t="str">
        <v>162.80</v>
      </c>
      <c r="R355" t="str">
        <v/>
      </c>
      <c r="S355" t="str">
        <v/>
      </c>
      <c r="T355" t="str">
        <v/>
      </c>
      <c r="U355" t="str">
        <v/>
      </c>
    </row>
    <row r="356">
      <c r="A356" t="str">
        <v>355</v>
      </c>
      <c r="B356" t="str">
        <v>MASS BSF</v>
      </c>
      <c r="C356" t="str">
        <v>AAR-880</v>
      </c>
      <c r="D356" t="str">
        <v>AAR-880</v>
      </c>
      <c r="E356" t="str">
        <v/>
      </c>
      <c r="F356" t="str">
        <v>867806078847433</v>
      </c>
      <c r="G356" t="str">
        <v>Otro</v>
      </c>
      <c r="H356" t="str">
        <v/>
      </c>
      <c r="I356" t="str">
        <v>28/09/2026</v>
      </c>
      <c r="J356" t="str">
        <v>18:08:16</v>
      </c>
      <c r="K356">
        <v>-12.254193</v>
      </c>
      <c r="L356">
        <v>-76.920296</v>
      </c>
      <c r="M356">
        <f>HYPERLINK("https://www.google.com/maps/search/?api=1&amp;query=-12.254193,-76.920296","Antigua Panamericana Sur, Lurín, Lima")</f>
      </c>
      <c r="N356">
        <v>6.6</v>
      </c>
      <c r="O356">
        <v>92</v>
      </c>
      <c r="P356">
        <v>2593.95</v>
      </c>
      <c r="Q356" t="str">
        <v>162.80</v>
      </c>
      <c r="R356" t="str">
        <v/>
      </c>
      <c r="S356" t="str">
        <v/>
      </c>
      <c r="T356" t="str">
        <v/>
      </c>
      <c r="U356" t="str">
        <v/>
      </c>
    </row>
    <row r="357">
      <c r="A357" t="str">
        <v>356</v>
      </c>
      <c r="B357" t="str">
        <v>MASS BSF</v>
      </c>
      <c r="C357" t="str">
        <v>AAR-880</v>
      </c>
      <c r="D357" t="str">
        <v>AAR-880</v>
      </c>
      <c r="E357" t="str">
        <v/>
      </c>
      <c r="F357" t="str">
        <v>867806078847433</v>
      </c>
      <c r="G357" t="str">
        <v>Otro</v>
      </c>
      <c r="H357" t="str">
        <v/>
      </c>
      <c r="I357" t="str">
        <v>28/09/2026</v>
      </c>
      <c r="J357" t="str">
        <v>18:08:21</v>
      </c>
      <c r="K357">
        <v>-12.25416</v>
      </c>
      <c r="L357">
        <v>-76.920425</v>
      </c>
      <c r="M357">
        <f>HYPERLINK("https://www.google.com/maps/search/?api=1&amp;query=-12.25416,-76.920425","Antigua Panamericana Sur, Lurín, Lima")</f>
      </c>
      <c r="N357">
        <v>11.6</v>
      </c>
      <c r="O357">
        <v>92</v>
      </c>
      <c r="P357">
        <v>2593.97</v>
      </c>
      <c r="Q357" t="str">
        <v>162.80</v>
      </c>
      <c r="R357" t="str">
        <v/>
      </c>
      <c r="S357" t="str">
        <v/>
      </c>
      <c r="T357" t="str">
        <v/>
      </c>
      <c r="U357" t="str">
        <v/>
      </c>
    </row>
    <row r="358">
      <c r="A358" t="str">
        <v>357</v>
      </c>
      <c r="B358" t="str">
        <v>MASS BSF</v>
      </c>
      <c r="C358" t="str">
        <v>AAR-880</v>
      </c>
      <c r="D358" t="str">
        <v>AAR-880</v>
      </c>
      <c r="E358" t="str">
        <v/>
      </c>
      <c r="F358" t="str">
        <v>867806078847433</v>
      </c>
      <c r="G358" t="str">
        <v>Otro</v>
      </c>
      <c r="H358" t="str">
        <v/>
      </c>
      <c r="I358" t="str">
        <v>28/09/2026</v>
      </c>
      <c r="J358" t="str">
        <v>18:09:21</v>
      </c>
      <c r="K358">
        <v>-12.25363</v>
      </c>
      <c r="L358">
        <v>-76.92435</v>
      </c>
      <c r="M358">
        <f>HYPERLINK("https://www.google.com/maps/search/?api=1&amp;query=-12.25363,-76.92435","Antigua Panamericana Sur, Lurín, Lima")</f>
      </c>
      <c r="N358">
        <v>32</v>
      </c>
      <c r="O358">
        <v>92</v>
      </c>
      <c r="P358">
        <v>2594.39</v>
      </c>
      <c r="Q358" t="str">
        <v>162.80</v>
      </c>
      <c r="R358" t="str">
        <v/>
      </c>
      <c r="S358" t="str">
        <v/>
      </c>
      <c r="T358" t="str">
        <v/>
      </c>
      <c r="U358" t="str">
        <v/>
      </c>
    </row>
    <row r="359">
      <c r="A359" t="str">
        <v>358</v>
      </c>
      <c r="B359" t="str">
        <v>MASS BSF</v>
      </c>
      <c r="C359" t="str">
        <v>AAR-880</v>
      </c>
      <c r="D359" t="str">
        <v>AAR-880</v>
      </c>
      <c r="E359" t="str">
        <v/>
      </c>
      <c r="F359" t="str">
        <v>867806078847433</v>
      </c>
      <c r="G359" t="str">
        <v>Otro</v>
      </c>
      <c r="H359" t="str">
        <v/>
      </c>
      <c r="I359" t="str">
        <v>28/09/2026</v>
      </c>
      <c r="J359" t="str">
        <v>18:09:36</v>
      </c>
      <c r="K359">
        <v>-12.253393</v>
      </c>
      <c r="L359">
        <v>-76.92576</v>
      </c>
      <c r="M359">
        <f>HYPERLINK("https://www.google.com/maps/search/?api=1&amp;query=-12.253393,-76.92576","Antigua Panamericana Sur, Lurín, Lima")</f>
      </c>
      <c r="N359">
        <v>36.4</v>
      </c>
      <c r="O359">
        <v>92</v>
      </c>
      <c r="P359">
        <v>2594.55</v>
      </c>
      <c r="Q359" t="str">
        <v>162.80</v>
      </c>
      <c r="R359" t="str">
        <v/>
      </c>
      <c r="S359" t="str">
        <v/>
      </c>
      <c r="T359" t="str">
        <v/>
      </c>
      <c r="U359" t="str">
        <v/>
      </c>
    </row>
    <row r="360">
      <c r="A360" t="str">
        <v>359</v>
      </c>
      <c r="B360" t="str">
        <v>MASS BSF</v>
      </c>
      <c r="C360" t="str">
        <v>AAR-880</v>
      </c>
      <c r="D360" t="str">
        <v>AAR-880</v>
      </c>
      <c r="E360" t="str">
        <v/>
      </c>
      <c r="F360" t="str">
        <v>867806078847433</v>
      </c>
      <c r="G360" t="str">
        <v>Otro</v>
      </c>
      <c r="H360" t="str">
        <v/>
      </c>
      <c r="I360" t="str">
        <v>28/09/2026</v>
      </c>
      <c r="J360" t="str">
        <v>18:09:43</v>
      </c>
      <c r="K360">
        <v>-12.253134</v>
      </c>
      <c r="L360">
        <v>-76.92635</v>
      </c>
      <c r="M360">
        <f>HYPERLINK("https://www.google.com/maps/search/?api=1&amp;query=-12.253134,-76.92635","Antigua Panamericana Sur, Lurín, Lima")</f>
      </c>
      <c r="N360">
        <v>37.2</v>
      </c>
      <c r="O360">
        <v>92</v>
      </c>
      <c r="P360">
        <v>2594.62</v>
      </c>
      <c r="Q360" t="str">
        <v>162.80</v>
      </c>
      <c r="R360" t="str">
        <v/>
      </c>
      <c r="S360" t="str">
        <v/>
      </c>
      <c r="T360" t="str">
        <v/>
      </c>
      <c r="U360" t="str">
        <v/>
      </c>
    </row>
    <row r="361">
      <c r="A361" t="str">
        <v>360</v>
      </c>
      <c r="B361" t="str">
        <v>MASS BSF</v>
      </c>
      <c r="C361" t="str">
        <v>AAR-880</v>
      </c>
      <c r="D361" t="str">
        <v>AAR-880</v>
      </c>
      <c r="E361" t="str">
        <v/>
      </c>
      <c r="F361" t="str">
        <v>867806078847433</v>
      </c>
      <c r="G361" t="str">
        <v>Otro</v>
      </c>
      <c r="H361" t="str">
        <v/>
      </c>
      <c r="I361" t="str">
        <v>28/09/2026</v>
      </c>
      <c r="J361" t="str">
        <v>18:10:32</v>
      </c>
      <c r="K361">
        <v>-12.250555</v>
      </c>
      <c r="L361">
        <v>-76.92985</v>
      </c>
      <c r="M361">
        <f>HYPERLINK("https://www.google.com/maps/search/?api=1&amp;query=-12.250555,-76.92985","Antigua Panamericana Sur, Villa El Salvador, Lima")</f>
      </c>
      <c r="N361">
        <v>7.7</v>
      </c>
      <c r="O361">
        <v>82</v>
      </c>
      <c r="P361">
        <v>2595.09</v>
      </c>
      <c r="Q361" t="str">
        <v>162.80</v>
      </c>
      <c r="R361" t="str">
        <v/>
      </c>
      <c r="S361" t="str">
        <v/>
      </c>
      <c r="T361" t="str">
        <v/>
      </c>
      <c r="U361" t="str">
        <v/>
      </c>
    </row>
    <row r="362">
      <c r="A362" t="str">
        <v>361</v>
      </c>
      <c r="B362" t="str">
        <v>MASS BSF</v>
      </c>
      <c r="C362" t="str">
        <v>AAR-880</v>
      </c>
      <c r="D362" t="str">
        <v>AAR-880</v>
      </c>
      <c r="E362" t="str">
        <v/>
      </c>
      <c r="F362" t="str">
        <v>867806078847433</v>
      </c>
      <c r="G362" t="str">
        <v>Otro</v>
      </c>
      <c r="H362" t="str">
        <v/>
      </c>
      <c r="I362" t="str">
        <v>28/09/2026</v>
      </c>
      <c r="J362" t="str">
        <v>18:11:32</v>
      </c>
      <c r="K362">
        <v>-12.249831</v>
      </c>
      <c r="L362">
        <v>-76.93079</v>
      </c>
      <c r="M362">
        <f>HYPERLINK("https://www.google.com/maps/search/?api=1&amp;query=-12.249831,-76.93079","Antigua Panamericana Sur, Villa El Salvador, Lima")</f>
      </c>
      <c r="N362">
        <v>21.8</v>
      </c>
      <c r="O362">
        <v>82</v>
      </c>
      <c r="P362">
        <v>2595.21</v>
      </c>
      <c r="Q362" t="str">
        <v>162.80</v>
      </c>
      <c r="R362" t="str">
        <v/>
      </c>
      <c r="S362" t="str">
        <v/>
      </c>
      <c r="T362" t="str">
        <v/>
      </c>
      <c r="U362" t="str">
        <v/>
      </c>
    </row>
    <row r="363">
      <c r="A363" t="str">
        <v>362</v>
      </c>
      <c r="B363" t="str">
        <v>MASS BSF</v>
      </c>
      <c r="C363" t="str">
        <v>AAR-880</v>
      </c>
      <c r="D363" t="str">
        <v>AAR-880</v>
      </c>
      <c r="E363" t="str">
        <v/>
      </c>
      <c r="F363" t="str">
        <v>867806078847433</v>
      </c>
      <c r="G363" t="str">
        <v>Otro</v>
      </c>
      <c r="H363" t="str">
        <v/>
      </c>
      <c r="I363" t="str">
        <v>28/09/2026</v>
      </c>
      <c r="J363" t="str">
        <v>18:12:32</v>
      </c>
      <c r="K363">
        <v>-12.246972</v>
      </c>
      <c r="L363">
        <v>-76.934586</v>
      </c>
      <c r="M363">
        <f>HYPERLINK("https://www.google.com/maps/search/?api=1&amp;query=-12.246972,-76.934586","Antigua Panamericana Sur, Villa El Salvador, Lima")</f>
      </c>
      <c r="N363">
        <v>38.1</v>
      </c>
      <c r="O363">
        <v>82</v>
      </c>
      <c r="P363">
        <v>2595.73</v>
      </c>
      <c r="Q363" t="str">
        <v>162.80</v>
      </c>
      <c r="R363" t="str">
        <v/>
      </c>
      <c r="S363" t="str">
        <v/>
      </c>
      <c r="T363" t="str">
        <v/>
      </c>
      <c r="U363" t="str">
        <v/>
      </c>
    </row>
    <row r="364">
      <c r="A364" t="str">
        <v>363</v>
      </c>
      <c r="B364" t="str">
        <v>MASS BSF</v>
      </c>
      <c r="C364" t="str">
        <v>AAR-880</v>
      </c>
      <c r="D364" t="str">
        <v>AAR-880</v>
      </c>
      <c r="E364" t="str">
        <v/>
      </c>
      <c r="F364" t="str">
        <v>867806078847433</v>
      </c>
      <c r="G364" t="str">
        <v>Otro</v>
      </c>
      <c r="H364" t="str">
        <v/>
      </c>
      <c r="I364" t="str">
        <v>28/09/2026</v>
      </c>
      <c r="J364" t="str">
        <v>18:13:32</v>
      </c>
      <c r="K364">
        <v>-12.244554</v>
      </c>
      <c r="L364">
        <v>-76.93924</v>
      </c>
      <c r="M364">
        <f>HYPERLINK("https://www.google.com/maps/search/?api=1&amp;query=-12.244554,-76.93924","Antigua Panamericana Sur, Villa El Salvador, Lima")</f>
      </c>
      <c r="N364">
        <v>47.4</v>
      </c>
      <c r="O364">
        <v>82</v>
      </c>
      <c r="P364">
        <v>2596.29</v>
      </c>
      <c r="Q364" t="str">
        <v>162.80</v>
      </c>
      <c r="R364" t="str">
        <v/>
      </c>
      <c r="S364" t="str">
        <v/>
      </c>
      <c r="T364" t="str">
        <v/>
      </c>
      <c r="U364" t="str">
        <v/>
      </c>
    </row>
    <row r="365">
      <c r="A365" t="str">
        <v>364</v>
      </c>
      <c r="B365" t="str">
        <v>MASS BSF</v>
      </c>
      <c r="C365" t="str">
        <v>AAR-880</v>
      </c>
      <c r="D365" t="str">
        <v>AAR-880</v>
      </c>
      <c r="E365" t="str">
        <v/>
      </c>
      <c r="F365" t="str">
        <v>867806078847433</v>
      </c>
      <c r="G365" t="str">
        <v>Otro</v>
      </c>
      <c r="H365" t="str">
        <v/>
      </c>
      <c r="I365" t="str">
        <v>28/09/2026</v>
      </c>
      <c r="J365" t="str">
        <v>18:14:32</v>
      </c>
      <c r="K365">
        <v>-12.242153</v>
      </c>
      <c r="L365">
        <v>-76.94372</v>
      </c>
      <c r="M365">
        <f>HYPERLINK("https://www.google.com/maps/search/?api=1&amp;query=-12.242153,-76.94372","Antigua Panamericana Sur, Villa El Salvador, Lima")</f>
      </c>
      <c r="N365">
        <v>12.2</v>
      </c>
      <c r="O365">
        <v>82</v>
      </c>
      <c r="P365">
        <v>2596.84</v>
      </c>
      <c r="Q365" t="str">
        <v>162.80</v>
      </c>
      <c r="R365" t="str">
        <v/>
      </c>
      <c r="S365" t="str">
        <v/>
      </c>
      <c r="T365" t="str">
        <v/>
      </c>
      <c r="U365" t="str">
        <v/>
      </c>
    </row>
    <row r="366">
      <c r="A366" t="str">
        <v>365</v>
      </c>
      <c r="B366" t="str">
        <v>MASS BSF</v>
      </c>
      <c r="C366" t="str">
        <v>AAR-880</v>
      </c>
      <c r="D366" t="str">
        <v>AAR-880</v>
      </c>
      <c r="E366" t="str">
        <v/>
      </c>
      <c r="F366" t="str">
        <v>867806078847433</v>
      </c>
      <c r="G366" t="str">
        <v>Otro</v>
      </c>
      <c r="H366" t="str">
        <v/>
      </c>
      <c r="I366" t="str">
        <v>28/09/2026</v>
      </c>
      <c r="J366" t="str">
        <v>18:15:32</v>
      </c>
      <c r="K366">
        <v>-12.240002</v>
      </c>
      <c r="L366">
        <v>-76.94797</v>
      </c>
      <c r="M366">
        <f>HYPERLINK("https://www.google.com/maps/search/?api=1&amp;query=-12.240002,-76.94797","Antigua Panamericana Sur, Villa El Salvador, Lima")</f>
      </c>
      <c r="N366">
        <v>40.7</v>
      </c>
      <c r="O366">
        <v>82</v>
      </c>
      <c r="P366">
        <v>2597.35</v>
      </c>
      <c r="Q366" t="str">
        <v>162.80</v>
      </c>
      <c r="R366" t="str">
        <v/>
      </c>
      <c r="S366" t="str">
        <v/>
      </c>
      <c r="T366" t="str">
        <v/>
      </c>
      <c r="U366" t="str">
        <v/>
      </c>
    </row>
    <row r="367">
      <c r="A367" t="str">
        <v>366</v>
      </c>
      <c r="B367" t="str">
        <v>MASS BSF</v>
      </c>
      <c r="C367" t="str">
        <v>AAR-880</v>
      </c>
      <c r="D367" t="str">
        <v>AAR-880</v>
      </c>
      <c r="E367" t="str">
        <v/>
      </c>
      <c r="F367" t="str">
        <v>867806078847433</v>
      </c>
      <c r="G367" t="str">
        <v>Otro</v>
      </c>
      <c r="H367" t="str">
        <v/>
      </c>
      <c r="I367" t="str">
        <v>28/09/2026</v>
      </c>
      <c r="J367" t="str">
        <v>18:16:32</v>
      </c>
      <c r="K367">
        <v>-12.237166</v>
      </c>
      <c r="L367">
        <v>-76.95363</v>
      </c>
      <c r="M367">
        <f>HYPERLINK("https://www.google.com/maps/search/?api=1&amp;query=-12.237166,-76.95363","Antigua Panamericana Sur, Villa El Salvador, Lima")</f>
      </c>
      <c r="N367">
        <v>43.5</v>
      </c>
      <c r="O367">
        <v>82</v>
      </c>
      <c r="P367">
        <v>2598.04</v>
      </c>
      <c r="Q367" t="str">
        <v>162.80</v>
      </c>
      <c r="R367" t="str">
        <v/>
      </c>
      <c r="S367" t="str">
        <v/>
      </c>
      <c r="T367" t="str">
        <v/>
      </c>
      <c r="U367" t="str">
        <v/>
      </c>
    </row>
    <row r="368">
      <c r="A368" t="str">
        <v>367</v>
      </c>
      <c r="B368" t="str">
        <v>MASS BSF</v>
      </c>
      <c r="C368" t="str">
        <v>AAR-880</v>
      </c>
      <c r="D368" t="str">
        <v>AAR-880</v>
      </c>
      <c r="E368" t="str">
        <v/>
      </c>
      <c r="F368" t="str">
        <v>867806078847433</v>
      </c>
      <c r="G368" t="str">
        <v>Otro</v>
      </c>
      <c r="H368" t="str">
        <v/>
      </c>
      <c r="I368" t="str">
        <v>28/09/2026</v>
      </c>
      <c r="J368" t="str">
        <v>18:17:32</v>
      </c>
      <c r="K368">
        <v>-12.234828</v>
      </c>
      <c r="L368">
        <v>-76.95801</v>
      </c>
      <c r="M368">
        <f>HYPERLINK("https://www.google.com/maps/search/?api=1&amp;query=-12.234828,-76.95801","Antigua Panamericana Sur, Villa El Salvador, Lima")</f>
      </c>
      <c r="N368">
        <v>43.1</v>
      </c>
      <c r="O368">
        <v>92</v>
      </c>
      <c r="P368">
        <v>2598.57</v>
      </c>
      <c r="Q368" t="str">
        <v>162.80</v>
      </c>
      <c r="R368" t="str">
        <v/>
      </c>
      <c r="S368" t="str">
        <v/>
      </c>
      <c r="T368" t="str">
        <v/>
      </c>
      <c r="U368" t="str">
        <v/>
      </c>
    </row>
    <row r="369">
      <c r="A369" t="str">
        <v>368</v>
      </c>
      <c r="B369" t="str">
        <v>MASS BSF</v>
      </c>
      <c r="C369" t="str">
        <v>AAR-880</v>
      </c>
      <c r="D369" t="str">
        <v>AAR-880</v>
      </c>
      <c r="E369" t="str">
        <v/>
      </c>
      <c r="F369" t="str">
        <v>867806078847433</v>
      </c>
      <c r="G369" t="str">
        <v>Otro</v>
      </c>
      <c r="H369" t="str">
        <v/>
      </c>
      <c r="I369" t="str">
        <v>28/09/2026</v>
      </c>
      <c r="J369" t="str">
        <v>18:18:32</v>
      </c>
      <c r="K369">
        <v>-12.232453</v>
      </c>
      <c r="L369">
        <v>-76.96269</v>
      </c>
      <c r="M369">
        <f>HYPERLINK("https://www.google.com/maps/search/?api=1&amp;query=-12.232453,-76.96269","Antigua Panamericana Sur, Villa El Salvador, Lima")</f>
      </c>
      <c r="N369">
        <v>38.8</v>
      </c>
      <c r="O369">
        <v>83</v>
      </c>
      <c r="P369">
        <v>2599.14</v>
      </c>
      <c r="Q369" t="str">
        <v>162.80</v>
      </c>
      <c r="R369" t="str">
        <v/>
      </c>
      <c r="S369" t="str">
        <v/>
      </c>
      <c r="T369" t="str">
        <v/>
      </c>
      <c r="U369" t="str">
        <v/>
      </c>
    </row>
    <row r="370">
      <c r="A370" t="str">
        <v>369</v>
      </c>
      <c r="B370" t="str">
        <v>MASS BSF</v>
      </c>
      <c r="C370" t="str">
        <v>AAR-880</v>
      </c>
      <c r="D370" t="str">
        <v>AAR-880</v>
      </c>
      <c r="E370" t="str">
        <v/>
      </c>
      <c r="F370" t="str">
        <v>867806078847433</v>
      </c>
      <c r="G370" t="str">
        <v>Otro</v>
      </c>
      <c r="H370" t="str">
        <v/>
      </c>
      <c r="I370" t="str">
        <v>28/09/2026</v>
      </c>
      <c r="J370" t="str">
        <v>18:19:08</v>
      </c>
      <c r="K370">
        <v>-12.230418</v>
      </c>
      <c r="L370">
        <v>-76.96631</v>
      </c>
      <c r="M370">
        <f>HYPERLINK("https://www.google.com/maps/search/?api=1&amp;query=-12.230418,-76.96631","Antigua Panamericana Sur, Villa El Salvador, Lima")</f>
      </c>
      <c r="N370">
        <v>48.8</v>
      </c>
      <c r="O370">
        <v>83</v>
      </c>
      <c r="P370">
        <v>2599.59</v>
      </c>
      <c r="Q370" t="str">
        <v>162.80</v>
      </c>
      <c r="R370" t="str">
        <v/>
      </c>
      <c r="S370" t="str">
        <v/>
      </c>
      <c r="T370" t="str">
        <v/>
      </c>
      <c r="U370" t="str">
        <v/>
      </c>
    </row>
    <row r="371">
      <c r="A371" t="str">
        <v>370</v>
      </c>
      <c r="B371" t="str">
        <v>MASS BSF</v>
      </c>
      <c r="C371" t="str">
        <v>AAR-880</v>
      </c>
      <c r="D371" t="str">
        <v>AAR-880</v>
      </c>
      <c r="E371" t="str">
        <v/>
      </c>
      <c r="F371" t="str">
        <v>867806078847433</v>
      </c>
      <c r="G371" t="str">
        <v>Otro</v>
      </c>
      <c r="H371" t="str">
        <v/>
      </c>
      <c r="I371" t="str">
        <v>28/09/2026</v>
      </c>
      <c r="J371" t="str">
        <v>18:19:19</v>
      </c>
      <c r="K371">
        <v>-12.229525</v>
      </c>
      <c r="L371">
        <v>-76.96732</v>
      </c>
      <c r="M371">
        <f>HYPERLINK("https://www.google.com/maps/search/?api=1&amp;query=-12.229525,-76.96732","Antigua Panamericana Sur, Villa El Salvador, Lima")</f>
      </c>
      <c r="N371">
        <v>47.5</v>
      </c>
      <c r="O371">
        <v>83</v>
      </c>
      <c r="P371">
        <v>2599.73</v>
      </c>
      <c r="Q371" t="str">
        <v>162.80</v>
      </c>
      <c r="R371" t="str">
        <v/>
      </c>
      <c r="S371" t="str">
        <v/>
      </c>
      <c r="T371" t="str">
        <v/>
      </c>
      <c r="U371" t="str">
        <v/>
      </c>
    </row>
    <row r="372">
      <c r="A372" t="str">
        <v>371</v>
      </c>
      <c r="B372" t="str">
        <v>MASS BSF</v>
      </c>
      <c r="C372" t="str">
        <v>AAR-880</v>
      </c>
      <c r="D372" t="str">
        <v>AAR-880</v>
      </c>
      <c r="E372" t="str">
        <v/>
      </c>
      <c r="F372" t="str">
        <v>867806078847433</v>
      </c>
      <c r="G372" t="str">
        <v>Otro</v>
      </c>
      <c r="H372" t="str">
        <v/>
      </c>
      <c r="I372" t="str">
        <v>28/09/2026</v>
      </c>
      <c r="J372" t="str">
        <v>18:20:19</v>
      </c>
      <c r="K372">
        <v>-12.225773</v>
      </c>
      <c r="L372">
        <v>-76.97091</v>
      </c>
      <c r="M372">
        <f>HYPERLINK("https://www.google.com/maps/search/?api=1&amp;query=-12.225773,-76.97091","Antigua Panamericana Sur, Villa El Salvador, Lima")</f>
      </c>
      <c r="N372">
        <v>42.9</v>
      </c>
      <c r="O372">
        <v>85</v>
      </c>
      <c r="P372">
        <v>2600.3</v>
      </c>
      <c r="Q372" t="str">
        <v>162.80</v>
      </c>
      <c r="R372" t="str">
        <v/>
      </c>
      <c r="S372" t="str">
        <v/>
      </c>
      <c r="T372" t="str">
        <v/>
      </c>
      <c r="U372" t="str">
        <v/>
      </c>
    </row>
    <row r="373">
      <c r="A373" t="str">
        <v>372</v>
      </c>
      <c r="B373" t="str">
        <v>MASS BSF</v>
      </c>
      <c r="C373" t="str">
        <v>AAR-880</v>
      </c>
      <c r="D373" t="str">
        <v>AAR-880</v>
      </c>
      <c r="E373" t="str">
        <v/>
      </c>
      <c r="F373" t="str">
        <v>867806078847433</v>
      </c>
      <c r="G373" t="str">
        <v>Otro</v>
      </c>
      <c r="H373" t="str">
        <v/>
      </c>
      <c r="I373" t="str">
        <v>28/09/2026</v>
      </c>
      <c r="J373" t="str">
        <v>18:21:19</v>
      </c>
      <c r="K373">
        <v>-12.222315</v>
      </c>
      <c r="L373">
        <v>-76.9743</v>
      </c>
      <c r="M373">
        <f>HYPERLINK("https://www.google.com/maps/search/?api=1&amp;query=-12.222315,-76.9743","Antigua Panamericana Sur, Villa El Salvador, Lima")</f>
      </c>
      <c r="N373">
        <v>18.5</v>
      </c>
      <c r="O373">
        <v>85</v>
      </c>
      <c r="P373">
        <v>2600.82</v>
      </c>
      <c r="Q373" t="str">
        <v>162.80</v>
      </c>
      <c r="R373" t="str">
        <v/>
      </c>
      <c r="S373" t="str">
        <v/>
      </c>
      <c r="T373" t="str">
        <v/>
      </c>
      <c r="U373" t="str">
        <v/>
      </c>
    </row>
    <row r="374">
      <c r="A374" t="str">
        <v>373</v>
      </c>
      <c r="B374" t="str">
        <v>MASS BSF</v>
      </c>
      <c r="C374" t="str">
        <v>AAR-880</v>
      </c>
      <c r="D374" t="str">
        <v>AAR-880</v>
      </c>
      <c r="E374" t="str">
        <v/>
      </c>
      <c r="F374" t="str">
        <v>867806078847433</v>
      </c>
      <c r="G374" t="str">
        <v>Otro</v>
      </c>
      <c r="H374" t="str">
        <v/>
      </c>
      <c r="I374" t="str">
        <v>28/09/2026</v>
      </c>
      <c r="J374" t="str">
        <v>18:21:23</v>
      </c>
      <c r="K374">
        <v>-12.222185</v>
      </c>
      <c r="L374">
        <v>-76.97436</v>
      </c>
      <c r="M374">
        <f>HYPERLINK("https://www.google.com/maps/search/?api=1&amp;query=-12.222185,-76.97436","Avenida El Sol, Villa El Salvador, Lima")</f>
      </c>
      <c r="N374">
        <v>11.8</v>
      </c>
      <c r="O374">
        <v>92</v>
      </c>
      <c r="P374">
        <v>2600.84</v>
      </c>
      <c r="Q374" t="str">
        <v>162.80</v>
      </c>
      <c r="R374" t="str">
        <v/>
      </c>
      <c r="S374" t="str">
        <v/>
      </c>
      <c r="T374" t="str">
        <v/>
      </c>
      <c r="U374" t="str">
        <v/>
      </c>
    </row>
    <row r="375">
      <c r="A375" t="str">
        <v>374</v>
      </c>
      <c r="B375" t="str">
        <v>MASS BSF</v>
      </c>
      <c r="C375" t="str">
        <v>AAR-880</v>
      </c>
      <c r="D375" t="str">
        <v>AAR-880</v>
      </c>
      <c r="E375" t="str">
        <v/>
      </c>
      <c r="F375" t="str">
        <v>867806078847433</v>
      </c>
      <c r="G375" t="str">
        <v>Otro</v>
      </c>
      <c r="H375" t="str">
        <v/>
      </c>
      <c r="I375" t="str">
        <v>28/09/2026</v>
      </c>
      <c r="J375" t="str">
        <v>18:21:28</v>
      </c>
      <c r="K375">
        <v>-12.222067</v>
      </c>
      <c r="L375">
        <v>-76.97423</v>
      </c>
      <c r="M375">
        <f>HYPERLINK("https://www.google.com/maps/search/?api=1&amp;query=-12.222067,-76.97423","Avenida El Sol, Villa El Salvador, Lima")</f>
      </c>
      <c r="N375">
        <v>16.6</v>
      </c>
      <c r="O375">
        <v>92</v>
      </c>
      <c r="P375">
        <v>2600.86</v>
      </c>
      <c r="Q375" t="str">
        <v>162.80</v>
      </c>
      <c r="R375" t="str">
        <v/>
      </c>
      <c r="S375" t="str">
        <v/>
      </c>
      <c r="T375" t="str">
        <v/>
      </c>
      <c r="U375" t="str">
        <v/>
      </c>
    </row>
    <row r="376">
      <c r="A376" t="str">
        <v>375</v>
      </c>
      <c r="B376" t="str">
        <v>MASS BSF</v>
      </c>
      <c r="C376" t="str">
        <v>AAR-880</v>
      </c>
      <c r="D376" t="str">
        <v>AAR-880</v>
      </c>
      <c r="E376" t="str">
        <v/>
      </c>
      <c r="F376" t="str">
        <v>867806078847433</v>
      </c>
      <c r="G376" t="str">
        <v>Otro</v>
      </c>
      <c r="H376" t="str">
        <v/>
      </c>
      <c r="I376" t="str">
        <v>28/09/2026</v>
      </c>
      <c r="J376" t="str">
        <v>18:22:07</v>
      </c>
      <c r="K376">
        <v>-12.220407</v>
      </c>
      <c r="L376">
        <v>-76.97245</v>
      </c>
      <c r="M376">
        <f>HYPERLINK("https://www.google.com/maps/search/?api=1&amp;query=-12.220407,-76.97245","Avenida El Sol, Villa El Salvador, Lima")</f>
      </c>
      <c r="N376">
        <v>8.7</v>
      </c>
      <c r="O376">
        <v>92</v>
      </c>
      <c r="P376">
        <v>2601.12</v>
      </c>
      <c r="Q376" t="str">
        <v>162.80</v>
      </c>
      <c r="R376" t="str">
        <v/>
      </c>
      <c r="S376" t="str">
        <v/>
      </c>
      <c r="T376" t="str">
        <v/>
      </c>
      <c r="U376" t="str">
        <v/>
      </c>
    </row>
    <row r="377">
      <c r="A377" t="str">
        <v>376</v>
      </c>
      <c r="B377" t="str">
        <v>MASS BSF</v>
      </c>
      <c r="C377" t="str">
        <v>AAR-880</v>
      </c>
      <c r="D377" t="str">
        <v>AAR-880</v>
      </c>
      <c r="E377" t="str">
        <v/>
      </c>
      <c r="F377" t="str">
        <v>867806078847433</v>
      </c>
      <c r="G377" t="str">
        <v>Otro</v>
      </c>
      <c r="H377" t="str">
        <v/>
      </c>
      <c r="I377" t="str">
        <v>28/09/2026</v>
      </c>
      <c r="J377" t="str">
        <v>18:22:12</v>
      </c>
      <c r="K377">
        <v>-12.220319</v>
      </c>
      <c r="L377">
        <v>-76.97236</v>
      </c>
      <c r="M377">
        <f>HYPERLINK("https://www.google.com/maps/search/?api=1&amp;query=-12.220319,-76.97236","Avenida El Sol, Villa El Salvador, Lima")</f>
      </c>
      <c r="N377">
        <v>10.7</v>
      </c>
      <c r="O377">
        <v>92</v>
      </c>
      <c r="P377">
        <v>2601.14</v>
      </c>
      <c r="Q377" t="str">
        <v>162.80</v>
      </c>
      <c r="R377" t="str">
        <v/>
      </c>
      <c r="S377" t="str">
        <v/>
      </c>
      <c r="T377" t="str">
        <v/>
      </c>
      <c r="U377" t="str">
        <v/>
      </c>
    </row>
    <row r="378">
      <c r="A378" t="str">
        <v>377</v>
      </c>
      <c r="B378" t="str">
        <v>MASS BSF</v>
      </c>
      <c r="C378" t="str">
        <v>AAR-880</v>
      </c>
      <c r="D378" t="str">
        <v>AAR-880</v>
      </c>
      <c r="E378" t="str">
        <v/>
      </c>
      <c r="F378" t="str">
        <v>867806078847433</v>
      </c>
      <c r="G378" t="str">
        <v>Otro</v>
      </c>
      <c r="H378" t="str">
        <v/>
      </c>
      <c r="I378" t="str">
        <v>28/09/2026</v>
      </c>
      <c r="J378" t="str">
        <v>18:23:12</v>
      </c>
      <c r="K378">
        <v>-12.219238</v>
      </c>
      <c r="L378">
        <v>-76.97123</v>
      </c>
      <c r="M378">
        <f>HYPERLINK("https://www.google.com/maps/search/?api=1&amp;query=-12.219238,-76.97123","Avenida El Sol, Villa El Salvador, Lima")</f>
      </c>
      <c r="N378">
        <v>11.1</v>
      </c>
      <c r="O378">
        <v>92</v>
      </c>
      <c r="P378">
        <v>2601.3</v>
      </c>
      <c r="Q378" t="str">
        <v>162.80</v>
      </c>
      <c r="R378" t="str">
        <v/>
      </c>
      <c r="S378" t="str">
        <v/>
      </c>
      <c r="T378" t="str">
        <v/>
      </c>
      <c r="U378" t="str">
        <v/>
      </c>
    </row>
    <row r="379">
      <c r="A379" t="str">
        <v>378</v>
      </c>
      <c r="B379" t="str">
        <v>MASS BSF</v>
      </c>
      <c r="C379" t="str">
        <v>AAR-880</v>
      </c>
      <c r="D379" t="str">
        <v>AAR-880</v>
      </c>
      <c r="E379" t="str">
        <v/>
      </c>
      <c r="F379" t="str">
        <v>867806078847433</v>
      </c>
      <c r="G379" t="str">
        <v>Otro</v>
      </c>
      <c r="H379" t="str">
        <v/>
      </c>
      <c r="I379" t="str">
        <v>28/09/2026</v>
      </c>
      <c r="J379" t="str">
        <v>18:24:12</v>
      </c>
      <c r="K379">
        <v>-12.218099</v>
      </c>
      <c r="L379">
        <v>-76.970024</v>
      </c>
      <c r="M379">
        <f>HYPERLINK("https://www.google.com/maps/search/?api=1&amp;query=-12.218099,-76.970024","Avenida El Sol, Villa El Salvador, Lima")</f>
      </c>
      <c r="N379">
        <v>11.8</v>
      </c>
      <c r="O379">
        <v>92</v>
      </c>
      <c r="P379">
        <v>2601.48</v>
      </c>
      <c r="Q379" t="str">
        <v>162.80</v>
      </c>
      <c r="R379" t="str">
        <v/>
      </c>
      <c r="S379" t="str">
        <v/>
      </c>
      <c r="T379" t="str">
        <v/>
      </c>
      <c r="U379" t="str">
        <v/>
      </c>
    </row>
    <row r="380">
      <c r="A380" t="str">
        <v>379</v>
      </c>
      <c r="B380" t="str">
        <v>MASS BSF</v>
      </c>
      <c r="C380" t="str">
        <v>AAR-880</v>
      </c>
      <c r="D380" t="str">
        <v>AAR-880</v>
      </c>
      <c r="E380" t="str">
        <v/>
      </c>
      <c r="F380" t="str">
        <v>867806078847433</v>
      </c>
      <c r="G380" t="str">
        <v>Otro</v>
      </c>
      <c r="H380" t="str">
        <v/>
      </c>
      <c r="I380" t="str">
        <v>28/09/2026</v>
      </c>
      <c r="J380" t="str">
        <v>18:25:12</v>
      </c>
      <c r="K380">
        <v>-12.21692</v>
      </c>
      <c r="L380">
        <v>-76.96874</v>
      </c>
      <c r="M380">
        <f>HYPERLINK("https://www.google.com/maps/search/?api=1&amp;query=-12.21692,-76.96874","Avenida El Sol, Villa El Salvador, Lima")</f>
      </c>
      <c r="N380">
        <v>11.4</v>
      </c>
      <c r="O380">
        <v>92</v>
      </c>
      <c r="P380">
        <v>2601.66</v>
      </c>
      <c r="Q380" t="str">
        <v>162.80</v>
      </c>
      <c r="R380" t="str">
        <v/>
      </c>
      <c r="S380" t="str">
        <v/>
      </c>
      <c r="T380" t="str">
        <v/>
      </c>
      <c r="U380" t="str">
        <v/>
      </c>
    </row>
    <row r="381">
      <c r="A381" t="str">
        <v>380</v>
      </c>
      <c r="B381" t="str">
        <v>MASS BSF</v>
      </c>
      <c r="C381" t="str">
        <v>AAR-880</v>
      </c>
      <c r="D381" t="str">
        <v>AAR-880</v>
      </c>
      <c r="E381" t="str">
        <v/>
      </c>
      <c r="F381" t="str">
        <v>867806078847433</v>
      </c>
      <c r="G381" t="str">
        <v>Otro</v>
      </c>
      <c r="H381" t="str">
        <v/>
      </c>
      <c r="I381" t="str">
        <v>28/09/2026</v>
      </c>
      <c r="J381" t="str">
        <v>18:25:35</v>
      </c>
      <c r="K381">
        <v>-12.216059</v>
      </c>
      <c r="L381">
        <v>-76.967804</v>
      </c>
      <c r="M381">
        <f>HYPERLINK("https://www.google.com/maps/search/?api=1&amp;query=-12.216059,-76.967804","Avenida El Sol, Villa El Salvador, Lima")</f>
      </c>
      <c r="N381">
        <v>29.4</v>
      </c>
      <c r="O381">
        <v>92</v>
      </c>
      <c r="P381">
        <v>2601.8</v>
      </c>
      <c r="Q381" t="str">
        <v>162.80</v>
      </c>
      <c r="R381" t="str">
        <v/>
      </c>
      <c r="S381" t="str">
        <v/>
      </c>
      <c r="T381" t="str">
        <v/>
      </c>
      <c r="U381" t="str">
        <v/>
      </c>
    </row>
    <row r="382">
      <c r="A382" t="str">
        <v>381</v>
      </c>
      <c r="B382" t="str">
        <v>MASS BSF</v>
      </c>
      <c r="C382" t="str">
        <v>AAR-880</v>
      </c>
      <c r="D382" t="str">
        <v>AAR-880</v>
      </c>
      <c r="E382" t="str">
        <v/>
      </c>
      <c r="F382" t="str">
        <v>867806078847433</v>
      </c>
      <c r="G382" t="str">
        <v>Otro</v>
      </c>
      <c r="H382" t="str">
        <v/>
      </c>
      <c r="I382" t="str">
        <v>28/09/2026</v>
      </c>
      <c r="J382" t="str">
        <v>18:25:40</v>
      </c>
      <c r="K382">
        <v>-12.215703</v>
      </c>
      <c r="L382">
        <v>-76.967606</v>
      </c>
      <c r="M382">
        <f>HYPERLINK("https://www.google.com/maps/search/?api=1&amp;query=-12.215703,-76.967606","Avenida El Sol, Villa El Salvador, Lima")</f>
      </c>
      <c r="N382">
        <v>33.3</v>
      </c>
      <c r="O382">
        <v>85</v>
      </c>
      <c r="P382">
        <v>2601.84</v>
      </c>
      <c r="Q382" t="str">
        <v>162.80</v>
      </c>
      <c r="R382" t="str">
        <v/>
      </c>
      <c r="S382" t="str">
        <v/>
      </c>
      <c r="T382" t="str">
        <v/>
      </c>
      <c r="U382" t="str">
        <v/>
      </c>
    </row>
    <row r="383">
      <c r="A383" t="str">
        <v>382</v>
      </c>
      <c r="B383" t="str">
        <v>MASS BSF</v>
      </c>
      <c r="C383" t="str">
        <v>AAR-880</v>
      </c>
      <c r="D383" t="str">
        <v>AAR-880</v>
      </c>
      <c r="E383" t="str">
        <v/>
      </c>
      <c r="F383" t="str">
        <v>867806078847433</v>
      </c>
      <c r="G383" t="str">
        <v>Otro</v>
      </c>
      <c r="H383" t="str">
        <v/>
      </c>
      <c r="I383" t="str">
        <v>28/09/2026</v>
      </c>
      <c r="J383" t="str">
        <v>18:25:48</v>
      </c>
      <c r="K383">
        <v>-12.215081</v>
      </c>
      <c r="L383">
        <v>-76.96726</v>
      </c>
      <c r="M383">
        <f>HYPERLINK("https://www.google.com/maps/search/?api=1&amp;query=-12.215081,-76.96726","Calle 9, Villa El Salvador, Lima")</f>
      </c>
      <c r="N383">
        <v>36.4</v>
      </c>
      <c r="O383">
        <v>85</v>
      </c>
      <c r="P383">
        <v>2601.92</v>
      </c>
      <c r="Q383" t="str">
        <v>162.80</v>
      </c>
      <c r="R383" t="str">
        <v/>
      </c>
      <c r="S383" t="str">
        <v/>
      </c>
      <c r="T383" t="str">
        <v/>
      </c>
      <c r="U383" t="str">
        <v/>
      </c>
    </row>
    <row r="384">
      <c r="A384" t="str">
        <v>383</v>
      </c>
      <c r="B384" t="str">
        <v>MASS BSF</v>
      </c>
      <c r="C384" t="str">
        <v>AAR-880</v>
      </c>
      <c r="D384" t="str">
        <v>AAR-880</v>
      </c>
      <c r="E384" t="str">
        <v/>
      </c>
      <c r="F384" t="str">
        <v>867806078847433</v>
      </c>
      <c r="G384" t="str">
        <v>Otro</v>
      </c>
      <c r="H384" t="str">
        <v/>
      </c>
      <c r="I384" t="str">
        <v>28/09/2026</v>
      </c>
      <c r="J384" t="str">
        <v>18:25:53</v>
      </c>
      <c r="K384">
        <v>-12.214724</v>
      </c>
      <c r="L384">
        <v>-76.96696</v>
      </c>
      <c r="M384">
        <f>HYPERLINK("https://www.google.com/maps/search/?api=1&amp;query=-12.214724,-76.96696","Avenida El Sol, Villa El Salvador, Lima")</f>
      </c>
      <c r="N384">
        <v>39.6</v>
      </c>
      <c r="O384">
        <v>85</v>
      </c>
      <c r="P384">
        <v>2601.97</v>
      </c>
      <c r="Q384" t="str">
        <v>162.80</v>
      </c>
      <c r="R384" t="str">
        <v/>
      </c>
      <c r="S384" t="str">
        <v/>
      </c>
      <c r="T384" t="str">
        <v/>
      </c>
      <c r="U384" t="str">
        <v/>
      </c>
    </row>
    <row r="385">
      <c r="A385" t="str">
        <v>384</v>
      </c>
      <c r="B385" t="str">
        <v>MASS BSF</v>
      </c>
      <c r="C385" t="str">
        <v>AAR-880</v>
      </c>
      <c r="D385" t="str">
        <v>AAR-880</v>
      </c>
      <c r="E385" t="str">
        <v/>
      </c>
      <c r="F385" t="str">
        <v>867806078847433</v>
      </c>
      <c r="G385" t="str">
        <v>Otro</v>
      </c>
      <c r="H385" t="str">
        <v/>
      </c>
      <c r="I385" t="str">
        <v>28/09/2026</v>
      </c>
      <c r="J385" t="str">
        <v>18:26:38</v>
      </c>
      <c r="K385">
        <v>-12.212974</v>
      </c>
      <c r="L385">
        <v>-76.96518</v>
      </c>
      <c r="M385">
        <f>HYPERLINK("https://www.google.com/maps/search/?api=1&amp;query=-12.212974,-76.96518","Avenida El Sol, Villa El Salvador, Lima")</f>
      </c>
      <c r="N385">
        <v>14.8</v>
      </c>
      <c r="O385">
        <v>85</v>
      </c>
      <c r="P385">
        <v>2602.24</v>
      </c>
      <c r="Q385" t="str">
        <v>162.80</v>
      </c>
      <c r="R385" t="str">
        <v/>
      </c>
      <c r="S385" t="str">
        <v/>
      </c>
      <c r="T385" t="str">
        <v/>
      </c>
      <c r="U385" t="str">
        <v/>
      </c>
    </row>
    <row r="386">
      <c r="A386" t="str">
        <v>385</v>
      </c>
      <c r="B386" t="str">
        <v>MASS BSF</v>
      </c>
      <c r="C386" t="str">
        <v>AAR-880</v>
      </c>
      <c r="D386" t="str">
        <v>AAR-880</v>
      </c>
      <c r="E386" t="str">
        <v/>
      </c>
      <c r="F386" t="str">
        <v>867806078847433</v>
      </c>
      <c r="G386" t="str">
        <v>Otro</v>
      </c>
      <c r="H386" t="str">
        <v/>
      </c>
      <c r="I386" t="str">
        <v>28/09/2026</v>
      </c>
      <c r="J386" t="str">
        <v>18:27:38</v>
      </c>
      <c r="K386">
        <v>-12.212065</v>
      </c>
      <c r="L386">
        <v>-76.96347</v>
      </c>
      <c r="M386">
        <f>HYPERLINK("https://www.google.com/maps/search/?api=1&amp;query=-12.212065,-76.96347","Avenida El Sol, Villa El Salvador, Lima")</f>
      </c>
      <c r="N386">
        <v>8.8</v>
      </c>
      <c r="O386">
        <v>85</v>
      </c>
      <c r="P386">
        <v>2602.44</v>
      </c>
      <c r="Q386" t="str">
        <v>162.80</v>
      </c>
      <c r="R386" t="str">
        <v/>
      </c>
      <c r="S386" t="str">
        <v/>
      </c>
      <c r="T386" t="str">
        <v/>
      </c>
      <c r="U386" t="str">
        <v/>
      </c>
    </row>
    <row r="387">
      <c r="A387" t="str">
        <v>386</v>
      </c>
      <c r="B387" t="str">
        <v>MASS BSF</v>
      </c>
      <c r="C387" t="str">
        <v>AAR-880</v>
      </c>
      <c r="D387" t="str">
        <v>AAR-880</v>
      </c>
      <c r="E387" t="str">
        <v/>
      </c>
      <c r="F387" t="str">
        <v>867806078847433</v>
      </c>
      <c r="G387" t="str">
        <v>Otro</v>
      </c>
      <c r="H387" t="str">
        <v/>
      </c>
      <c r="I387" t="str">
        <v>28/09/2026</v>
      </c>
      <c r="J387" t="str">
        <v>18:28:21</v>
      </c>
      <c r="K387">
        <v>-12.211265</v>
      </c>
      <c r="L387">
        <v>-76.96208</v>
      </c>
      <c r="M387">
        <f>HYPERLINK("https://www.google.com/maps/search/?api=1&amp;query=-12.211265,-76.96208","Avenida El Sol, Villa El Salvador, Lima")</f>
      </c>
      <c r="N387">
        <v>12.2</v>
      </c>
      <c r="O387">
        <v>85</v>
      </c>
      <c r="P387">
        <v>2602.61</v>
      </c>
      <c r="Q387" t="str">
        <v>162.80</v>
      </c>
      <c r="R387" t="str">
        <v/>
      </c>
      <c r="S387" t="str">
        <v/>
      </c>
      <c r="T387" t="str">
        <v/>
      </c>
      <c r="U387" t="str">
        <v/>
      </c>
    </row>
    <row r="388">
      <c r="A388" t="str">
        <v>387</v>
      </c>
      <c r="B388" t="str">
        <v>MASS BSF</v>
      </c>
      <c r="C388" t="str">
        <v>AAR-880</v>
      </c>
      <c r="D388" t="str">
        <v>AAR-880</v>
      </c>
      <c r="E388" t="str">
        <v/>
      </c>
      <c r="F388" t="str">
        <v>867806078847433</v>
      </c>
      <c r="G388" t="str">
        <v>Otro</v>
      </c>
      <c r="H388" t="str">
        <v/>
      </c>
      <c r="I388" t="str">
        <v>28/09/2026</v>
      </c>
      <c r="J388" t="str">
        <v>18:28:26</v>
      </c>
      <c r="K388">
        <v>-12.21129</v>
      </c>
      <c r="L388">
        <v>-76.96197</v>
      </c>
      <c r="M388">
        <f>HYPERLINK("https://www.google.com/maps/search/?api=1&amp;query=-12.21129,-76.96197","Calle 1, Villa El Salvador, Lima")</f>
      </c>
      <c r="N388">
        <v>8.1</v>
      </c>
      <c r="O388">
        <v>85</v>
      </c>
      <c r="P388">
        <v>2602.63</v>
      </c>
      <c r="Q388" t="str">
        <v>162.80</v>
      </c>
      <c r="R388" t="str">
        <v/>
      </c>
      <c r="S388" t="str">
        <v/>
      </c>
      <c r="T388" t="str">
        <v/>
      </c>
      <c r="U388" t="str">
        <v/>
      </c>
    </row>
    <row r="389">
      <c r="A389" t="str">
        <v>388</v>
      </c>
      <c r="B389" t="str">
        <v>MASS BSF</v>
      </c>
      <c r="C389" t="str">
        <v>AAR-880</v>
      </c>
      <c r="D389" t="str">
        <v>AAR-880</v>
      </c>
      <c r="E389" t="str">
        <v/>
      </c>
      <c r="F389" t="str">
        <v>867806078847433</v>
      </c>
      <c r="G389" t="str">
        <v>Otro</v>
      </c>
      <c r="H389" t="str">
        <v/>
      </c>
      <c r="I389" t="str">
        <v>28/09/2026</v>
      </c>
      <c r="J389" t="str">
        <v>18:28:37</v>
      </c>
      <c r="K389">
        <v>-12.211418</v>
      </c>
      <c r="L389">
        <v>-76.96186</v>
      </c>
      <c r="M389">
        <f>HYPERLINK("https://www.google.com/maps/search/?api=1&amp;query=-12.211418,-76.96186","Calle 1, Villa El Salvador, Lima")</f>
      </c>
      <c r="N389">
        <v>7</v>
      </c>
      <c r="O389">
        <v>85</v>
      </c>
      <c r="P389">
        <v>2602.65</v>
      </c>
      <c r="Q389" t="str">
        <v>162.80</v>
      </c>
      <c r="R389" t="str">
        <v/>
      </c>
      <c r="S389" t="str">
        <v/>
      </c>
      <c r="T389" t="str">
        <v/>
      </c>
      <c r="U389" t="str">
        <v/>
      </c>
    </row>
    <row r="390">
      <c r="A390" t="str">
        <v>389</v>
      </c>
      <c r="B390" t="str">
        <v>MASS BSF</v>
      </c>
      <c r="C390" t="str">
        <v>AAR-880</v>
      </c>
      <c r="D390" t="str">
        <v>AAR-880</v>
      </c>
      <c r="E390" t="str">
        <v/>
      </c>
      <c r="F390" t="str">
        <v>867806078847433</v>
      </c>
      <c r="G390" t="str">
        <v>Otro</v>
      </c>
      <c r="H390" t="str">
        <v/>
      </c>
      <c r="I390" t="str">
        <v>28/09/2026</v>
      </c>
      <c r="J390" t="str">
        <v>18:28:42</v>
      </c>
      <c r="K390">
        <v>-12.211495</v>
      </c>
      <c r="L390">
        <v>-76.96179</v>
      </c>
      <c r="M390">
        <f>HYPERLINK("https://www.google.com/maps/search/?api=1&amp;query=-12.211495,-76.96179","Calle 1, Villa El Salvador, Lima")</f>
      </c>
      <c r="N390">
        <v>10.5</v>
      </c>
      <c r="O390">
        <v>85</v>
      </c>
      <c r="P390">
        <v>2602.66</v>
      </c>
      <c r="Q390" t="str">
        <v>162.80</v>
      </c>
      <c r="R390" t="str">
        <v/>
      </c>
      <c r="S390" t="str">
        <v/>
      </c>
      <c r="T390" t="str">
        <v/>
      </c>
      <c r="U390" t="str">
        <v/>
      </c>
    </row>
    <row r="391">
      <c r="A391" t="str">
        <v>390</v>
      </c>
      <c r="B391" t="str">
        <v>MASS BSF</v>
      </c>
      <c r="C391" t="str">
        <v>AAR-880</v>
      </c>
      <c r="D391" t="str">
        <v>AAR-880</v>
      </c>
      <c r="E391" t="str">
        <v/>
      </c>
      <c r="F391" t="str">
        <v>867806078847433</v>
      </c>
      <c r="G391" t="str">
        <v>Otro</v>
      </c>
      <c r="H391" t="str">
        <v/>
      </c>
      <c r="I391" t="str">
        <v>28/09/2026</v>
      </c>
      <c r="J391" t="str">
        <v>18:29:42</v>
      </c>
      <c r="K391">
        <v>-12.212785</v>
      </c>
      <c r="L391">
        <v>-76.96096</v>
      </c>
      <c r="M391">
        <f>HYPERLINK("https://www.google.com/maps/search/?api=1&amp;query=-12.212785,-76.96096","Calle 1, Villa El Salvador, Lima")</f>
      </c>
      <c r="N391">
        <v>9.4</v>
      </c>
      <c r="O391">
        <v>85</v>
      </c>
      <c r="P391">
        <v>2602.82</v>
      </c>
      <c r="Q391" t="str">
        <v>162.80</v>
      </c>
      <c r="R391" t="str">
        <v/>
      </c>
      <c r="S391" t="str">
        <v/>
      </c>
      <c r="T391" t="str">
        <v/>
      </c>
      <c r="U391" t="str">
        <v/>
      </c>
    </row>
    <row r="392">
      <c r="A392" t="str">
        <v>391</v>
      </c>
      <c r="B392" t="str">
        <v>MASS BSF</v>
      </c>
      <c r="C392" t="str">
        <v>AAR-880</v>
      </c>
      <c r="D392" t="str">
        <v>AAR-880</v>
      </c>
      <c r="E392" t="str">
        <v/>
      </c>
      <c r="F392" t="str">
        <v>867806078847433</v>
      </c>
      <c r="G392" t="str">
        <v>Otro</v>
      </c>
      <c r="H392" t="str">
        <v/>
      </c>
      <c r="I392" t="str">
        <v>28/09/2026</v>
      </c>
      <c r="J392" t="str">
        <v>18:30:21</v>
      </c>
      <c r="K392">
        <v>-12.213543</v>
      </c>
      <c r="L392">
        <v>-76.96052</v>
      </c>
      <c r="M392">
        <f>HYPERLINK("https://www.google.com/maps/search/?api=1&amp;query=-12.213543,-76.96052","Calle 1, Villa El Salvador, Lima")</f>
      </c>
      <c r="N392">
        <v>6.2</v>
      </c>
      <c r="O392">
        <v>85</v>
      </c>
      <c r="P392">
        <v>2602.91</v>
      </c>
      <c r="Q392" t="str">
        <v>162.80</v>
      </c>
      <c r="R392" t="str">
        <v/>
      </c>
      <c r="S392" t="str">
        <v/>
      </c>
      <c r="T392" t="str">
        <v/>
      </c>
      <c r="U392" t="str">
        <v/>
      </c>
    </row>
    <row r="393">
      <c r="A393" t="str">
        <v>392</v>
      </c>
      <c r="B393" t="str">
        <v>MASS BSF</v>
      </c>
      <c r="C393" t="str">
        <v>AAR-880</v>
      </c>
      <c r="D393" t="str">
        <v>AAR-880</v>
      </c>
      <c r="E393" t="str">
        <v/>
      </c>
      <c r="F393" t="str">
        <v>867806078847433</v>
      </c>
      <c r="G393" t="str">
        <v>Otro</v>
      </c>
      <c r="H393" t="str">
        <v/>
      </c>
      <c r="I393" t="str">
        <v>28/09/2026</v>
      </c>
      <c r="J393" t="str">
        <v>18:30:26</v>
      </c>
      <c r="K393">
        <v>-12.213572</v>
      </c>
      <c r="L393">
        <v>-76.960434</v>
      </c>
      <c r="M393">
        <f>HYPERLINK("https://www.google.com/maps/search/?api=1&amp;query=-12.213572,-76.960434","Avenida Villa del Mar, Villa El Salvador, Lima")</f>
      </c>
      <c r="N393">
        <v>8.5</v>
      </c>
      <c r="O393">
        <v>92</v>
      </c>
      <c r="P393">
        <v>2602.92</v>
      </c>
      <c r="Q393" t="str">
        <v>162.80</v>
      </c>
      <c r="R393" t="str">
        <v/>
      </c>
      <c r="S393" t="str">
        <v/>
      </c>
      <c r="T393" t="str">
        <v/>
      </c>
      <c r="U393" t="str">
        <v/>
      </c>
    </row>
    <row r="394">
      <c r="A394" t="str">
        <v>393</v>
      </c>
      <c r="B394" t="str">
        <v>MASS BSF</v>
      </c>
      <c r="C394" t="str">
        <v>AAR-880</v>
      </c>
      <c r="D394" t="str">
        <v>AAR-880</v>
      </c>
      <c r="E394" t="str">
        <v/>
      </c>
      <c r="F394" t="str">
        <v>867806078847433</v>
      </c>
      <c r="G394" t="str">
        <v>Otro</v>
      </c>
      <c r="H394" t="str">
        <v/>
      </c>
      <c r="I394" t="str">
        <v>28/09/2026</v>
      </c>
      <c r="J394" t="str">
        <v>18:30:31</v>
      </c>
      <c r="K394">
        <v>-12.213516</v>
      </c>
      <c r="L394">
        <v>-76.96034</v>
      </c>
      <c r="M394">
        <f>HYPERLINK("https://www.google.com/maps/search/?api=1&amp;query=-12.213516,-76.96034","Avenida Villa del Mar, Villa El Salvador, Lima")</f>
      </c>
      <c r="N394">
        <v>9</v>
      </c>
      <c r="O394">
        <v>92</v>
      </c>
      <c r="P394">
        <v>2602.93</v>
      </c>
      <c r="Q394" t="str">
        <v>162.80</v>
      </c>
      <c r="R394" t="str">
        <v/>
      </c>
      <c r="S394" t="str">
        <v/>
      </c>
      <c r="T394" t="str">
        <v/>
      </c>
      <c r="U394" t="str">
        <v/>
      </c>
    </row>
    <row r="395">
      <c r="A395" t="str">
        <v>394</v>
      </c>
      <c r="B395" t="str">
        <v>MASS BSF</v>
      </c>
      <c r="C395" t="str">
        <v>AAR-880</v>
      </c>
      <c r="D395" t="str">
        <v>AAR-880</v>
      </c>
      <c r="E395" t="str">
        <v/>
      </c>
      <c r="F395" t="str">
        <v>867806078847433</v>
      </c>
      <c r="G395" t="str">
        <v>Otro</v>
      </c>
      <c r="H395" t="str">
        <v/>
      </c>
      <c r="I395" t="str">
        <v>28/09/2026</v>
      </c>
      <c r="J395" t="str">
        <v>18:30:46</v>
      </c>
      <c r="K395">
        <v>-12.213397</v>
      </c>
      <c r="L395">
        <v>-76.9602</v>
      </c>
      <c r="M395">
        <f>HYPERLINK("https://www.google.com/maps/search/?api=1&amp;query=-12.213397,-76.9602","Avenida Villa del Mar, Villa El Salvador, Lima")</f>
      </c>
      <c r="N395">
        <v>6.8</v>
      </c>
      <c r="O395">
        <v>90</v>
      </c>
      <c r="P395">
        <v>2602.95</v>
      </c>
      <c r="Q395" t="str">
        <v>162.80</v>
      </c>
      <c r="R395" t="str">
        <v/>
      </c>
      <c r="S395" t="str">
        <v/>
      </c>
      <c r="T395" t="str">
        <v/>
      </c>
      <c r="U395" t="str">
        <v/>
      </c>
    </row>
    <row r="396">
      <c r="A396" t="str">
        <v>395</v>
      </c>
      <c r="B396" t="str">
        <v>MASS BSF</v>
      </c>
      <c r="C396" t="str">
        <v>AAR-880</v>
      </c>
      <c r="D396" t="str">
        <v>AAR-880</v>
      </c>
      <c r="E396" t="str">
        <v/>
      </c>
      <c r="F396" t="str">
        <v>867806078847433</v>
      </c>
      <c r="G396" t="str">
        <v>Otro</v>
      </c>
      <c r="H396" t="str">
        <v/>
      </c>
      <c r="I396" t="str">
        <v>28/09/2026</v>
      </c>
      <c r="J396" t="str">
        <v>18:31:26</v>
      </c>
      <c r="K396">
        <v>-12.212878</v>
      </c>
      <c r="L396">
        <v>-76.95937</v>
      </c>
      <c r="M396">
        <f>HYPERLINK("https://www.google.com/maps/search/?api=1&amp;query=-12.212878,-76.95937","Avenida Villa del Mar, Villa El Salvador, Lima")</f>
      </c>
      <c r="N396">
        <v>9.4</v>
      </c>
      <c r="O396">
        <v>90</v>
      </c>
      <c r="P396">
        <v>2603.05</v>
      </c>
      <c r="Q396" t="str">
        <v>162.80</v>
      </c>
      <c r="R396" t="str">
        <v/>
      </c>
      <c r="S396" t="str">
        <v/>
      </c>
      <c r="T396" t="str">
        <v/>
      </c>
      <c r="U396" t="str">
        <v/>
      </c>
    </row>
    <row r="397">
      <c r="A397" t="str">
        <v>396</v>
      </c>
      <c r="B397" t="str">
        <v>MASS BSF</v>
      </c>
      <c r="C397" t="str">
        <v>AAR-880</v>
      </c>
      <c r="D397" t="str">
        <v>AAR-880</v>
      </c>
      <c r="E397" t="str">
        <v/>
      </c>
      <c r="F397" t="str">
        <v>867806078847433</v>
      </c>
      <c r="G397" t="str">
        <v>Otro</v>
      </c>
      <c r="H397" t="str">
        <v/>
      </c>
      <c r="I397" t="str">
        <v>28/09/2026</v>
      </c>
      <c r="J397" t="str">
        <v>18:31:26</v>
      </c>
      <c r="K397">
        <v>-12.212878</v>
      </c>
      <c r="L397">
        <v>-76.95937</v>
      </c>
      <c r="M397">
        <f>HYPERLINK("https://www.google.com/maps/search/?api=1&amp;query=-12.212878,-76.95937","Avenida Villa del Mar, Villa El Salvador, Lima")</f>
      </c>
      <c r="N397">
        <v>9.4</v>
      </c>
      <c r="O397">
        <v>90</v>
      </c>
      <c r="P397">
        <v>2603.05</v>
      </c>
      <c r="Q397" t="str">
        <v>163.20</v>
      </c>
      <c r="R397" t="str">
        <v>Llegó a la zona</v>
      </c>
      <c r="S397" t="str">
        <v>BASE-OSLOGISTICS</v>
      </c>
      <c r="T397" t="str">
        <v xml:space="preserve"> </v>
      </c>
      <c r="U397" t="str">
        <v/>
      </c>
    </row>
    <row r="398">
      <c r="A398" t="str">
        <v>397</v>
      </c>
      <c r="B398" t="str">
        <v>MASS BSF</v>
      </c>
      <c r="C398" t="str">
        <v>AAR-880</v>
      </c>
      <c r="D398" t="str">
        <v>AAR-880</v>
      </c>
      <c r="E398" t="str">
        <v/>
      </c>
      <c r="F398" t="str">
        <v>867806078847433</v>
      </c>
      <c r="G398" t="str">
        <v>Otro</v>
      </c>
      <c r="H398" t="str">
        <v/>
      </c>
      <c r="I398" t="str">
        <v>28/09/2026</v>
      </c>
      <c r="J398" t="str">
        <v>18:32:26</v>
      </c>
      <c r="K398">
        <v>-12.212853</v>
      </c>
      <c r="L398">
        <v>-76.9593</v>
      </c>
      <c r="M398">
        <f>HYPERLINK("https://www.google.com/maps/search/?api=1&amp;query=-12.212853,-76.9593","Avenida Villa del Mar, Villa El Salvador, Lima")</f>
      </c>
      <c r="N398">
        <v>0</v>
      </c>
      <c r="O398">
        <v>90</v>
      </c>
      <c r="P398">
        <v>2603.06</v>
      </c>
      <c r="Q398" t="str">
        <v>162.80</v>
      </c>
      <c r="R398" t="str">
        <v/>
      </c>
      <c r="S398" t="str">
        <v/>
      </c>
      <c r="T398" t="str">
        <v/>
      </c>
      <c r="U398" t="str">
        <v/>
      </c>
    </row>
    <row r="399">
      <c r="A399" t="str">
        <v>398</v>
      </c>
      <c r="B399" t="str">
        <v>MASS BSF</v>
      </c>
      <c r="C399" t="str">
        <v>AAR-880</v>
      </c>
      <c r="D399" t="str">
        <v>AAR-880</v>
      </c>
      <c r="E399" t="str">
        <v/>
      </c>
      <c r="F399" t="str">
        <v>867806078847433</v>
      </c>
      <c r="G399" t="str">
        <v>Otro</v>
      </c>
      <c r="H399" t="str">
        <v/>
      </c>
      <c r="I399" t="str">
        <v>28/09/2026</v>
      </c>
      <c r="J399" t="str">
        <v>18:33:26</v>
      </c>
      <c r="K399">
        <v>-12.212872</v>
      </c>
      <c r="L399">
        <v>-76.95928</v>
      </c>
      <c r="M399">
        <f>HYPERLINK("https://www.google.com/maps/search/?api=1&amp;query=-12.212872,-76.95928","Avenida Villa del Mar, Villa El Salvador, Lima")</f>
      </c>
      <c r="N399">
        <v>0</v>
      </c>
      <c r="O399">
        <v>90</v>
      </c>
      <c r="P399">
        <v>2603.07</v>
      </c>
      <c r="Q399" t="str">
        <v>162.80</v>
      </c>
      <c r="R399" t="str">
        <v/>
      </c>
      <c r="S399" t="str">
        <v/>
      </c>
      <c r="T399" t="str">
        <v/>
      </c>
      <c r="U399" t="str">
        <v/>
      </c>
    </row>
    <row r="400">
      <c r="A400" t="str">
        <v>399</v>
      </c>
      <c r="B400" t="str">
        <v>MASS BSF</v>
      </c>
      <c r="C400" t="str">
        <v>AAR-880</v>
      </c>
      <c r="D400" t="str">
        <v>AAR-880</v>
      </c>
      <c r="E400" t="str">
        <v/>
      </c>
      <c r="F400" t="str">
        <v>867806078847433</v>
      </c>
      <c r="G400" t="str">
        <v>Otro</v>
      </c>
      <c r="H400" t="str">
        <v/>
      </c>
      <c r="I400" t="str">
        <v>28/09/2026</v>
      </c>
      <c r="J400" t="str">
        <v>18:34:26</v>
      </c>
      <c r="K400">
        <v>-12.212872</v>
      </c>
      <c r="L400">
        <v>-76.95928</v>
      </c>
      <c r="M400">
        <f>HYPERLINK("https://www.google.com/maps/search/?api=1&amp;query=-12.212872,-76.95928","Avenida Villa del Mar, Villa El Salvador, Lima")</f>
      </c>
      <c r="N400">
        <v>0</v>
      </c>
      <c r="O400">
        <v>89</v>
      </c>
      <c r="P400">
        <v>2603.07</v>
      </c>
      <c r="Q400" t="str">
        <v>162.80</v>
      </c>
      <c r="R400" t="str">
        <v/>
      </c>
      <c r="S400" t="str">
        <v/>
      </c>
      <c r="T400" t="str">
        <v/>
      </c>
      <c r="U400" t="str">
        <v/>
      </c>
    </row>
    <row r="401">
      <c r="A401" t="str">
        <v>400</v>
      </c>
      <c r="B401" t="str">
        <v>MASS BSF</v>
      </c>
      <c r="C401" t="str">
        <v>AAR-880</v>
      </c>
      <c r="D401" t="str">
        <v>AAR-880</v>
      </c>
      <c r="E401" t="str">
        <v/>
      </c>
      <c r="F401" t="str">
        <v>867806078847433</v>
      </c>
      <c r="G401" t="str">
        <v>Otro</v>
      </c>
      <c r="H401" t="str">
        <v/>
      </c>
      <c r="I401" t="str">
        <v>28/09/2026</v>
      </c>
      <c r="J401" t="str">
        <v>18:35:26</v>
      </c>
      <c r="K401">
        <v>-12.212872</v>
      </c>
      <c r="L401">
        <v>-76.95928</v>
      </c>
      <c r="M401">
        <f>HYPERLINK("https://www.google.com/maps/search/?api=1&amp;query=-12.212872,-76.95928","Avenida Villa del Mar, Villa El Salvador, Lima")</f>
      </c>
      <c r="N401">
        <v>0</v>
      </c>
      <c r="O401">
        <v>89</v>
      </c>
      <c r="P401">
        <v>2603.07</v>
      </c>
      <c r="Q401" t="str">
        <v>162.80</v>
      </c>
      <c r="R401" t="str">
        <v/>
      </c>
      <c r="S401" t="str">
        <v/>
      </c>
      <c r="T401" t="str">
        <v/>
      </c>
      <c r="U401" t="str">
        <v/>
      </c>
    </row>
    <row r="402">
      <c r="A402" t="str">
        <v>401</v>
      </c>
      <c r="B402" t="str">
        <v>MASS BSF</v>
      </c>
      <c r="C402" t="str">
        <v>AAR-880</v>
      </c>
      <c r="D402" t="str">
        <v>AAR-880</v>
      </c>
      <c r="E402" t="str">
        <v/>
      </c>
      <c r="F402" t="str">
        <v>867806078847433</v>
      </c>
      <c r="G402" t="str">
        <v>Otro</v>
      </c>
      <c r="H402" t="str">
        <v/>
      </c>
      <c r="I402" t="str">
        <v>28/09/2026</v>
      </c>
      <c r="J402" t="str">
        <v>18:36:26</v>
      </c>
      <c r="K402">
        <v>-12.212872</v>
      </c>
      <c r="L402">
        <v>-76.95928</v>
      </c>
      <c r="M402">
        <f>HYPERLINK("https://www.google.com/maps/search/?api=1&amp;query=-12.212872,-76.95928","Avenida Villa del Mar, Villa El Salvador, Lima")</f>
      </c>
      <c r="N402">
        <v>0</v>
      </c>
      <c r="O402">
        <v>85</v>
      </c>
      <c r="P402">
        <v>2603.07</v>
      </c>
      <c r="Q402" t="str">
        <v>162.80</v>
      </c>
      <c r="R402" t="str">
        <v/>
      </c>
      <c r="S402" t="str">
        <v/>
      </c>
      <c r="T402" t="str">
        <v/>
      </c>
      <c r="U402" t="str">
        <v/>
      </c>
    </row>
    <row r="403">
      <c r="A403" t="str">
        <v>402</v>
      </c>
      <c r="B403" t="str">
        <v>MASS BSF</v>
      </c>
      <c r="C403" t="str">
        <v>AAR-880</v>
      </c>
      <c r="D403" t="str">
        <v>AAR-880</v>
      </c>
      <c r="E403" t="str">
        <v/>
      </c>
      <c r="F403" t="str">
        <v>867806078847433</v>
      </c>
      <c r="G403" t="str">
        <v>Otro</v>
      </c>
      <c r="H403" t="str">
        <v/>
      </c>
      <c r="I403" t="str">
        <v>28/09/2026</v>
      </c>
      <c r="J403" t="str">
        <v>18:37:21</v>
      </c>
      <c r="K403">
        <v>-12.212822</v>
      </c>
      <c r="L403">
        <v>-76.95927</v>
      </c>
      <c r="M403">
        <f>HYPERLINK("https://www.google.com/maps/search/?api=1&amp;query=-12.212822,-76.95927","Avenida Villa del Mar, Villa El Salvador, Lima")</f>
      </c>
      <c r="N403">
        <v>6.6</v>
      </c>
      <c r="O403">
        <v>91</v>
      </c>
      <c r="P403">
        <v>2603.07</v>
      </c>
      <c r="Q403" t="str">
        <v>162.80</v>
      </c>
      <c r="R403" t="str">
        <v/>
      </c>
      <c r="S403" t="str">
        <v/>
      </c>
      <c r="T403" t="str">
        <v/>
      </c>
      <c r="U403" t="str">
        <v/>
      </c>
    </row>
    <row r="404">
      <c r="A404" t="str">
        <v>403</v>
      </c>
      <c r="B404" t="str">
        <v>MASS BSF</v>
      </c>
      <c r="C404" t="str">
        <v>AAR-880</v>
      </c>
      <c r="D404" t="str">
        <v>AAR-880</v>
      </c>
      <c r="E404" t="str">
        <v/>
      </c>
      <c r="F404" t="str">
        <v>867806078847433</v>
      </c>
      <c r="G404" t="str">
        <v>Otro</v>
      </c>
      <c r="H404" t="str">
        <v/>
      </c>
      <c r="I404" t="str">
        <v>28/09/2026</v>
      </c>
      <c r="J404" t="str">
        <v>18:37:43</v>
      </c>
      <c r="K404">
        <v>-12.212916</v>
      </c>
      <c r="L404">
        <v>-76.959145</v>
      </c>
      <c r="M404">
        <f>HYPERLINK("https://www.google.com/maps/search/?api=1&amp;query=-12.212916,-76.959145","Avenida Villa del Mar, Villa El Salvador, Lima")</f>
      </c>
      <c r="N404">
        <v>6.6</v>
      </c>
      <c r="O404">
        <v>91</v>
      </c>
      <c r="P404">
        <v>2603.09</v>
      </c>
      <c r="Q404" t="str">
        <v>162.80</v>
      </c>
      <c r="R404" t="str">
        <v/>
      </c>
      <c r="S404" t="str">
        <v/>
      </c>
      <c r="T404" t="str">
        <v/>
      </c>
      <c r="U404" t="str">
        <v/>
      </c>
    </row>
    <row r="405">
      <c r="A405" t="str">
        <v>404</v>
      </c>
      <c r="B405" t="str">
        <v>MASS BSF</v>
      </c>
      <c r="C405" t="str">
        <v>AAR-880</v>
      </c>
      <c r="D405" t="str">
        <v>AAR-880</v>
      </c>
      <c r="E405" t="str">
        <v/>
      </c>
      <c r="F405" t="str">
        <v>867806078847433</v>
      </c>
      <c r="G405" t="str">
        <v>Otro</v>
      </c>
      <c r="H405" t="str">
        <v/>
      </c>
      <c r="I405" t="str">
        <v>28/09/2026</v>
      </c>
      <c r="J405" t="str">
        <v>18:38:43</v>
      </c>
      <c r="K405">
        <v>-12.213032</v>
      </c>
      <c r="L405">
        <v>-76.959076</v>
      </c>
      <c r="M405">
        <f>HYPERLINK("https://www.google.com/maps/search/?api=1&amp;query=-12.213032,-76.959076","Avenida Villa del Mar, Villa El Salvador, Lima")</f>
      </c>
      <c r="N405">
        <v>0</v>
      </c>
      <c r="O405">
        <v>91</v>
      </c>
      <c r="P405">
        <v>2603.1</v>
      </c>
      <c r="Q405" t="str">
        <v>162.80</v>
      </c>
      <c r="R405" t="str">
        <v/>
      </c>
      <c r="S405" t="str">
        <v/>
      </c>
      <c r="T405" t="str">
        <v/>
      </c>
      <c r="U405" t="str">
        <v/>
      </c>
    </row>
    <row r="406">
      <c r="A406" t="str">
        <v>405</v>
      </c>
      <c r="B406" t="str">
        <v>MASS BSF</v>
      </c>
      <c r="C406" t="str">
        <v>AAR-880</v>
      </c>
      <c r="D406" t="str">
        <v>AAR-880</v>
      </c>
      <c r="E406" t="str">
        <v/>
      </c>
      <c r="F406" t="str">
        <v>867806078847433</v>
      </c>
      <c r="G406" t="str">
        <v>Otro</v>
      </c>
      <c r="H406" t="str">
        <v/>
      </c>
      <c r="I406" t="str">
        <v>28/09/2026</v>
      </c>
      <c r="J406" t="str">
        <v>18:39:43</v>
      </c>
      <c r="K406">
        <v>-12.213032</v>
      </c>
      <c r="L406">
        <v>-76.959076</v>
      </c>
      <c r="M406">
        <f>HYPERLINK("https://www.google.com/maps/search/?api=1&amp;query=-12.213032,-76.959076","Avenida Villa del Mar, Villa El Salvador, Lima")</f>
      </c>
      <c r="N406">
        <v>0</v>
      </c>
      <c r="O406">
        <v>91</v>
      </c>
      <c r="P406">
        <v>2603.1</v>
      </c>
      <c r="Q406" t="str">
        <v>162.80</v>
      </c>
      <c r="R406" t="str">
        <v/>
      </c>
      <c r="S406" t="str">
        <v/>
      </c>
      <c r="T406" t="str">
        <v/>
      </c>
      <c r="U406" t="str">
        <v/>
      </c>
    </row>
    <row r="407">
      <c r="A407" t="str">
        <v>406</v>
      </c>
      <c r="B407" t="str">
        <v>MASS BSF</v>
      </c>
      <c r="C407" t="str">
        <v>AAR-880</v>
      </c>
      <c r="D407" t="str">
        <v>AAR-880</v>
      </c>
      <c r="E407" t="str">
        <v/>
      </c>
      <c r="F407" t="str">
        <v>867806078847433</v>
      </c>
      <c r="G407" t="str">
        <v>Otro</v>
      </c>
      <c r="H407" t="str">
        <v/>
      </c>
      <c r="I407" t="str">
        <v>28/09/2026</v>
      </c>
      <c r="J407" t="str">
        <v>18:40:43</v>
      </c>
      <c r="K407">
        <v>-12.213032</v>
      </c>
      <c r="L407">
        <v>-76.959076</v>
      </c>
      <c r="M407">
        <f>HYPERLINK("https://www.google.com/maps/search/?api=1&amp;query=-12.213032,-76.959076","Avenida Villa del Mar, Villa El Salvador, Lima")</f>
      </c>
      <c r="N407">
        <v>0</v>
      </c>
      <c r="O407">
        <v>91</v>
      </c>
      <c r="P407">
        <v>2603.1</v>
      </c>
      <c r="Q407" t="str">
        <v>162.80</v>
      </c>
      <c r="R407" t="str">
        <v/>
      </c>
      <c r="S407" t="str">
        <v/>
      </c>
      <c r="T407" t="str">
        <v/>
      </c>
      <c r="U407" t="str">
        <v/>
      </c>
    </row>
    <row r="408">
      <c r="A408" t="str">
        <v>407</v>
      </c>
      <c r="B408" t="str">
        <v>MASS BSF</v>
      </c>
      <c r="C408" t="str">
        <v>AAR-880</v>
      </c>
      <c r="D408" t="str">
        <v>AAR-880</v>
      </c>
      <c r="E408" t="str">
        <v/>
      </c>
      <c r="F408" t="str">
        <v>867806078847433</v>
      </c>
      <c r="G408" t="str">
        <v>Otro</v>
      </c>
      <c r="H408" t="str">
        <v/>
      </c>
      <c r="I408" t="str">
        <v>28/09/2026</v>
      </c>
      <c r="J408" t="str">
        <v>18:41:43</v>
      </c>
      <c r="K408">
        <v>-12.213032</v>
      </c>
      <c r="L408">
        <v>-76.959076</v>
      </c>
      <c r="M408">
        <f>HYPERLINK("https://www.google.com/maps/search/?api=1&amp;query=-12.213032,-76.959076","Avenida Villa del Mar, Villa El Salvador, Lima")</f>
      </c>
      <c r="N408">
        <v>0</v>
      </c>
      <c r="O408">
        <v>91</v>
      </c>
      <c r="P408">
        <v>2603.1</v>
      </c>
      <c r="Q408" t="str">
        <v>162.80</v>
      </c>
      <c r="R408" t="str">
        <v/>
      </c>
      <c r="S408" t="str">
        <v/>
      </c>
      <c r="T408" t="str">
        <v/>
      </c>
      <c r="U408" t="str">
        <v/>
      </c>
    </row>
    <row r="409">
      <c r="A409" t="str">
        <v>408</v>
      </c>
      <c r="B409" t="str">
        <v>MASS BSF</v>
      </c>
      <c r="C409" t="str">
        <v>AAR-880</v>
      </c>
      <c r="D409" t="str">
        <v>AAR-880</v>
      </c>
      <c r="E409" t="str">
        <v/>
      </c>
      <c r="F409" t="str">
        <v>867806078847433</v>
      </c>
      <c r="G409" t="str">
        <v>Otro</v>
      </c>
      <c r="H409" t="str">
        <v/>
      </c>
      <c r="I409" t="str">
        <v>28/09/2026</v>
      </c>
      <c r="J409" t="str">
        <v>18:42:43</v>
      </c>
      <c r="K409">
        <v>-12.213032</v>
      </c>
      <c r="L409">
        <v>-76.959076</v>
      </c>
      <c r="M409">
        <f>HYPERLINK("https://www.google.com/maps/search/?api=1&amp;query=-12.213032,-76.959076","Avenida Villa del Mar, Villa El Salvador, Lima")</f>
      </c>
      <c r="N409">
        <v>0</v>
      </c>
      <c r="O409">
        <v>92</v>
      </c>
      <c r="P409">
        <v>2603.1</v>
      </c>
      <c r="Q409" t="str">
        <v>162.80</v>
      </c>
      <c r="R409" t="str">
        <v/>
      </c>
      <c r="S409" t="str">
        <v/>
      </c>
      <c r="T409" t="str">
        <v/>
      </c>
      <c r="U409" t="str">
        <v/>
      </c>
    </row>
    <row r="410">
      <c r="A410" t="str">
        <v>409</v>
      </c>
      <c r="B410" t="str">
        <v>MASS BSF</v>
      </c>
      <c r="C410" t="str">
        <v>AAR-880</v>
      </c>
      <c r="D410" t="str">
        <v>AAR-880</v>
      </c>
      <c r="E410" t="str">
        <v/>
      </c>
      <c r="F410" t="str">
        <v>867806078847433</v>
      </c>
      <c r="G410" t="str">
        <v>Otro</v>
      </c>
      <c r="H410" t="str">
        <v/>
      </c>
      <c r="I410" t="str">
        <v>28/09/2026</v>
      </c>
      <c r="J410" t="str">
        <v>18:43:43</v>
      </c>
      <c r="K410">
        <v>-12.213032</v>
      </c>
      <c r="L410">
        <v>-76.959076</v>
      </c>
      <c r="M410">
        <f>HYPERLINK("https://www.google.com/maps/search/?api=1&amp;query=-12.213032,-76.959076","Avenida Villa del Mar, Villa El Salvador, Lima")</f>
      </c>
      <c r="N410">
        <v>0</v>
      </c>
      <c r="O410">
        <v>92</v>
      </c>
      <c r="P410">
        <v>2603.1</v>
      </c>
      <c r="Q410" t="str">
        <v>162.80</v>
      </c>
      <c r="R410" t="str">
        <v/>
      </c>
      <c r="S410" t="str">
        <v/>
      </c>
      <c r="T410" t="str">
        <v/>
      </c>
      <c r="U410" t="str">
        <v/>
      </c>
    </row>
    <row r="411">
      <c r="A411" t="str">
        <v>410</v>
      </c>
      <c r="B411" t="str">
        <v>MASS BSF</v>
      </c>
      <c r="C411" t="str">
        <v>AAR-880</v>
      </c>
      <c r="D411" t="str">
        <v>AAR-880</v>
      </c>
      <c r="E411" t="str">
        <v/>
      </c>
      <c r="F411" t="str">
        <v>867806078847433</v>
      </c>
      <c r="G411" t="str">
        <v>Otro</v>
      </c>
      <c r="H411" t="str">
        <v/>
      </c>
      <c r="I411" t="str">
        <v>28/09/2026</v>
      </c>
      <c r="J411" t="str">
        <v>18:44:43</v>
      </c>
      <c r="K411">
        <v>-12.213032</v>
      </c>
      <c r="L411">
        <v>-76.959076</v>
      </c>
      <c r="M411">
        <f>HYPERLINK("https://www.google.com/maps/search/?api=1&amp;query=-12.213032,-76.959076","Avenida Villa del Mar, Villa El Salvador, Lima")</f>
      </c>
      <c r="N411">
        <v>0</v>
      </c>
      <c r="O411">
        <v>92</v>
      </c>
      <c r="P411">
        <v>2603.1</v>
      </c>
      <c r="Q411" t="str">
        <v>162.80</v>
      </c>
      <c r="R411" t="str">
        <v/>
      </c>
      <c r="S411" t="str">
        <v/>
      </c>
      <c r="T411" t="str">
        <v/>
      </c>
      <c r="U411" t="str">
        <v/>
      </c>
    </row>
    <row r="412">
      <c r="A412" t="str">
        <v>411</v>
      </c>
      <c r="B412" t="str">
        <v>MASS BSF</v>
      </c>
      <c r="C412" t="str">
        <v>AAR-880</v>
      </c>
      <c r="D412" t="str">
        <v>AAR-880</v>
      </c>
      <c r="E412" t="str">
        <v/>
      </c>
      <c r="F412" t="str">
        <v>867806078847433</v>
      </c>
      <c r="G412" t="str">
        <v>Otro</v>
      </c>
      <c r="H412" t="str">
        <v/>
      </c>
      <c r="I412" t="str">
        <v>28/09/2026</v>
      </c>
      <c r="J412" t="str">
        <v>18:45:24</v>
      </c>
      <c r="K412">
        <v>-12.213032</v>
      </c>
      <c r="L412">
        <v>-76.959076</v>
      </c>
      <c r="M412">
        <f>HYPERLINK("https://www.google.com/maps/search/?api=1&amp;query=-12.213032,-76.959076","Avenida Villa del Mar, Villa El Salvador, Lima")</f>
      </c>
      <c r="N412">
        <v>0</v>
      </c>
      <c r="O412">
        <v>92</v>
      </c>
      <c r="P412">
        <v>2603.1</v>
      </c>
      <c r="Q412" t="str">
        <v>163.82</v>
      </c>
      <c r="R412" t="str">
        <v>Vehículo apagado</v>
      </c>
      <c r="S412" t="str">
        <v/>
      </c>
      <c r="T412" t="str">
        <v/>
      </c>
      <c r="U412" t="str">
        <v/>
      </c>
    </row>
    <row r="413">
      <c r="A413" t="str">
        <v>412</v>
      </c>
      <c r="B413" t="str">
        <v>MASS BSF</v>
      </c>
      <c r="C413" t="str">
        <v>AAR-880</v>
      </c>
      <c r="D413" t="str">
        <v>AAR-880</v>
      </c>
      <c r="E413" t="str">
        <v/>
      </c>
      <c r="F413" t="str">
        <v>867806078847433</v>
      </c>
      <c r="G413" t="str">
        <v>Otro</v>
      </c>
      <c r="H413" t="str">
        <v/>
      </c>
      <c r="I413" t="str">
        <v>28/09/2026</v>
      </c>
      <c r="J413" t="str">
        <v>18:55:24</v>
      </c>
      <c r="K413">
        <v>-12.213032</v>
      </c>
      <c r="L413">
        <v>-76.959076</v>
      </c>
      <c r="M413">
        <f>HYPERLINK("https://www.google.com/maps/search/?api=1&amp;query=-12.213032,-76.959076","Avenida Villa del Mar, Villa El Salvador, Lima")</f>
      </c>
      <c r="N413">
        <v>0</v>
      </c>
      <c r="O413">
        <v>92</v>
      </c>
      <c r="P413">
        <v>2603.1</v>
      </c>
      <c r="Q413" t="str">
        <v>163.82</v>
      </c>
      <c r="R413" t="str">
        <v/>
      </c>
      <c r="S413" t="str">
        <v/>
      </c>
      <c r="T413" t="str">
        <v/>
      </c>
      <c r="U413" t="str">
        <v/>
      </c>
    </row>
    <row r="414">
      <c r="A414" t="str">
        <v>413</v>
      </c>
      <c r="B414" t="str">
        <v>MASS BSF</v>
      </c>
      <c r="C414" t="str">
        <v>AAR-880</v>
      </c>
      <c r="D414" t="str">
        <v>AAR-880</v>
      </c>
      <c r="E414" t="str">
        <v/>
      </c>
      <c r="F414" t="str">
        <v>867806078847433</v>
      </c>
      <c r="G414" t="str">
        <v>Otro</v>
      </c>
      <c r="H414" t="str">
        <v/>
      </c>
      <c r="I414" t="str">
        <v>28/09/2026</v>
      </c>
      <c r="J414" t="str">
        <v>19:05:24</v>
      </c>
      <c r="K414">
        <v>-12.213032</v>
      </c>
      <c r="L414">
        <v>-76.959076</v>
      </c>
      <c r="M414">
        <f>HYPERLINK("https://www.google.com/maps/search/?api=1&amp;query=-12.213032,-76.959076","Avenida Villa del Mar, Villa El Salvador, Lima")</f>
      </c>
      <c r="N414">
        <v>0</v>
      </c>
      <c r="O414">
        <v>92</v>
      </c>
      <c r="P414">
        <v>2603.1</v>
      </c>
      <c r="Q414" t="str">
        <v>163.82</v>
      </c>
      <c r="R414" t="str">
        <v/>
      </c>
      <c r="S414" t="str">
        <v/>
      </c>
      <c r="T414" t="str">
        <v/>
      </c>
      <c r="U414" t="str">
        <v/>
      </c>
    </row>
    <row r="415">
      <c r="A415" t="str">
        <v>414</v>
      </c>
      <c r="B415" t="str">
        <v>MASS BSF</v>
      </c>
      <c r="C415" t="str">
        <v>AAR-880</v>
      </c>
      <c r="D415" t="str">
        <v>AAR-880</v>
      </c>
      <c r="E415" t="str">
        <v/>
      </c>
      <c r="F415" t="str">
        <v>867806078847433</v>
      </c>
      <c r="G415" t="str">
        <v>Otro</v>
      </c>
      <c r="H415" t="str">
        <v/>
      </c>
      <c r="I415" t="str">
        <v>28/09/2026</v>
      </c>
      <c r="J415" t="str">
        <v>19:15:24</v>
      </c>
      <c r="K415">
        <v>-12.213032</v>
      </c>
      <c r="L415">
        <v>-76.959076</v>
      </c>
      <c r="M415">
        <f>HYPERLINK("https://www.google.com/maps/search/?api=1&amp;query=-12.213032,-76.959076","Avenida Villa del Mar, Villa El Salvador, Lima")</f>
      </c>
      <c r="N415">
        <v>0</v>
      </c>
      <c r="O415">
        <v>92</v>
      </c>
      <c r="P415">
        <v>2603.1</v>
      </c>
      <c r="Q415" t="str">
        <v>163.82</v>
      </c>
      <c r="R415" t="str">
        <v/>
      </c>
      <c r="S415" t="str">
        <v/>
      </c>
      <c r="T415" t="str">
        <v/>
      </c>
      <c r="U415" t="str">
        <v/>
      </c>
    </row>
    <row r="416">
      <c r="A416" t="str">
        <v>415</v>
      </c>
      <c r="B416" t="str">
        <v>MASS BSF</v>
      </c>
      <c r="C416" t="str">
        <v>AAR-880</v>
      </c>
      <c r="D416" t="str">
        <v>AAR-880</v>
      </c>
      <c r="E416" t="str">
        <v/>
      </c>
      <c r="F416" t="str">
        <v>867806078847433</v>
      </c>
      <c r="G416" t="str">
        <v>Otro</v>
      </c>
      <c r="H416" t="str">
        <v/>
      </c>
      <c r="I416" t="str">
        <v>28/09/2026</v>
      </c>
      <c r="J416" t="str">
        <v>19:25:24</v>
      </c>
      <c r="K416">
        <v>-12.213032</v>
      </c>
      <c r="L416">
        <v>-76.959076</v>
      </c>
      <c r="M416">
        <f>HYPERLINK("https://www.google.com/maps/search/?api=1&amp;query=-12.213032,-76.959076","Avenida Villa del Mar, Villa El Salvador, Lima")</f>
      </c>
      <c r="N416">
        <v>0</v>
      </c>
      <c r="O416">
        <v>92</v>
      </c>
      <c r="P416">
        <v>2603.1</v>
      </c>
      <c r="Q416" t="str">
        <v>163.82</v>
      </c>
      <c r="R416" t="str">
        <v/>
      </c>
      <c r="S416" t="str">
        <v/>
      </c>
      <c r="T416" t="str">
        <v/>
      </c>
      <c r="U416" t="str">
        <v/>
      </c>
    </row>
    <row r="417">
      <c r="A417" t="str">
        <v>416</v>
      </c>
      <c r="B417" t="str">
        <v>MASS BSF</v>
      </c>
      <c r="C417" t="str">
        <v>AAR-880</v>
      </c>
      <c r="D417" t="str">
        <v>AAR-880</v>
      </c>
      <c r="E417" t="str">
        <v/>
      </c>
      <c r="F417" t="str">
        <v>867806078847433</v>
      </c>
      <c r="G417" t="str">
        <v>Otro</v>
      </c>
      <c r="H417" t="str">
        <v/>
      </c>
      <c r="I417" t="str">
        <v>28/09/2026</v>
      </c>
      <c r="J417" t="str">
        <v>19:35:24</v>
      </c>
      <c r="K417">
        <v>-12.213032</v>
      </c>
      <c r="L417">
        <v>-76.959076</v>
      </c>
      <c r="M417">
        <f>HYPERLINK("https://www.google.com/maps/search/?api=1&amp;query=-12.213032,-76.959076","Avenida Villa del Mar, Villa El Salvador, Lima")</f>
      </c>
      <c r="N417">
        <v>0</v>
      </c>
      <c r="O417">
        <v>82</v>
      </c>
      <c r="P417">
        <v>2603.1</v>
      </c>
      <c r="Q417" t="str">
        <v>163.82</v>
      </c>
      <c r="R417" t="str">
        <v/>
      </c>
      <c r="S417" t="str">
        <v/>
      </c>
      <c r="T417" t="str">
        <v/>
      </c>
      <c r="U417" t="str">
        <v/>
      </c>
    </row>
    <row r="418">
      <c r="A418" t="str">
        <v>417</v>
      </c>
      <c r="B418" t="str">
        <v>MASS BSF</v>
      </c>
      <c r="C418" t="str">
        <v>AAR-880</v>
      </c>
      <c r="D418" t="str">
        <v>AAR-880</v>
      </c>
      <c r="E418" t="str">
        <v/>
      </c>
      <c r="F418" t="str">
        <v>867806078847433</v>
      </c>
      <c r="G418" t="str">
        <v>Otro</v>
      </c>
      <c r="H418" t="str">
        <v/>
      </c>
      <c r="I418" t="str">
        <v>28/09/2026</v>
      </c>
      <c r="J418" t="str">
        <v>19:45:24</v>
      </c>
      <c r="K418">
        <v>-12.213032</v>
      </c>
      <c r="L418">
        <v>-76.959076</v>
      </c>
      <c r="M418">
        <f>HYPERLINK("https://www.google.com/maps/search/?api=1&amp;query=-12.213032,-76.959076","Avenida Villa del Mar, Villa El Salvador, Lima")</f>
      </c>
      <c r="N418">
        <v>0</v>
      </c>
      <c r="O418">
        <v>82</v>
      </c>
      <c r="P418">
        <v>2603.1</v>
      </c>
      <c r="Q418" t="str">
        <v>163.82</v>
      </c>
      <c r="R418" t="str">
        <v/>
      </c>
      <c r="S418" t="str">
        <v/>
      </c>
      <c r="T418" t="str">
        <v/>
      </c>
      <c r="U418" t="str">
        <v/>
      </c>
    </row>
    <row r="419">
      <c r="A419" t="str">
        <v>418</v>
      </c>
      <c r="B419" t="str">
        <v>MASS BSF</v>
      </c>
      <c r="C419" t="str">
        <v>AAR-880</v>
      </c>
      <c r="D419" t="str">
        <v>AAR-880</v>
      </c>
      <c r="E419" t="str">
        <v/>
      </c>
      <c r="F419" t="str">
        <v>867806078847433</v>
      </c>
      <c r="G419" t="str">
        <v>Otro</v>
      </c>
      <c r="H419" t="str">
        <v/>
      </c>
      <c r="I419" t="str">
        <v>28/09/2026</v>
      </c>
      <c r="J419" t="str">
        <v>19:55:24</v>
      </c>
      <c r="K419">
        <v>-12.213032</v>
      </c>
      <c r="L419">
        <v>-76.959076</v>
      </c>
      <c r="M419">
        <f>HYPERLINK("https://www.google.com/maps/search/?api=1&amp;query=-12.213032,-76.959076","Avenida Villa del Mar, Villa El Salvador, Lima")</f>
      </c>
      <c r="N419">
        <v>0</v>
      </c>
      <c r="O419">
        <v>84</v>
      </c>
      <c r="P419">
        <v>2603.1</v>
      </c>
      <c r="Q419" t="str">
        <v>163.82</v>
      </c>
      <c r="R419" t="str">
        <v/>
      </c>
      <c r="S419" t="str">
        <v/>
      </c>
      <c r="T419" t="str">
        <v/>
      </c>
      <c r="U419" t="str">
        <v/>
      </c>
    </row>
    <row r="420">
      <c r="A420" t="str">
        <v>419</v>
      </c>
      <c r="B420" t="str">
        <v>MASS BSF</v>
      </c>
      <c r="C420" t="str">
        <v>AAR-880</v>
      </c>
      <c r="D420" t="str">
        <v>AAR-880</v>
      </c>
      <c r="E420" t="str">
        <v/>
      </c>
      <c r="F420" t="str">
        <v>867806078847433</v>
      </c>
      <c r="G420" t="str">
        <v>Otro</v>
      </c>
      <c r="H420" t="str">
        <v/>
      </c>
      <c r="I420" t="str">
        <v>28/09/2026</v>
      </c>
      <c r="J420" t="str">
        <v>20:05:24</v>
      </c>
      <c r="K420">
        <v>-12.213032</v>
      </c>
      <c r="L420">
        <v>-76.959076</v>
      </c>
      <c r="M420">
        <f>HYPERLINK("https://www.google.com/maps/search/?api=1&amp;query=-12.213032,-76.959076","Avenida Villa del Mar, Villa El Salvador, Lima")</f>
      </c>
      <c r="N420">
        <v>0</v>
      </c>
      <c r="O420">
        <v>84</v>
      </c>
      <c r="P420">
        <v>2603.1</v>
      </c>
      <c r="Q420" t="str">
        <v>163.82</v>
      </c>
      <c r="R420" t="str">
        <v/>
      </c>
      <c r="S420" t="str">
        <v/>
      </c>
      <c r="T420" t="str">
        <v/>
      </c>
      <c r="U420" t="str">
        <v/>
      </c>
    </row>
    <row r="421">
      <c r="A421" t="str">
        <v>420</v>
      </c>
      <c r="B421" t="str">
        <v>MASS BSF</v>
      </c>
      <c r="C421" t="str">
        <v>AAR-880</v>
      </c>
      <c r="D421" t="str">
        <v>AAR-880</v>
      </c>
      <c r="E421" t="str">
        <v/>
      </c>
      <c r="F421" t="str">
        <v>867806078847433</v>
      </c>
      <c r="G421" t="str">
        <v>Otro</v>
      </c>
      <c r="H421" t="str">
        <v/>
      </c>
      <c r="I421" t="str">
        <v>28/09/2026</v>
      </c>
      <c r="J421" t="str">
        <v>20:15:24</v>
      </c>
      <c r="K421">
        <v>-12.213032</v>
      </c>
      <c r="L421">
        <v>-76.959076</v>
      </c>
      <c r="M421">
        <f>HYPERLINK("https://www.google.com/maps/search/?api=1&amp;query=-12.213032,-76.959076","Avenida Villa del Mar, Villa El Salvador, Lima")</f>
      </c>
      <c r="N421">
        <v>0</v>
      </c>
      <c r="O421">
        <v>84</v>
      </c>
      <c r="P421">
        <v>2603.1</v>
      </c>
      <c r="Q421" t="str">
        <v>163.82</v>
      </c>
      <c r="R421" t="str">
        <v/>
      </c>
      <c r="S421" t="str">
        <v/>
      </c>
      <c r="T421" t="str">
        <v/>
      </c>
      <c r="U421" t="str">
        <v/>
      </c>
    </row>
    <row r="422">
      <c r="A422" t="str">
        <v>421</v>
      </c>
      <c r="B422" t="str">
        <v>MASS BSF</v>
      </c>
      <c r="C422" t="str">
        <v>AAR-880</v>
      </c>
      <c r="D422" t="str">
        <v>AAR-880</v>
      </c>
      <c r="E422" t="str">
        <v/>
      </c>
      <c r="F422" t="str">
        <v>867806078847433</v>
      </c>
      <c r="G422" t="str">
        <v>Otro</v>
      </c>
      <c r="H422" t="str">
        <v/>
      </c>
      <c r="I422" t="str">
        <v>28/09/2026</v>
      </c>
      <c r="J422" t="str">
        <v>20:25:24</v>
      </c>
      <c r="K422">
        <v>-12.213032</v>
      </c>
      <c r="L422">
        <v>-76.959076</v>
      </c>
      <c r="M422">
        <f>HYPERLINK("https://www.google.com/maps/search/?api=1&amp;query=-12.213032,-76.959076","Avenida Villa del Mar, Villa El Salvador, Lima")</f>
      </c>
      <c r="N422">
        <v>0</v>
      </c>
      <c r="O422">
        <v>84</v>
      </c>
      <c r="P422">
        <v>2603.1</v>
      </c>
      <c r="Q422" t="str">
        <v>163.82</v>
      </c>
      <c r="R422" t="str">
        <v/>
      </c>
      <c r="S422" t="str">
        <v/>
      </c>
      <c r="T422" t="str">
        <v/>
      </c>
      <c r="U422" t="str">
        <v/>
      </c>
    </row>
    <row r="423">
      <c r="A423" t="str">
        <v>422</v>
      </c>
      <c r="B423" t="str">
        <v>MASS BSF</v>
      </c>
      <c r="C423" t="str">
        <v>AAR-880</v>
      </c>
      <c r="D423" t="str">
        <v>AAR-880</v>
      </c>
      <c r="E423" t="str">
        <v/>
      </c>
      <c r="F423" t="str">
        <v>867806078847433</v>
      </c>
      <c r="G423" t="str">
        <v>Otro</v>
      </c>
      <c r="H423" t="str">
        <v/>
      </c>
      <c r="I423" t="str">
        <v>28/09/2026</v>
      </c>
      <c r="J423" t="str">
        <v>20:35:24</v>
      </c>
      <c r="K423">
        <v>-12.213032</v>
      </c>
      <c r="L423">
        <v>-76.959076</v>
      </c>
      <c r="M423">
        <f>HYPERLINK("https://www.google.com/maps/search/?api=1&amp;query=-12.213032,-76.959076","Avenida Villa del Mar, Villa El Salvador, Lima")</f>
      </c>
      <c r="N423">
        <v>0</v>
      </c>
      <c r="O423">
        <v>84</v>
      </c>
      <c r="P423">
        <v>2603.1</v>
      </c>
      <c r="Q423" t="str">
        <v>163.82</v>
      </c>
      <c r="R423" t="str">
        <v/>
      </c>
      <c r="S423" t="str">
        <v/>
      </c>
      <c r="T423" t="str">
        <v/>
      </c>
      <c r="U423" t="str">
        <v/>
      </c>
    </row>
    <row r="424">
      <c r="A424" t="str">
        <v>423</v>
      </c>
      <c r="B424" t="str">
        <v>MASS BSF</v>
      </c>
      <c r="C424" t="str">
        <v>AAR-880</v>
      </c>
      <c r="D424" t="str">
        <v>AAR-880</v>
      </c>
      <c r="E424" t="str">
        <v/>
      </c>
      <c r="F424" t="str">
        <v>867806078847433</v>
      </c>
      <c r="G424" t="str">
        <v>Otro</v>
      </c>
      <c r="H424" t="str">
        <v/>
      </c>
      <c r="I424" t="str">
        <v>28/09/2026</v>
      </c>
      <c r="J424" t="str">
        <v>20:45:24</v>
      </c>
      <c r="K424">
        <v>-12.213032</v>
      </c>
      <c r="L424">
        <v>-76.959076</v>
      </c>
      <c r="M424">
        <f>HYPERLINK("https://www.google.com/maps/search/?api=1&amp;query=-12.213032,-76.959076","Avenida Villa del Mar, Villa El Salvador, Lima")</f>
      </c>
      <c r="N424">
        <v>0</v>
      </c>
      <c r="O424">
        <v>84</v>
      </c>
      <c r="P424">
        <v>2603.1</v>
      </c>
      <c r="Q424" t="str">
        <v>163.82</v>
      </c>
      <c r="R424" t="str">
        <v/>
      </c>
      <c r="S424" t="str">
        <v/>
      </c>
      <c r="T424" t="str">
        <v/>
      </c>
      <c r="U424" t="str">
        <v/>
      </c>
    </row>
    <row r="425">
      <c r="A425" t="str">
        <v>424</v>
      </c>
      <c r="B425" t="str">
        <v>MASS BSF</v>
      </c>
      <c r="C425" t="str">
        <v>AAR-880</v>
      </c>
      <c r="D425" t="str">
        <v>AAR-880</v>
      </c>
      <c r="E425" t="str">
        <v/>
      </c>
      <c r="F425" t="str">
        <v>867806078847433</v>
      </c>
      <c r="G425" t="str">
        <v>Otro</v>
      </c>
      <c r="H425" t="str">
        <v/>
      </c>
      <c r="I425" t="str">
        <v>28/09/2026</v>
      </c>
      <c r="J425" t="str">
        <v>20:55:24</v>
      </c>
      <c r="K425">
        <v>-12.213032</v>
      </c>
      <c r="L425">
        <v>-76.959076</v>
      </c>
      <c r="M425">
        <f>HYPERLINK("https://www.google.com/maps/search/?api=1&amp;query=-12.213032,-76.959076","Avenida Villa del Mar, Villa El Salvador, Lima")</f>
      </c>
      <c r="N425">
        <v>0</v>
      </c>
      <c r="O425">
        <v>84</v>
      </c>
      <c r="P425">
        <v>2603.1</v>
      </c>
      <c r="Q425" t="str">
        <v>163.82</v>
      </c>
      <c r="R425" t="str">
        <v/>
      </c>
      <c r="S425" t="str">
        <v/>
      </c>
      <c r="T425" t="str">
        <v/>
      </c>
      <c r="U425" t="str">
        <v/>
      </c>
    </row>
    <row r="426">
      <c r="A426" t="str">
        <v>425</v>
      </c>
      <c r="B426" t="str">
        <v>MASS BSF</v>
      </c>
      <c r="C426" t="str">
        <v>AAR-880</v>
      </c>
      <c r="D426" t="str">
        <v>AAR-880</v>
      </c>
      <c r="E426" t="str">
        <v/>
      </c>
      <c r="F426" t="str">
        <v>867806078847433</v>
      </c>
      <c r="G426" t="str">
        <v>Otro</v>
      </c>
      <c r="H426" t="str">
        <v/>
      </c>
      <c r="I426" t="str">
        <v>28/09/2026</v>
      </c>
      <c r="J426" t="str">
        <v>21:05:24</v>
      </c>
      <c r="K426">
        <v>-12.213032</v>
      </c>
      <c r="L426">
        <v>-76.959076</v>
      </c>
      <c r="M426">
        <f>HYPERLINK("https://www.google.com/maps/search/?api=1&amp;query=-12.213032,-76.959076","Avenida Villa del Mar, Villa El Salvador, Lima")</f>
      </c>
      <c r="N426">
        <v>0</v>
      </c>
      <c r="O426">
        <v>84</v>
      </c>
      <c r="P426">
        <v>2603.1</v>
      </c>
      <c r="Q426" t="str">
        <v>163.82</v>
      </c>
      <c r="R426" t="str">
        <v/>
      </c>
      <c r="S426" t="str">
        <v/>
      </c>
      <c r="T426" t="str">
        <v/>
      </c>
      <c r="U426" t="str">
        <v/>
      </c>
    </row>
    <row r="427">
      <c r="A427" t="str">
        <v>426</v>
      </c>
      <c r="B427" t="str">
        <v>MASS BSF</v>
      </c>
      <c r="C427" t="str">
        <v>AAR-880</v>
      </c>
      <c r="D427" t="str">
        <v>AAR-880</v>
      </c>
      <c r="E427" t="str">
        <v/>
      </c>
      <c r="F427" t="str">
        <v>867806078847433</v>
      </c>
      <c r="G427" t="str">
        <v>Otro</v>
      </c>
      <c r="H427" t="str">
        <v/>
      </c>
      <c r="I427" t="str">
        <v>28/09/2026</v>
      </c>
      <c r="J427" t="str">
        <v>21:15:24</v>
      </c>
      <c r="K427">
        <v>-12.213032</v>
      </c>
      <c r="L427">
        <v>-76.959076</v>
      </c>
      <c r="M427">
        <f>HYPERLINK("https://www.google.com/maps/search/?api=1&amp;query=-12.213032,-76.959076","Avenida Villa del Mar, Villa El Salvador, Lima")</f>
      </c>
      <c r="N427">
        <v>0</v>
      </c>
      <c r="O427">
        <v>85</v>
      </c>
      <c r="P427">
        <v>2603.1</v>
      </c>
      <c r="Q427" t="str">
        <v>163.82</v>
      </c>
      <c r="R427" t="str">
        <v/>
      </c>
      <c r="S427" t="str">
        <v/>
      </c>
      <c r="T427" t="str">
        <v/>
      </c>
      <c r="U427" t="str">
        <v/>
      </c>
    </row>
    <row r="428">
      <c r="A428" t="str">
        <v>427</v>
      </c>
      <c r="B428" t="str">
        <v>MASS BSF</v>
      </c>
      <c r="C428" t="str">
        <v>AAR-880</v>
      </c>
      <c r="D428" t="str">
        <v>AAR-880</v>
      </c>
      <c r="E428" t="str">
        <v/>
      </c>
      <c r="F428" t="str">
        <v>867806078847433</v>
      </c>
      <c r="G428" t="str">
        <v>Otro</v>
      </c>
      <c r="H428" t="str">
        <v/>
      </c>
      <c r="I428" t="str">
        <v>28/09/2026</v>
      </c>
      <c r="J428" t="str">
        <v>21:25:24</v>
      </c>
      <c r="K428">
        <v>-12.213032</v>
      </c>
      <c r="L428">
        <v>-76.959076</v>
      </c>
      <c r="M428">
        <f>HYPERLINK("https://www.google.com/maps/search/?api=1&amp;query=-12.213032,-76.959076","Avenida Villa del Mar, Villa El Salvador, Lima")</f>
      </c>
      <c r="N428">
        <v>0</v>
      </c>
      <c r="O428">
        <v>84</v>
      </c>
      <c r="P428">
        <v>2603.1</v>
      </c>
      <c r="Q428" t="str">
        <v>163.82</v>
      </c>
      <c r="R428" t="str">
        <v/>
      </c>
      <c r="S428" t="str">
        <v/>
      </c>
      <c r="T428" t="str">
        <v/>
      </c>
      <c r="U428" t="str">
        <v/>
      </c>
    </row>
    <row r="429">
      <c r="A429" t="str">
        <v>428</v>
      </c>
      <c r="B429" t="str">
        <v>MASS BSF</v>
      </c>
      <c r="C429" t="str">
        <v>AAR-880</v>
      </c>
      <c r="D429" t="str">
        <v>AAR-880</v>
      </c>
      <c r="E429" t="str">
        <v/>
      </c>
      <c r="F429" t="str">
        <v>867806078847433</v>
      </c>
      <c r="G429" t="str">
        <v>Otro</v>
      </c>
      <c r="H429" t="str">
        <v/>
      </c>
      <c r="I429" t="str">
        <v>28/09/2026</v>
      </c>
      <c r="J429" t="str">
        <v>21:35:24</v>
      </c>
      <c r="K429">
        <v>-12.213032</v>
      </c>
      <c r="L429">
        <v>-76.959076</v>
      </c>
      <c r="M429">
        <f>HYPERLINK("https://www.google.com/maps/search/?api=1&amp;query=-12.213032,-76.959076","Avenida Villa del Mar, Villa El Salvador, Lima")</f>
      </c>
      <c r="N429">
        <v>0</v>
      </c>
      <c r="O429">
        <v>84</v>
      </c>
      <c r="P429">
        <v>2603.1</v>
      </c>
      <c r="Q429" t="str">
        <v>163.82</v>
      </c>
      <c r="R429" t="str">
        <v/>
      </c>
      <c r="S429" t="str">
        <v/>
      </c>
      <c r="T429" t="str">
        <v/>
      </c>
      <c r="U429" t="str">
        <v/>
      </c>
    </row>
    <row r="430">
      <c r="A430" t="str">
        <v>429</v>
      </c>
      <c r="B430" t="str">
        <v>MASS BSF</v>
      </c>
      <c r="C430" t="str">
        <v>AAR-880</v>
      </c>
      <c r="D430" t="str">
        <v>AAR-880</v>
      </c>
      <c r="E430" t="str">
        <v/>
      </c>
      <c r="F430" t="str">
        <v>867806078847433</v>
      </c>
      <c r="G430" t="str">
        <v>Otro</v>
      </c>
      <c r="H430" t="str">
        <v/>
      </c>
      <c r="I430" t="str">
        <v>28/09/2026</v>
      </c>
      <c r="J430" t="str">
        <v>21:45:24</v>
      </c>
      <c r="K430">
        <v>-12.213032</v>
      </c>
      <c r="L430">
        <v>-76.959076</v>
      </c>
      <c r="M430">
        <f>HYPERLINK("https://www.google.com/maps/search/?api=1&amp;query=-12.213032,-76.959076","Avenida Villa del Mar, Villa El Salvador, Lima")</f>
      </c>
      <c r="N430">
        <v>0</v>
      </c>
      <c r="O430">
        <v>84</v>
      </c>
      <c r="P430">
        <v>2603.1</v>
      </c>
      <c r="Q430" t="str">
        <v>163.82</v>
      </c>
      <c r="R430" t="str">
        <v/>
      </c>
      <c r="S430" t="str">
        <v/>
      </c>
      <c r="T430" t="str">
        <v/>
      </c>
      <c r="U430" t="str">
        <v/>
      </c>
    </row>
    <row r="431">
      <c r="A431" t="str">
        <v>430</v>
      </c>
      <c r="B431" t="str">
        <v>MASS BSF</v>
      </c>
      <c r="C431" t="str">
        <v>AAR-880</v>
      </c>
      <c r="D431" t="str">
        <v>AAR-880</v>
      </c>
      <c r="E431" t="str">
        <v/>
      </c>
      <c r="F431" t="str">
        <v>867806078847433</v>
      </c>
      <c r="G431" t="str">
        <v>Otro</v>
      </c>
      <c r="H431" t="str">
        <v/>
      </c>
      <c r="I431" t="str">
        <v>28/09/2026</v>
      </c>
      <c r="J431" t="str">
        <v>21:55:24</v>
      </c>
      <c r="K431">
        <v>-12.213032</v>
      </c>
      <c r="L431">
        <v>-76.959076</v>
      </c>
      <c r="M431">
        <f>HYPERLINK("https://www.google.com/maps/search/?api=1&amp;query=-12.213032,-76.959076","Avenida Villa del Mar, Villa El Salvador, Lima")</f>
      </c>
      <c r="N431">
        <v>0</v>
      </c>
      <c r="O431">
        <v>84</v>
      </c>
      <c r="P431">
        <v>2603.1</v>
      </c>
      <c r="Q431" t="str">
        <v>163.82</v>
      </c>
      <c r="R431" t="str">
        <v/>
      </c>
      <c r="S431" t="str">
        <v/>
      </c>
      <c r="T431" t="str">
        <v/>
      </c>
      <c r="U431" t="str">
        <v/>
      </c>
    </row>
    <row r="432">
      <c r="A432" t="str">
        <v>431</v>
      </c>
      <c r="B432" t="str">
        <v>MASS BSF</v>
      </c>
      <c r="C432" t="str">
        <v>AAR-880</v>
      </c>
      <c r="D432" t="str">
        <v>AAR-880</v>
      </c>
      <c r="E432" t="str">
        <v/>
      </c>
      <c r="F432" t="str">
        <v>867806078847433</v>
      </c>
      <c r="G432" t="str">
        <v>Otro</v>
      </c>
      <c r="H432" t="str">
        <v/>
      </c>
      <c r="I432" t="str">
        <v>28/09/2026</v>
      </c>
      <c r="J432" t="str">
        <v>22:05:24</v>
      </c>
      <c r="K432">
        <v>-12.213032</v>
      </c>
      <c r="L432">
        <v>-76.959076</v>
      </c>
      <c r="M432">
        <f>HYPERLINK("https://www.google.com/maps/search/?api=1&amp;query=-12.213032,-76.959076","Avenida Villa del Mar, Villa El Salvador, Lima")</f>
      </c>
      <c r="N432">
        <v>0</v>
      </c>
      <c r="O432">
        <v>83</v>
      </c>
      <c r="P432">
        <v>2603.1</v>
      </c>
      <c r="Q432" t="str">
        <v>163.82</v>
      </c>
      <c r="R432" t="str">
        <v/>
      </c>
      <c r="S432" t="str">
        <v/>
      </c>
      <c r="T432" t="str">
        <v/>
      </c>
      <c r="U432" t="str">
        <v/>
      </c>
    </row>
    <row r="433">
      <c r="A433" t="str">
        <v>432</v>
      </c>
      <c r="B433" t="str">
        <v>MASS BSF</v>
      </c>
      <c r="C433" t="str">
        <v>AAR-880</v>
      </c>
      <c r="D433" t="str">
        <v>AAR-880</v>
      </c>
      <c r="E433" t="str">
        <v/>
      </c>
      <c r="F433" t="str">
        <v>867806078847433</v>
      </c>
      <c r="G433" t="str">
        <v>Otro</v>
      </c>
      <c r="H433" t="str">
        <v/>
      </c>
      <c r="I433" t="str">
        <v>28/09/2026</v>
      </c>
      <c r="J433" t="str">
        <v>22:15:24</v>
      </c>
      <c r="K433">
        <v>-12.213032</v>
      </c>
      <c r="L433">
        <v>-76.959076</v>
      </c>
      <c r="M433">
        <f>HYPERLINK("https://www.google.com/maps/search/?api=1&amp;query=-12.213032,-76.959076","Avenida Villa del Mar, Villa El Salvador, Lima")</f>
      </c>
      <c r="N433">
        <v>0</v>
      </c>
      <c r="O433">
        <v>82</v>
      </c>
      <c r="P433">
        <v>2603.1</v>
      </c>
      <c r="Q433" t="str">
        <v>163.82</v>
      </c>
      <c r="R433" t="str">
        <v/>
      </c>
      <c r="S433" t="str">
        <v/>
      </c>
      <c r="T433" t="str">
        <v/>
      </c>
      <c r="U433" t="str">
        <v/>
      </c>
    </row>
    <row r="434">
      <c r="A434" t="str">
        <v>433</v>
      </c>
      <c r="B434" t="str">
        <v>MASS BSF</v>
      </c>
      <c r="C434" t="str">
        <v>AAR-880</v>
      </c>
      <c r="D434" t="str">
        <v>AAR-880</v>
      </c>
      <c r="E434" t="str">
        <v/>
      </c>
      <c r="F434" t="str">
        <v>867806078847433</v>
      </c>
      <c r="G434" t="str">
        <v>Otro</v>
      </c>
      <c r="H434" t="str">
        <v/>
      </c>
      <c r="I434" t="str">
        <v>28/09/2026</v>
      </c>
      <c r="J434" t="str">
        <v>22:25:24</v>
      </c>
      <c r="K434">
        <v>-12.213032</v>
      </c>
      <c r="L434">
        <v>-76.959076</v>
      </c>
      <c r="M434">
        <f>HYPERLINK("https://www.google.com/maps/search/?api=1&amp;query=-12.213032,-76.959076","Avenida Villa del Mar, Villa El Salvador, Lima")</f>
      </c>
      <c r="N434">
        <v>0</v>
      </c>
      <c r="O434">
        <v>85</v>
      </c>
      <c r="P434">
        <v>2603.1</v>
      </c>
      <c r="Q434" t="str">
        <v>163.82</v>
      </c>
      <c r="R434" t="str">
        <v/>
      </c>
      <c r="S434" t="str">
        <v/>
      </c>
      <c r="T434" t="str">
        <v/>
      </c>
      <c r="U434" t="str">
        <v/>
      </c>
    </row>
    <row r="435">
      <c r="A435" t="str">
        <v>434</v>
      </c>
      <c r="B435" t="str">
        <v>MASS BSF</v>
      </c>
      <c r="C435" t="str">
        <v>AAR-880</v>
      </c>
      <c r="D435" t="str">
        <v>AAR-880</v>
      </c>
      <c r="E435" t="str">
        <v/>
      </c>
      <c r="F435" t="str">
        <v>867806078847433</v>
      </c>
      <c r="G435" t="str">
        <v>Otro</v>
      </c>
      <c r="H435" t="str">
        <v/>
      </c>
      <c r="I435" t="str">
        <v>28/09/2026</v>
      </c>
      <c r="J435" t="str">
        <v>22:35:24</v>
      </c>
      <c r="K435">
        <v>-12.213032</v>
      </c>
      <c r="L435">
        <v>-76.959076</v>
      </c>
      <c r="M435">
        <f>HYPERLINK("https://www.google.com/maps/search/?api=1&amp;query=-12.213032,-76.959076","Avenida Villa del Mar, Villa El Salvador, Lima")</f>
      </c>
      <c r="N435">
        <v>0</v>
      </c>
      <c r="O435">
        <v>85</v>
      </c>
      <c r="P435">
        <v>2603.1</v>
      </c>
      <c r="Q435" t="str">
        <v>163.82</v>
      </c>
      <c r="R435" t="str">
        <v/>
      </c>
      <c r="S435" t="str">
        <v/>
      </c>
      <c r="T435" t="str">
        <v/>
      </c>
      <c r="U435" t="str">
        <v/>
      </c>
    </row>
    <row r="436">
      <c r="A436" t="str">
        <v>435</v>
      </c>
      <c r="B436" t="str">
        <v>MASS BSF</v>
      </c>
      <c r="C436" t="str">
        <v>AAR-880</v>
      </c>
      <c r="D436" t="str">
        <v>AAR-880</v>
      </c>
      <c r="E436" t="str">
        <v/>
      </c>
      <c r="F436" t="str">
        <v>867806078847433</v>
      </c>
      <c r="G436" t="str">
        <v>Otro</v>
      </c>
      <c r="H436" t="str">
        <v/>
      </c>
      <c r="I436" t="str">
        <v>28/09/2026</v>
      </c>
      <c r="J436" t="str">
        <v>22:45:24</v>
      </c>
      <c r="K436">
        <v>-12.213032</v>
      </c>
      <c r="L436">
        <v>-76.959076</v>
      </c>
      <c r="M436">
        <f>HYPERLINK("https://www.google.com/maps/search/?api=1&amp;query=-12.213032,-76.959076","Avenida Villa del Mar, Villa El Salvador, Lima")</f>
      </c>
      <c r="N436">
        <v>0</v>
      </c>
      <c r="O436">
        <v>82</v>
      </c>
      <c r="P436">
        <v>2603.1</v>
      </c>
      <c r="Q436" t="str">
        <v>163.82</v>
      </c>
      <c r="R436" t="str">
        <v/>
      </c>
      <c r="S436" t="str">
        <v/>
      </c>
      <c r="T436" t="str">
        <v/>
      </c>
      <c r="U436" t="str">
        <v/>
      </c>
    </row>
    <row r="437">
      <c r="A437" t="str">
        <v>436</v>
      </c>
      <c r="B437" t="str">
        <v>MASS BSF</v>
      </c>
      <c r="C437" t="str">
        <v>AAR-880</v>
      </c>
      <c r="D437" t="str">
        <v>AAR-880</v>
      </c>
      <c r="E437" t="str">
        <v/>
      </c>
      <c r="F437" t="str">
        <v>867806078847433</v>
      </c>
      <c r="G437" t="str">
        <v>Otro</v>
      </c>
      <c r="H437" t="str">
        <v/>
      </c>
      <c r="I437" t="str">
        <v>28/09/2026</v>
      </c>
      <c r="J437" t="str">
        <v>22:55:24</v>
      </c>
      <c r="K437">
        <v>-12.213032</v>
      </c>
      <c r="L437">
        <v>-76.959076</v>
      </c>
      <c r="M437">
        <f>HYPERLINK("https://www.google.com/maps/search/?api=1&amp;query=-12.213032,-76.959076","Avenida Villa del Mar, Villa El Salvador, Lima")</f>
      </c>
      <c r="N437">
        <v>0</v>
      </c>
      <c r="O437">
        <v>89</v>
      </c>
      <c r="P437">
        <v>2603.1</v>
      </c>
      <c r="Q437" t="str">
        <v>163.82</v>
      </c>
      <c r="R437" t="str">
        <v/>
      </c>
      <c r="S437" t="str">
        <v/>
      </c>
      <c r="T437" t="str">
        <v/>
      </c>
      <c r="U437" t="str">
        <v/>
      </c>
    </row>
    <row r="438">
      <c r="A438" t="str">
        <v>437</v>
      </c>
      <c r="B438" t="str">
        <v>MASS BSF</v>
      </c>
      <c r="C438" t="str">
        <v>AAR-880</v>
      </c>
      <c r="D438" t="str">
        <v>AAR-880</v>
      </c>
      <c r="E438" t="str">
        <v/>
      </c>
      <c r="F438" t="str">
        <v>867806078847433</v>
      </c>
      <c r="G438" t="str">
        <v>Otro</v>
      </c>
      <c r="H438" t="str">
        <v/>
      </c>
      <c r="I438" t="str">
        <v>28/09/2026</v>
      </c>
      <c r="J438" t="str">
        <v>23:05:24</v>
      </c>
      <c r="K438">
        <v>-12.213032</v>
      </c>
      <c r="L438">
        <v>-76.959076</v>
      </c>
      <c r="M438">
        <f>HYPERLINK("https://www.google.com/maps/search/?api=1&amp;query=-12.213032,-76.959076","Avenida Villa del Mar, Villa El Salvador, Lima")</f>
      </c>
      <c r="N438">
        <v>0</v>
      </c>
      <c r="O438">
        <v>89</v>
      </c>
      <c r="P438">
        <v>2603.1</v>
      </c>
      <c r="Q438" t="str">
        <v>163.82</v>
      </c>
      <c r="R438" t="str">
        <v/>
      </c>
      <c r="S438" t="str">
        <v/>
      </c>
      <c r="T438" t="str">
        <v/>
      </c>
      <c r="U438" t="str">
        <v/>
      </c>
    </row>
    <row r="439">
      <c r="A439" t="str">
        <v>438</v>
      </c>
      <c r="B439" t="str">
        <v>MASS BSF</v>
      </c>
      <c r="C439" t="str">
        <v>AAR-880</v>
      </c>
      <c r="D439" t="str">
        <v>AAR-880</v>
      </c>
      <c r="E439" t="str">
        <v/>
      </c>
      <c r="F439" t="str">
        <v>867806078847433</v>
      </c>
      <c r="G439" t="str">
        <v>Otro</v>
      </c>
      <c r="H439" t="str">
        <v/>
      </c>
      <c r="I439" t="str">
        <v>28/09/2026</v>
      </c>
      <c r="J439" t="str">
        <v>23:15:24</v>
      </c>
      <c r="K439">
        <v>-12.213032</v>
      </c>
      <c r="L439">
        <v>-76.959076</v>
      </c>
      <c r="M439">
        <f>HYPERLINK("https://www.google.com/maps/search/?api=1&amp;query=-12.213032,-76.959076","Avenida Villa del Mar, Villa El Salvador, Lima")</f>
      </c>
      <c r="N439">
        <v>0</v>
      </c>
      <c r="O439">
        <v>89</v>
      </c>
      <c r="P439">
        <v>2603.1</v>
      </c>
      <c r="Q439" t="str">
        <v>163.82</v>
      </c>
      <c r="R439" t="str">
        <v/>
      </c>
      <c r="S439" t="str">
        <v/>
      </c>
      <c r="T439" t="str">
        <v/>
      </c>
      <c r="U439" t="str">
        <v/>
      </c>
    </row>
    <row r="440">
      <c r="A440" t="str">
        <v>439</v>
      </c>
      <c r="B440" t="str">
        <v>MASS BSF</v>
      </c>
      <c r="C440" t="str">
        <v>AAR-880</v>
      </c>
      <c r="D440" t="str">
        <v>AAR-880</v>
      </c>
      <c r="E440" t="str">
        <v/>
      </c>
      <c r="F440" t="str">
        <v>867806078847433</v>
      </c>
      <c r="G440" t="str">
        <v>Otro</v>
      </c>
      <c r="H440" t="str">
        <v/>
      </c>
      <c r="I440" t="str">
        <v>28/09/2026</v>
      </c>
      <c r="J440" t="str">
        <v>23:25:24</v>
      </c>
      <c r="K440">
        <v>-12.213032</v>
      </c>
      <c r="L440">
        <v>-76.959076</v>
      </c>
      <c r="M440">
        <f>HYPERLINK("https://www.google.com/maps/search/?api=1&amp;query=-12.213032,-76.959076","Avenida Villa del Mar, Villa El Salvador, Lima")</f>
      </c>
      <c r="N440">
        <v>0</v>
      </c>
      <c r="O440">
        <v>84</v>
      </c>
      <c r="P440">
        <v>2603.1</v>
      </c>
      <c r="Q440" t="str">
        <v>163.82</v>
      </c>
      <c r="R440" t="str">
        <v/>
      </c>
      <c r="S440" t="str">
        <v/>
      </c>
      <c r="T440" t="str">
        <v/>
      </c>
      <c r="U440" t="str">
        <v/>
      </c>
    </row>
    <row r="441">
      <c r="A441" t="str">
        <v>440</v>
      </c>
      <c r="B441" t="str">
        <v>MASS BSF</v>
      </c>
      <c r="C441" t="str">
        <v>AAR-880</v>
      </c>
      <c r="D441" t="str">
        <v>AAR-880</v>
      </c>
      <c r="E441" t="str">
        <v/>
      </c>
      <c r="F441" t="str">
        <v>867806078847433</v>
      </c>
      <c r="G441" t="str">
        <v>Otro</v>
      </c>
      <c r="H441" t="str">
        <v/>
      </c>
      <c r="I441" t="str">
        <v>28/09/2026</v>
      </c>
      <c r="J441" t="str">
        <v>23:35:24</v>
      </c>
      <c r="K441">
        <v>-12.213032</v>
      </c>
      <c r="L441">
        <v>-76.959076</v>
      </c>
      <c r="M441">
        <f>HYPERLINK("https://www.google.com/maps/search/?api=1&amp;query=-12.213032,-76.959076","Avenida Villa del Mar, Villa El Salvador, Lima")</f>
      </c>
      <c r="N441">
        <v>0</v>
      </c>
      <c r="O441">
        <v>88</v>
      </c>
      <c r="P441">
        <v>2603.1</v>
      </c>
      <c r="Q441" t="str">
        <v>163.82</v>
      </c>
      <c r="R441" t="str">
        <v/>
      </c>
      <c r="S441" t="str">
        <v/>
      </c>
      <c r="T441" t="str">
        <v/>
      </c>
      <c r="U441" t="str">
        <v/>
      </c>
    </row>
    <row r="442">
      <c r="A442" t="str">
        <v>441</v>
      </c>
      <c r="B442" t="str">
        <v>MASS BSF</v>
      </c>
      <c r="C442" t="str">
        <v>AAR-880</v>
      </c>
      <c r="D442" t="str">
        <v>AAR-880</v>
      </c>
      <c r="E442" t="str">
        <v/>
      </c>
      <c r="F442" t="str">
        <v>867806078847433</v>
      </c>
      <c r="G442" t="str">
        <v>Otro</v>
      </c>
      <c r="H442" t="str">
        <v/>
      </c>
      <c r="I442" t="str">
        <v>28/09/2026</v>
      </c>
      <c r="J442" t="str">
        <v>23:45:24</v>
      </c>
      <c r="K442">
        <v>-12.213032</v>
      </c>
      <c r="L442">
        <v>-76.959076</v>
      </c>
      <c r="M442">
        <f>HYPERLINK("https://www.google.com/maps/search/?api=1&amp;query=-12.213032,-76.959076","Avenida Villa del Mar, Villa El Salvador, Lima")</f>
      </c>
      <c r="N442">
        <v>0</v>
      </c>
      <c r="O442">
        <v>82</v>
      </c>
      <c r="P442">
        <v>2603.1</v>
      </c>
      <c r="Q442" t="str">
        <v>163.82</v>
      </c>
      <c r="R442" t="str">
        <v/>
      </c>
      <c r="S442" t="str">
        <v/>
      </c>
      <c r="T442" t="str">
        <v/>
      </c>
      <c r="U442" t="str">
        <v/>
      </c>
    </row>
    <row r="443">
      <c r="A443" t="str">
        <v>442</v>
      </c>
      <c r="B443" t="str">
        <v>MASS BSF</v>
      </c>
      <c r="C443" t="str">
        <v>AAR-880</v>
      </c>
      <c r="D443" t="str">
        <v>AAR-880</v>
      </c>
      <c r="E443" t="str">
        <v/>
      </c>
      <c r="F443" t="str">
        <v>867806078847433</v>
      </c>
      <c r="G443" t="str">
        <v>Otro</v>
      </c>
      <c r="H443" t="str">
        <v/>
      </c>
      <c r="I443" t="str">
        <v>28/09/2026</v>
      </c>
      <c r="J443" t="str">
        <v>23:55:24</v>
      </c>
      <c r="K443">
        <v>-12.213032</v>
      </c>
      <c r="L443">
        <v>-76.959076</v>
      </c>
      <c r="M443">
        <f>HYPERLINK("https://www.google.com/maps/search/?api=1&amp;query=-12.213032,-76.959076","Avenida Villa del Mar, Villa El Salvador, Lima")</f>
      </c>
      <c r="N443">
        <v>0</v>
      </c>
      <c r="O443">
        <v>84</v>
      </c>
      <c r="P443">
        <v>2603.1</v>
      </c>
      <c r="Q443" t="str">
        <v>163.82</v>
      </c>
      <c r="R443" t="str">
        <v/>
      </c>
      <c r="S443" t="str">
        <v/>
      </c>
      <c r="T443" t="str">
        <v/>
      </c>
      <c r="U443" t="str">
        <v/>
      </c>
    </row>
  </sheetData>
  <ignoredErrors>
    <ignoredError numberStoredAsText="1" sqref="A1:U4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History</dc:subject>
  <dc:title>Report History</dc:title>
</cp:coreProperties>
</file>