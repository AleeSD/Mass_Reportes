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His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4"/>
  <sheetViews>
    <sheetView workbookViewId="0"/>
  </sheetViews>
  <sheetData>
    <row r="1">
      <c r="A1" t="str">
        <v>Secuencia</v>
      </c>
      <c r="B1" t="str">
        <v>Grupo</v>
      </c>
      <c r="C1" t="str">
        <v>Alias</v>
      </c>
      <c r="D1" t="str">
        <v>Placa/Patente</v>
      </c>
      <c r="E1" t="str">
        <v>Etiquetas</v>
      </c>
      <c r="F1" t="str">
        <v>IMEI</v>
      </c>
      <c r="G1" t="str">
        <v>Tipo de carrocería</v>
      </c>
      <c r="H1" t="str">
        <v>Empresa</v>
      </c>
      <c r="I1" t="str">
        <v>Fecha</v>
      </c>
      <c r="J1" t="str">
        <v>Hora</v>
      </c>
      <c r="K1" t="str">
        <v>Latitud</v>
      </c>
      <c r="L1" t="str">
        <v>Longitud</v>
      </c>
      <c r="M1" t="str">
        <v>Dirección</v>
      </c>
      <c r="N1" t="str">
        <v>Velocidad (Km/h)</v>
      </c>
      <c r="O1" t="str">
        <v>% Batería</v>
      </c>
      <c r="P1" t="str">
        <v>Odómetro (Km)</v>
      </c>
      <c r="Q1" t="str">
        <v>Horómetro (Hrs)</v>
      </c>
      <c r="R1" t="str">
        <v>Alerta</v>
      </c>
      <c r="S1" t="str">
        <v>Zona/Marca</v>
      </c>
      <c r="T1" t="str">
        <v>Conductor</v>
      </c>
      <c r="U1" t="str">
        <v>Notas</v>
      </c>
    </row>
    <row r="2">
      <c r="A2" t="str">
        <v>1</v>
      </c>
      <c r="B2" t="str">
        <v>MASS BSF</v>
      </c>
      <c r="C2" t="str">
        <v>BXQ-847</v>
      </c>
      <c r="D2" t="str">
        <v>BXQ-847</v>
      </c>
      <c r="E2" t="str">
        <v/>
      </c>
      <c r="F2" t="str">
        <v>867162029843950</v>
      </c>
      <c r="G2" t="str">
        <v>TBD</v>
      </c>
      <c r="H2" t="str">
        <v/>
      </c>
      <c r="I2" t="str">
        <v>28/09/2026</v>
      </c>
      <c r="J2" t="str">
        <v>00:02:07</v>
      </c>
      <c r="K2">
        <v>-12.230006</v>
      </c>
      <c r="L2">
        <v>-76.90221</v>
      </c>
      <c r="M2">
        <f>HYPERLINK("https://www.google.com/maps/search/?api=1&amp;query=-12.230006,-76.90221","Lurín, Lima")</f>
      </c>
      <c r="N2">
        <v>0</v>
      </c>
      <c r="O2">
        <v>100</v>
      </c>
      <c r="P2">
        <v>719052.2</v>
      </c>
      <c r="Q2" t="str">
        <v>117.00</v>
      </c>
      <c r="R2" t="str">
        <v/>
      </c>
      <c r="S2" t="str">
        <v/>
      </c>
      <c r="T2" t="str">
        <v/>
      </c>
      <c r="U2" t="str">
        <v/>
      </c>
    </row>
    <row r="3">
      <c r="A3" t="str">
        <v>2</v>
      </c>
      <c r="B3" t="str">
        <v>MASS BSF</v>
      </c>
      <c r="C3" t="str">
        <v>BXQ-847</v>
      </c>
      <c r="D3" t="str">
        <v>BXQ-847</v>
      </c>
      <c r="E3" t="str">
        <v/>
      </c>
      <c r="F3" t="str">
        <v>867162029843950</v>
      </c>
      <c r="G3" t="str">
        <v>TBD</v>
      </c>
      <c r="H3" t="str">
        <v/>
      </c>
      <c r="I3" t="str">
        <v>28/09/2026</v>
      </c>
      <c r="J3" t="str">
        <v>00:32:12</v>
      </c>
      <c r="K3">
        <v>-12.230006</v>
      </c>
      <c r="L3">
        <v>-76.90221</v>
      </c>
      <c r="M3">
        <f>HYPERLINK("https://www.google.com/maps/search/?api=1&amp;query=-12.230006,-76.90221","Lurín, Lima")</f>
      </c>
      <c r="N3">
        <v>0</v>
      </c>
      <c r="O3">
        <v>100</v>
      </c>
      <c r="P3">
        <v>719052.2</v>
      </c>
      <c r="Q3" t="str">
        <v>117.00</v>
      </c>
      <c r="R3" t="str">
        <v/>
      </c>
      <c r="S3" t="str">
        <v/>
      </c>
      <c r="T3" t="str">
        <v/>
      </c>
      <c r="U3" t="str">
        <v/>
      </c>
    </row>
    <row r="4">
      <c r="A4" t="str">
        <v>3</v>
      </c>
      <c r="B4" t="str">
        <v>MASS BSF</v>
      </c>
      <c r="C4" t="str">
        <v>BXQ-847</v>
      </c>
      <c r="D4" t="str">
        <v>BXQ-847</v>
      </c>
      <c r="E4" t="str">
        <v/>
      </c>
      <c r="F4" t="str">
        <v>867162029843950</v>
      </c>
      <c r="G4" t="str">
        <v>TBD</v>
      </c>
      <c r="H4" t="str">
        <v/>
      </c>
      <c r="I4" t="str">
        <v>28/09/2026</v>
      </c>
      <c r="J4" t="str">
        <v>01:02:16</v>
      </c>
      <c r="K4">
        <v>-12.230006</v>
      </c>
      <c r="L4">
        <v>-76.90221</v>
      </c>
      <c r="M4">
        <f>HYPERLINK("https://www.google.com/maps/search/?api=1&amp;query=-12.230006,-76.90221","Lurín, Lima")</f>
      </c>
      <c r="N4">
        <v>0</v>
      </c>
      <c r="O4">
        <v>100</v>
      </c>
      <c r="P4">
        <v>719052.2</v>
      </c>
      <c r="Q4" t="str">
        <v>117.00</v>
      </c>
      <c r="R4" t="str">
        <v/>
      </c>
      <c r="S4" t="str">
        <v/>
      </c>
      <c r="T4" t="str">
        <v/>
      </c>
      <c r="U4" t="str">
        <v/>
      </c>
    </row>
    <row r="5">
      <c r="A5" t="str">
        <v>4</v>
      </c>
      <c r="B5" t="str">
        <v>MASS BSF</v>
      </c>
      <c r="C5" t="str">
        <v>BXQ-847</v>
      </c>
      <c r="D5" t="str">
        <v>BXQ-847</v>
      </c>
      <c r="E5" t="str">
        <v/>
      </c>
      <c r="F5" t="str">
        <v>867162029843950</v>
      </c>
      <c r="G5" t="str">
        <v>TBD</v>
      </c>
      <c r="H5" t="str">
        <v/>
      </c>
      <c r="I5" t="str">
        <v>28/09/2026</v>
      </c>
      <c r="J5" t="str">
        <v>01:32:21</v>
      </c>
      <c r="K5">
        <v>-12.230006</v>
      </c>
      <c r="L5">
        <v>-76.90221</v>
      </c>
      <c r="M5">
        <f>HYPERLINK("https://www.google.com/maps/search/?api=1&amp;query=-12.230006,-76.90221","Lurín, Lima")</f>
      </c>
      <c r="N5">
        <v>0</v>
      </c>
      <c r="O5">
        <v>100</v>
      </c>
      <c r="P5">
        <v>719052.2</v>
      </c>
      <c r="Q5" t="str">
        <v>117.00</v>
      </c>
      <c r="R5" t="str">
        <v/>
      </c>
      <c r="S5" t="str">
        <v/>
      </c>
      <c r="T5" t="str">
        <v/>
      </c>
      <c r="U5" t="str">
        <v/>
      </c>
    </row>
    <row r="6">
      <c r="A6" t="str">
        <v>5</v>
      </c>
      <c r="B6" t="str">
        <v>MASS BSF</v>
      </c>
      <c r="C6" t="str">
        <v>BXQ-847</v>
      </c>
      <c r="D6" t="str">
        <v>BXQ-847</v>
      </c>
      <c r="E6" t="str">
        <v/>
      </c>
      <c r="F6" t="str">
        <v>867162029843950</v>
      </c>
      <c r="G6" t="str">
        <v>TBD</v>
      </c>
      <c r="H6" t="str">
        <v/>
      </c>
      <c r="I6" t="str">
        <v>28/09/2026</v>
      </c>
      <c r="J6" t="str">
        <v>02:02:26</v>
      </c>
      <c r="K6">
        <v>-12.230006</v>
      </c>
      <c r="L6">
        <v>-76.90221</v>
      </c>
      <c r="M6">
        <f>HYPERLINK("https://www.google.com/maps/search/?api=1&amp;query=-12.230006,-76.90221","Lurín, Lima")</f>
      </c>
      <c r="N6">
        <v>0</v>
      </c>
      <c r="O6">
        <v>100</v>
      </c>
      <c r="P6">
        <v>719052.2</v>
      </c>
      <c r="Q6" t="str">
        <v>117.00</v>
      </c>
      <c r="R6" t="str">
        <v/>
      </c>
      <c r="S6" t="str">
        <v/>
      </c>
      <c r="T6" t="str">
        <v/>
      </c>
      <c r="U6" t="str">
        <v/>
      </c>
    </row>
    <row r="7">
      <c r="A7" t="str">
        <v>6</v>
      </c>
      <c r="B7" t="str">
        <v>MASS BSF</v>
      </c>
      <c r="C7" t="str">
        <v>BXQ-847</v>
      </c>
      <c r="D7" t="str">
        <v>BXQ-847</v>
      </c>
      <c r="E7" t="str">
        <v/>
      </c>
      <c r="F7" t="str">
        <v>867162029843950</v>
      </c>
      <c r="G7" t="str">
        <v>TBD</v>
      </c>
      <c r="H7" t="str">
        <v/>
      </c>
      <c r="I7" t="str">
        <v>28/09/2026</v>
      </c>
      <c r="J7" t="str">
        <v>02:32:31</v>
      </c>
      <c r="K7">
        <v>-12.230006</v>
      </c>
      <c r="L7">
        <v>-76.90221</v>
      </c>
      <c r="M7">
        <f>HYPERLINK("https://www.google.com/maps/search/?api=1&amp;query=-12.230006,-76.90221","Lurín, Lima")</f>
      </c>
      <c r="N7">
        <v>0</v>
      </c>
      <c r="O7">
        <v>100</v>
      </c>
      <c r="P7">
        <v>719052.2</v>
      </c>
      <c r="Q7" t="str">
        <v>117.00</v>
      </c>
      <c r="R7" t="str">
        <v/>
      </c>
      <c r="S7" t="str">
        <v/>
      </c>
      <c r="T7" t="str">
        <v/>
      </c>
      <c r="U7" t="str">
        <v/>
      </c>
    </row>
    <row r="8">
      <c r="A8" t="str">
        <v>7</v>
      </c>
      <c r="B8" t="str">
        <v>MASS BSF</v>
      </c>
      <c r="C8" t="str">
        <v>BXQ-847</v>
      </c>
      <c r="D8" t="str">
        <v>BXQ-847</v>
      </c>
      <c r="E8" t="str">
        <v/>
      </c>
      <c r="F8" t="str">
        <v>867162029843950</v>
      </c>
      <c r="G8" t="str">
        <v>TBD</v>
      </c>
      <c r="H8" t="str">
        <v/>
      </c>
      <c r="I8" t="str">
        <v>28/09/2026</v>
      </c>
      <c r="J8" t="str">
        <v>03:02:35</v>
      </c>
      <c r="K8">
        <v>-12.230006</v>
      </c>
      <c r="L8">
        <v>-76.90221</v>
      </c>
      <c r="M8">
        <f>HYPERLINK("https://www.google.com/maps/search/?api=1&amp;query=-12.230006,-76.90221","Lurín, Lima")</f>
      </c>
      <c r="N8">
        <v>0</v>
      </c>
      <c r="O8">
        <v>100</v>
      </c>
      <c r="P8">
        <v>719052.2</v>
      </c>
      <c r="Q8" t="str">
        <v>117.00</v>
      </c>
      <c r="R8" t="str">
        <v/>
      </c>
      <c r="S8" t="str">
        <v/>
      </c>
      <c r="T8" t="str">
        <v/>
      </c>
      <c r="U8" t="str">
        <v/>
      </c>
    </row>
    <row r="9">
      <c r="A9" t="str">
        <v>8</v>
      </c>
      <c r="B9" t="str">
        <v>MASS BSF</v>
      </c>
      <c r="C9" t="str">
        <v>BXQ-847</v>
      </c>
      <c r="D9" t="str">
        <v>BXQ-847</v>
      </c>
      <c r="E9" t="str">
        <v/>
      </c>
      <c r="F9" t="str">
        <v>867162029843950</v>
      </c>
      <c r="G9" t="str">
        <v>TBD</v>
      </c>
      <c r="H9" t="str">
        <v/>
      </c>
      <c r="I9" t="str">
        <v>28/09/2026</v>
      </c>
      <c r="J9" t="str">
        <v>03:32:39</v>
      </c>
      <c r="K9">
        <v>-12.230006</v>
      </c>
      <c r="L9">
        <v>-76.90221</v>
      </c>
      <c r="M9">
        <f>HYPERLINK("https://www.google.com/maps/search/?api=1&amp;query=-12.230006,-76.90221","Lurín, Lima")</f>
      </c>
      <c r="N9">
        <v>0</v>
      </c>
      <c r="O9">
        <v>100</v>
      </c>
      <c r="P9">
        <v>719052.2</v>
      </c>
      <c r="Q9" t="str">
        <v>117.00</v>
      </c>
      <c r="R9" t="str">
        <v/>
      </c>
      <c r="S9" t="str">
        <v/>
      </c>
      <c r="T9" t="str">
        <v/>
      </c>
      <c r="U9" t="str">
        <v/>
      </c>
    </row>
    <row r="10">
      <c r="A10" t="str">
        <v>9</v>
      </c>
      <c r="B10" t="str">
        <v>MASS BSF</v>
      </c>
      <c r="C10" t="str">
        <v>BXQ-847</v>
      </c>
      <c r="D10" t="str">
        <v>BXQ-847</v>
      </c>
      <c r="E10" t="str">
        <v/>
      </c>
      <c r="F10" t="str">
        <v>867162029843950</v>
      </c>
      <c r="G10" t="str">
        <v>TBD</v>
      </c>
      <c r="H10" t="str">
        <v/>
      </c>
      <c r="I10" t="str">
        <v>28/09/2026</v>
      </c>
      <c r="J10" t="str">
        <v>04:02:42</v>
      </c>
      <c r="K10">
        <v>-12.230006</v>
      </c>
      <c r="L10">
        <v>-76.90221</v>
      </c>
      <c r="M10">
        <f>HYPERLINK("https://www.google.com/maps/search/?api=1&amp;query=-12.230006,-76.90221","Lurín, Lima")</f>
      </c>
      <c r="N10">
        <v>0</v>
      </c>
      <c r="O10">
        <v>100</v>
      </c>
      <c r="P10">
        <v>719052.2</v>
      </c>
      <c r="Q10" t="str">
        <v>117.00</v>
      </c>
      <c r="R10" t="str">
        <v/>
      </c>
      <c r="S10" t="str">
        <v/>
      </c>
      <c r="T10" t="str">
        <v/>
      </c>
      <c r="U10" t="str">
        <v/>
      </c>
    </row>
    <row r="11">
      <c r="A11" t="str">
        <v>10</v>
      </c>
      <c r="B11" t="str">
        <v>MASS BSF</v>
      </c>
      <c r="C11" t="str">
        <v>BXQ-847</v>
      </c>
      <c r="D11" t="str">
        <v>BXQ-847</v>
      </c>
      <c r="E11" t="str">
        <v/>
      </c>
      <c r="F11" t="str">
        <v>867162029843950</v>
      </c>
      <c r="G11" t="str">
        <v>TBD</v>
      </c>
      <c r="H11" t="str">
        <v/>
      </c>
      <c r="I11" t="str">
        <v>28/09/2026</v>
      </c>
      <c r="J11" t="str">
        <v>04:32:44</v>
      </c>
      <c r="K11">
        <v>-12.230006</v>
      </c>
      <c r="L11">
        <v>-76.90221</v>
      </c>
      <c r="M11">
        <f>HYPERLINK("https://www.google.com/maps/search/?api=1&amp;query=-12.230006,-76.90221","Lurín, Lima")</f>
      </c>
      <c r="N11">
        <v>0</v>
      </c>
      <c r="O11">
        <v>100</v>
      </c>
      <c r="P11">
        <v>719052.2</v>
      </c>
      <c r="Q11" t="str">
        <v>117.00</v>
      </c>
      <c r="R11" t="str">
        <v/>
      </c>
      <c r="S11" t="str">
        <v/>
      </c>
      <c r="T11" t="str">
        <v/>
      </c>
      <c r="U11" t="str">
        <v/>
      </c>
    </row>
    <row r="12">
      <c r="A12" t="str">
        <v>11</v>
      </c>
      <c r="B12" t="str">
        <v>MASS BSF</v>
      </c>
      <c r="C12" t="str">
        <v>BXQ-847</v>
      </c>
      <c r="D12" t="str">
        <v>BXQ-847</v>
      </c>
      <c r="E12" t="str">
        <v/>
      </c>
      <c r="F12" t="str">
        <v>867162029843950</v>
      </c>
      <c r="G12" t="str">
        <v>TBD</v>
      </c>
      <c r="H12" t="str">
        <v/>
      </c>
      <c r="I12" t="str">
        <v>28/09/2026</v>
      </c>
      <c r="J12" t="str">
        <v>05:02:48</v>
      </c>
      <c r="K12">
        <v>-12.230006</v>
      </c>
      <c r="L12">
        <v>-76.90221</v>
      </c>
      <c r="M12">
        <f>HYPERLINK("https://www.google.com/maps/search/?api=1&amp;query=-12.230006,-76.90221","Lurín, Lima")</f>
      </c>
      <c r="N12">
        <v>0</v>
      </c>
      <c r="O12">
        <v>100</v>
      </c>
      <c r="P12">
        <v>719052.2</v>
      </c>
      <c r="Q12" t="str">
        <v>117.00</v>
      </c>
      <c r="R12" t="str">
        <v/>
      </c>
      <c r="S12" t="str">
        <v/>
      </c>
      <c r="T12" t="str">
        <v/>
      </c>
      <c r="U12" t="str">
        <v/>
      </c>
    </row>
    <row r="13">
      <c r="A13" t="str">
        <v>12</v>
      </c>
      <c r="B13" t="str">
        <v>MASS BSF</v>
      </c>
      <c r="C13" t="str">
        <v>BXQ-847</v>
      </c>
      <c r="D13" t="str">
        <v>BXQ-847</v>
      </c>
      <c r="E13" t="str">
        <v/>
      </c>
      <c r="F13" t="str">
        <v>867162029843950</v>
      </c>
      <c r="G13" t="str">
        <v>TBD</v>
      </c>
      <c r="H13" t="str">
        <v/>
      </c>
      <c r="I13" t="str">
        <v>28/09/2026</v>
      </c>
      <c r="J13" t="str">
        <v>05:32:53</v>
      </c>
      <c r="K13">
        <v>-12.230006</v>
      </c>
      <c r="L13">
        <v>-76.90221</v>
      </c>
      <c r="M13">
        <f>HYPERLINK("https://www.google.com/maps/search/?api=1&amp;query=-12.230006,-76.90221","Lurín, Lima")</f>
      </c>
      <c r="N13">
        <v>0</v>
      </c>
      <c r="O13">
        <v>100</v>
      </c>
      <c r="P13">
        <v>719052.2</v>
      </c>
      <c r="Q13" t="str">
        <v>117.00</v>
      </c>
      <c r="R13" t="str">
        <v/>
      </c>
      <c r="S13" t="str">
        <v/>
      </c>
      <c r="T13" t="str">
        <v/>
      </c>
      <c r="U13" t="str">
        <v/>
      </c>
    </row>
    <row r="14">
      <c r="A14" t="str">
        <v>13</v>
      </c>
      <c r="B14" t="str">
        <v>MASS BSF</v>
      </c>
      <c r="C14" t="str">
        <v>BXQ-847</v>
      </c>
      <c r="D14" t="str">
        <v>BXQ-847</v>
      </c>
      <c r="E14" t="str">
        <v/>
      </c>
      <c r="F14" t="str">
        <v>867162029843950</v>
      </c>
      <c r="G14" t="str">
        <v>TBD</v>
      </c>
      <c r="H14" t="str">
        <v/>
      </c>
      <c r="I14" t="str">
        <v>28/09/2026</v>
      </c>
      <c r="J14" t="str">
        <v>06:02:57</v>
      </c>
      <c r="K14">
        <v>-12.230006</v>
      </c>
      <c r="L14">
        <v>-76.90221</v>
      </c>
      <c r="M14">
        <f>HYPERLINK("https://www.google.com/maps/search/?api=1&amp;query=-12.230006,-76.90221","Lurín, Lima")</f>
      </c>
      <c r="N14">
        <v>0</v>
      </c>
      <c r="O14">
        <v>100</v>
      </c>
      <c r="P14">
        <v>719052.2</v>
      </c>
      <c r="Q14" t="str">
        <v>117.00</v>
      </c>
      <c r="R14" t="str">
        <v/>
      </c>
      <c r="S14" t="str">
        <v/>
      </c>
      <c r="T14" t="str">
        <v/>
      </c>
      <c r="U14" t="str">
        <v/>
      </c>
    </row>
    <row r="15">
      <c r="A15" t="str">
        <v>14</v>
      </c>
      <c r="B15" t="str">
        <v>MASS BSF</v>
      </c>
      <c r="C15" t="str">
        <v>BXQ-847</v>
      </c>
      <c r="D15" t="str">
        <v>BXQ-847</v>
      </c>
      <c r="E15" t="str">
        <v/>
      </c>
      <c r="F15" t="str">
        <v>867162029843950</v>
      </c>
      <c r="G15" t="str">
        <v>TBD</v>
      </c>
      <c r="H15" t="str">
        <v/>
      </c>
      <c r="I15" t="str">
        <v>28/09/2026</v>
      </c>
      <c r="J15" t="str">
        <v>06:33:00</v>
      </c>
      <c r="K15">
        <v>-12.230006</v>
      </c>
      <c r="L15">
        <v>-76.90221</v>
      </c>
      <c r="M15">
        <f>HYPERLINK("https://www.google.com/maps/search/?api=1&amp;query=-12.230006,-76.90221","Lurín, Lima")</f>
      </c>
      <c r="N15">
        <v>0</v>
      </c>
      <c r="O15">
        <v>100</v>
      </c>
      <c r="P15">
        <v>719052.2</v>
      </c>
      <c r="Q15" t="str">
        <v>117.00</v>
      </c>
      <c r="R15" t="str">
        <v/>
      </c>
      <c r="S15" t="str">
        <v/>
      </c>
      <c r="T15" t="str">
        <v/>
      </c>
      <c r="U15" t="str">
        <v/>
      </c>
    </row>
    <row r="16">
      <c r="A16" t="str">
        <v>15</v>
      </c>
      <c r="B16" t="str">
        <v>MASS BSF</v>
      </c>
      <c r="C16" t="str">
        <v>BXQ-847</v>
      </c>
      <c r="D16" t="str">
        <v>BXQ-847</v>
      </c>
      <c r="E16" t="str">
        <v/>
      </c>
      <c r="F16" t="str">
        <v>867162029843950</v>
      </c>
      <c r="G16" t="str">
        <v>TBD</v>
      </c>
      <c r="H16" t="str">
        <v/>
      </c>
      <c r="I16" t="str">
        <v>28/09/2026</v>
      </c>
      <c r="J16" t="str">
        <v>07:03:05</v>
      </c>
      <c r="K16">
        <v>-12.230006</v>
      </c>
      <c r="L16">
        <v>-76.90221</v>
      </c>
      <c r="M16">
        <f>HYPERLINK("https://www.google.com/maps/search/?api=1&amp;query=-12.230006,-76.90221","Lurín, Lima")</f>
      </c>
      <c r="N16">
        <v>0</v>
      </c>
      <c r="O16">
        <v>100</v>
      </c>
      <c r="P16">
        <v>719052.2</v>
      </c>
      <c r="Q16" t="str">
        <v>117.00</v>
      </c>
      <c r="R16" t="str">
        <v/>
      </c>
      <c r="S16" t="str">
        <v/>
      </c>
      <c r="T16" t="str">
        <v/>
      </c>
      <c r="U16" t="str">
        <v/>
      </c>
    </row>
    <row r="17">
      <c r="A17" t="str">
        <v>16</v>
      </c>
      <c r="B17" t="str">
        <v>MASS BSF</v>
      </c>
      <c r="C17" t="str">
        <v>BXQ-847</v>
      </c>
      <c r="D17" t="str">
        <v>BXQ-847</v>
      </c>
      <c r="E17" t="str">
        <v/>
      </c>
      <c r="F17" t="str">
        <v>867162029843950</v>
      </c>
      <c r="G17" t="str">
        <v>TBD</v>
      </c>
      <c r="H17" t="str">
        <v/>
      </c>
      <c r="I17" t="str">
        <v>28/09/2026</v>
      </c>
      <c r="J17" t="str">
        <v>07:33:07</v>
      </c>
      <c r="K17">
        <v>-12.230006</v>
      </c>
      <c r="L17">
        <v>-76.90221</v>
      </c>
      <c r="M17">
        <f>HYPERLINK("https://www.google.com/maps/search/?api=1&amp;query=-12.230006,-76.90221","Lurín, Lima")</f>
      </c>
      <c r="N17">
        <v>0</v>
      </c>
      <c r="O17">
        <v>100</v>
      </c>
      <c r="P17">
        <v>719052.2</v>
      </c>
      <c r="Q17" t="str">
        <v>117.00</v>
      </c>
      <c r="R17" t="str">
        <v/>
      </c>
      <c r="S17" t="str">
        <v/>
      </c>
      <c r="T17" t="str">
        <v/>
      </c>
      <c r="U17" t="str">
        <v/>
      </c>
    </row>
    <row r="18">
      <c r="A18" t="str">
        <v>17</v>
      </c>
      <c r="B18" t="str">
        <v>MASS BSF</v>
      </c>
      <c r="C18" t="str">
        <v>BXQ-847</v>
      </c>
      <c r="D18" t="str">
        <v>BXQ-847</v>
      </c>
      <c r="E18" t="str">
        <v/>
      </c>
      <c r="F18" t="str">
        <v>867162029843950</v>
      </c>
      <c r="G18" t="str">
        <v>TBD</v>
      </c>
      <c r="H18" t="str">
        <v/>
      </c>
      <c r="I18" t="str">
        <v>28/09/2026</v>
      </c>
      <c r="J18" t="str">
        <v>08:03:09</v>
      </c>
      <c r="K18">
        <v>-12.230006</v>
      </c>
      <c r="L18">
        <v>-76.90221</v>
      </c>
      <c r="M18">
        <f>HYPERLINK("https://www.google.com/maps/search/?api=1&amp;query=-12.230006,-76.90221","Lurín, Lima")</f>
      </c>
      <c r="N18">
        <v>0</v>
      </c>
      <c r="O18">
        <v>100</v>
      </c>
      <c r="P18">
        <v>719052.2</v>
      </c>
      <c r="Q18" t="str">
        <v>117.00</v>
      </c>
      <c r="R18" t="str">
        <v/>
      </c>
      <c r="S18" t="str">
        <v/>
      </c>
      <c r="T18" t="str">
        <v/>
      </c>
      <c r="U18" t="str">
        <v/>
      </c>
    </row>
    <row r="19">
      <c r="A19" t="str">
        <v>18</v>
      </c>
      <c r="B19" t="str">
        <v>MASS BSF</v>
      </c>
      <c r="C19" t="str">
        <v>BXQ-847</v>
      </c>
      <c r="D19" t="str">
        <v>BXQ-847</v>
      </c>
      <c r="E19" t="str">
        <v/>
      </c>
      <c r="F19" t="str">
        <v>867162029843950</v>
      </c>
      <c r="G19" t="str">
        <v>TBD</v>
      </c>
      <c r="H19" t="str">
        <v/>
      </c>
      <c r="I19" t="str">
        <v>28/09/2026</v>
      </c>
      <c r="J19" t="str">
        <v>08:33:13</v>
      </c>
      <c r="K19">
        <v>-12.230006</v>
      </c>
      <c r="L19">
        <v>-76.90221</v>
      </c>
      <c r="M19">
        <f>HYPERLINK("https://www.google.com/maps/search/?api=1&amp;query=-12.230006,-76.90221","Lurín, Lima")</f>
      </c>
      <c r="N19">
        <v>0</v>
      </c>
      <c r="O19">
        <v>100</v>
      </c>
      <c r="P19">
        <v>719052.2</v>
      </c>
      <c r="Q19" t="str">
        <v>117.00</v>
      </c>
      <c r="R19" t="str">
        <v/>
      </c>
      <c r="S19" t="str">
        <v/>
      </c>
      <c r="T19" t="str">
        <v/>
      </c>
      <c r="U19" t="str">
        <v/>
      </c>
    </row>
    <row r="20">
      <c r="A20" t="str">
        <v>19</v>
      </c>
      <c r="B20" t="str">
        <v>MASS BSF</v>
      </c>
      <c r="C20" t="str">
        <v>BXQ-847</v>
      </c>
      <c r="D20" t="str">
        <v>BXQ-847</v>
      </c>
      <c r="E20" t="str">
        <v/>
      </c>
      <c r="F20" t="str">
        <v>867162029843950</v>
      </c>
      <c r="G20" t="str">
        <v>TBD</v>
      </c>
      <c r="H20" t="str">
        <v/>
      </c>
      <c r="I20" t="str">
        <v>28/09/2026</v>
      </c>
      <c r="J20" t="str">
        <v>09:03:15</v>
      </c>
      <c r="K20">
        <v>-12.230006</v>
      </c>
      <c r="L20">
        <v>-76.90221</v>
      </c>
      <c r="M20">
        <f>HYPERLINK("https://www.google.com/maps/search/?api=1&amp;query=-12.230006,-76.90221","Lurín, Lima")</f>
      </c>
      <c r="N20">
        <v>0</v>
      </c>
      <c r="O20">
        <v>100</v>
      </c>
      <c r="P20">
        <v>719052.2</v>
      </c>
      <c r="Q20" t="str">
        <v>117.00</v>
      </c>
      <c r="R20" t="str">
        <v/>
      </c>
      <c r="S20" t="str">
        <v/>
      </c>
      <c r="T20" t="str">
        <v/>
      </c>
      <c r="U20" t="str">
        <v/>
      </c>
    </row>
    <row r="21">
      <c r="A21" t="str">
        <v>20</v>
      </c>
      <c r="B21" t="str">
        <v>MASS BSF</v>
      </c>
      <c r="C21" t="str">
        <v>BXQ-847</v>
      </c>
      <c r="D21" t="str">
        <v>BXQ-847</v>
      </c>
      <c r="E21" t="str">
        <v/>
      </c>
      <c r="F21" t="str">
        <v>867162029843950</v>
      </c>
      <c r="G21" t="str">
        <v>TBD</v>
      </c>
      <c r="H21" t="str">
        <v/>
      </c>
      <c r="I21" t="str">
        <v>28/09/2026</v>
      </c>
      <c r="J21" t="str">
        <v>09:33:18</v>
      </c>
      <c r="K21">
        <v>-12.230006</v>
      </c>
      <c r="L21">
        <v>-76.90221</v>
      </c>
      <c r="M21">
        <f>HYPERLINK("https://www.google.com/maps/search/?api=1&amp;query=-12.230006,-76.90221","Lurín, Lima")</f>
      </c>
      <c r="N21">
        <v>0</v>
      </c>
      <c r="O21">
        <v>100</v>
      </c>
      <c r="P21">
        <v>719052.2</v>
      </c>
      <c r="Q21" t="str">
        <v>117.00</v>
      </c>
      <c r="R21" t="str">
        <v/>
      </c>
      <c r="S21" t="str">
        <v/>
      </c>
      <c r="T21" t="str">
        <v/>
      </c>
      <c r="U21" t="str">
        <v/>
      </c>
    </row>
    <row r="22">
      <c r="A22" t="str">
        <v>21</v>
      </c>
      <c r="B22" t="str">
        <v>MASS BSF</v>
      </c>
      <c r="C22" t="str">
        <v>BXQ-847</v>
      </c>
      <c r="D22" t="str">
        <v>BXQ-847</v>
      </c>
      <c r="E22" t="str">
        <v/>
      </c>
      <c r="F22" t="str">
        <v>867162029843950</v>
      </c>
      <c r="G22" t="str">
        <v>TBD</v>
      </c>
      <c r="H22" t="str">
        <v/>
      </c>
      <c r="I22" t="str">
        <v>28/09/2026</v>
      </c>
      <c r="J22" t="str">
        <v>10:03:20</v>
      </c>
      <c r="K22">
        <v>-12.230006</v>
      </c>
      <c r="L22">
        <v>-76.90221</v>
      </c>
      <c r="M22">
        <f>HYPERLINK("https://www.google.com/maps/search/?api=1&amp;query=-12.230006,-76.90221","Lurín, Lima")</f>
      </c>
      <c r="N22">
        <v>0</v>
      </c>
      <c r="O22">
        <v>100</v>
      </c>
      <c r="P22">
        <v>719052.2</v>
      </c>
      <c r="Q22" t="str">
        <v>117.00</v>
      </c>
      <c r="R22" t="str">
        <v/>
      </c>
      <c r="S22" t="str">
        <v/>
      </c>
      <c r="T22" t="str">
        <v/>
      </c>
      <c r="U22" t="str">
        <v/>
      </c>
    </row>
    <row r="23">
      <c r="A23" t="str">
        <v>22</v>
      </c>
      <c r="B23" t="str">
        <v>MASS BSF</v>
      </c>
      <c r="C23" t="str">
        <v>BXQ-847</v>
      </c>
      <c r="D23" t="str">
        <v>BXQ-847</v>
      </c>
      <c r="E23" t="str">
        <v/>
      </c>
      <c r="F23" t="str">
        <v>867162029843950</v>
      </c>
      <c r="G23" t="str">
        <v>TBD</v>
      </c>
      <c r="H23" t="str">
        <v/>
      </c>
      <c r="I23" t="str">
        <v>28/09/2026</v>
      </c>
      <c r="J23" t="str">
        <v>10:33:24</v>
      </c>
      <c r="K23">
        <v>-12.230006</v>
      </c>
      <c r="L23">
        <v>-76.90221</v>
      </c>
      <c r="M23">
        <f>HYPERLINK("https://www.google.com/maps/search/?api=1&amp;query=-12.230006,-76.90221","Lurín, Lima")</f>
      </c>
      <c r="N23">
        <v>0</v>
      </c>
      <c r="O23">
        <v>100</v>
      </c>
      <c r="P23">
        <v>719052.2</v>
      </c>
      <c r="Q23" t="str">
        <v>117.00</v>
      </c>
      <c r="R23" t="str">
        <v/>
      </c>
      <c r="S23" t="str">
        <v/>
      </c>
      <c r="T23" t="str">
        <v/>
      </c>
      <c r="U23" t="str">
        <v/>
      </c>
    </row>
    <row r="24">
      <c r="A24" t="str">
        <v>23</v>
      </c>
      <c r="B24" t="str">
        <v>MASS BSF</v>
      </c>
      <c r="C24" t="str">
        <v>BXQ-847</v>
      </c>
      <c r="D24" t="str">
        <v>BXQ-847</v>
      </c>
      <c r="E24" t="str">
        <v/>
      </c>
      <c r="F24" t="str">
        <v>867162029843950</v>
      </c>
      <c r="G24" t="str">
        <v>TBD</v>
      </c>
      <c r="H24" t="str">
        <v/>
      </c>
      <c r="I24" t="str">
        <v>28/09/2026</v>
      </c>
      <c r="J24" t="str">
        <v>10:42:30</v>
      </c>
      <c r="K24">
        <v>-12.230006</v>
      </c>
      <c r="L24">
        <v>-76.90221</v>
      </c>
      <c r="M24">
        <f>HYPERLINK("https://www.google.com/maps/search/?api=1&amp;query=-12.230006,-76.90221","Lurín, Lima")</f>
      </c>
      <c r="N24">
        <v>0</v>
      </c>
      <c r="O24">
        <v>100</v>
      </c>
      <c r="P24">
        <v>719052.2</v>
      </c>
      <c r="Q24" t="str">
        <v>117.00</v>
      </c>
      <c r="R24" t="str">
        <v>Vehículo encendido</v>
      </c>
      <c r="S24" t="str">
        <v/>
      </c>
      <c r="T24" t="str">
        <v/>
      </c>
      <c r="U24" t="str">
        <v/>
      </c>
    </row>
    <row r="25">
      <c r="A25" t="str">
        <v>24</v>
      </c>
      <c r="B25" t="str">
        <v>MASS BSF</v>
      </c>
      <c r="C25" t="str">
        <v>BXQ-847</v>
      </c>
      <c r="D25" t="str">
        <v>BXQ-847</v>
      </c>
      <c r="E25" t="str">
        <v/>
      </c>
      <c r="F25" t="str">
        <v>867162029843950</v>
      </c>
      <c r="G25" t="str">
        <v>TBD</v>
      </c>
      <c r="H25" t="str">
        <v/>
      </c>
      <c r="I25" t="str">
        <v>28/09/2026</v>
      </c>
      <c r="J25" t="str">
        <v>10:42:44</v>
      </c>
      <c r="K25">
        <v>-12.230097</v>
      </c>
      <c r="L25">
        <v>-76.90219</v>
      </c>
      <c r="M25">
        <f>HYPERLINK("https://www.google.com/maps/search/?api=1&amp;query=-12.230097,-76.90219","Lurín, Lima")</f>
      </c>
      <c r="N25">
        <v>0</v>
      </c>
      <c r="O25">
        <v>100</v>
      </c>
      <c r="P25">
        <v>719052.2</v>
      </c>
      <c r="Q25" t="str">
        <v>117.00</v>
      </c>
      <c r="R25" t="str">
        <v/>
      </c>
      <c r="S25" t="str">
        <v/>
      </c>
      <c r="T25" t="str">
        <v/>
      </c>
      <c r="U25" t="str">
        <v/>
      </c>
    </row>
    <row r="26">
      <c r="A26" t="str">
        <v>25</v>
      </c>
      <c r="B26" t="str">
        <v>MASS BSF</v>
      </c>
      <c r="C26" t="str">
        <v>BXQ-847</v>
      </c>
      <c r="D26" t="str">
        <v>BXQ-847</v>
      </c>
      <c r="E26" t="str">
        <v/>
      </c>
      <c r="F26" t="str">
        <v>867162029843950</v>
      </c>
      <c r="G26" t="str">
        <v>TBD</v>
      </c>
      <c r="H26" t="str">
        <v/>
      </c>
      <c r="I26" t="str">
        <v>28/09/2026</v>
      </c>
      <c r="J26" t="str">
        <v>10:43:40</v>
      </c>
      <c r="K26">
        <v>-12.230097</v>
      </c>
      <c r="L26">
        <v>-76.90219</v>
      </c>
      <c r="M26">
        <f>HYPERLINK("https://www.google.com/maps/search/?api=1&amp;query=-12.230097,-76.90219","Lurín, Lima")</f>
      </c>
      <c r="N26">
        <v>0</v>
      </c>
      <c r="O26">
        <v>100</v>
      </c>
      <c r="P26">
        <v>719052.2</v>
      </c>
      <c r="Q26" t="str">
        <v>117.00</v>
      </c>
      <c r="R26" t="str">
        <v/>
      </c>
      <c r="S26" t="str">
        <v/>
      </c>
      <c r="T26" t="str">
        <v/>
      </c>
      <c r="U26" t="str">
        <v/>
      </c>
    </row>
    <row r="27">
      <c r="A27" t="str">
        <v>26</v>
      </c>
      <c r="B27" t="str">
        <v>MASS BSF</v>
      </c>
      <c r="C27" t="str">
        <v>BXQ-847</v>
      </c>
      <c r="D27" t="str">
        <v>BXQ-847</v>
      </c>
      <c r="E27" t="str">
        <v/>
      </c>
      <c r="F27" t="str">
        <v>867162029843950</v>
      </c>
      <c r="G27" t="str">
        <v>TBD</v>
      </c>
      <c r="H27" t="str">
        <v/>
      </c>
      <c r="I27" t="str">
        <v>28/09/2026</v>
      </c>
      <c r="J27" t="str">
        <v>10:44:40</v>
      </c>
      <c r="K27">
        <v>-12.230097</v>
      </c>
      <c r="L27">
        <v>-76.90219</v>
      </c>
      <c r="M27">
        <f>HYPERLINK("https://www.google.com/maps/search/?api=1&amp;query=-12.230097,-76.90219","Lurín, Lima")</f>
      </c>
      <c r="N27">
        <v>0</v>
      </c>
      <c r="O27">
        <v>100</v>
      </c>
      <c r="P27">
        <v>719052.2</v>
      </c>
      <c r="Q27" t="str">
        <v>117.00</v>
      </c>
      <c r="R27" t="str">
        <v/>
      </c>
      <c r="S27" t="str">
        <v/>
      </c>
      <c r="T27" t="str">
        <v/>
      </c>
      <c r="U27" t="str">
        <v/>
      </c>
    </row>
    <row r="28">
      <c r="A28" t="str">
        <v>27</v>
      </c>
      <c r="B28" t="str">
        <v>MASS BSF</v>
      </c>
      <c r="C28" t="str">
        <v>BXQ-847</v>
      </c>
      <c r="D28" t="str">
        <v>BXQ-847</v>
      </c>
      <c r="E28" t="str">
        <v/>
      </c>
      <c r="F28" t="str">
        <v>867162029843950</v>
      </c>
      <c r="G28" t="str">
        <v>TBD</v>
      </c>
      <c r="H28" t="str">
        <v/>
      </c>
      <c r="I28" t="str">
        <v>28/09/2026</v>
      </c>
      <c r="J28" t="str">
        <v>10:45:40</v>
      </c>
      <c r="K28">
        <v>-12.230097</v>
      </c>
      <c r="L28">
        <v>-76.90219</v>
      </c>
      <c r="M28">
        <f>HYPERLINK("https://www.google.com/maps/search/?api=1&amp;query=-12.230097,-76.90219","Lurín, Lima")</f>
      </c>
      <c r="N28">
        <v>0</v>
      </c>
      <c r="O28">
        <v>100</v>
      </c>
      <c r="P28">
        <v>719052.2</v>
      </c>
      <c r="Q28" t="str">
        <v>117.00</v>
      </c>
      <c r="R28" t="str">
        <v/>
      </c>
      <c r="S28" t="str">
        <v/>
      </c>
      <c r="T28" t="str">
        <v/>
      </c>
      <c r="U28" t="str">
        <v/>
      </c>
    </row>
    <row r="29">
      <c r="A29" t="str">
        <v>28</v>
      </c>
      <c r="B29" t="str">
        <v>MASS BSF</v>
      </c>
      <c r="C29" t="str">
        <v>BXQ-847</v>
      </c>
      <c r="D29" t="str">
        <v>BXQ-847</v>
      </c>
      <c r="E29" t="str">
        <v/>
      </c>
      <c r="F29" t="str">
        <v>867162029843950</v>
      </c>
      <c r="G29" t="str">
        <v>TBD</v>
      </c>
      <c r="H29" t="str">
        <v/>
      </c>
      <c r="I29" t="str">
        <v>28/09/2026</v>
      </c>
      <c r="J29" t="str">
        <v>10:46:40</v>
      </c>
      <c r="K29">
        <v>-12.230097</v>
      </c>
      <c r="L29">
        <v>-76.90219</v>
      </c>
      <c r="M29">
        <f>HYPERLINK("https://www.google.com/maps/search/?api=1&amp;query=-12.230097,-76.90219","Lurín, Lima")</f>
      </c>
      <c r="N29">
        <v>0</v>
      </c>
      <c r="O29">
        <v>100</v>
      </c>
      <c r="P29">
        <v>719052.2</v>
      </c>
      <c r="Q29" t="str">
        <v>117.00</v>
      </c>
      <c r="R29" t="str">
        <v/>
      </c>
      <c r="S29" t="str">
        <v/>
      </c>
      <c r="T29" t="str">
        <v/>
      </c>
      <c r="U29" t="str">
        <v/>
      </c>
    </row>
    <row r="30">
      <c r="A30" t="str">
        <v>29</v>
      </c>
      <c r="B30" t="str">
        <v>MASS BSF</v>
      </c>
      <c r="C30" t="str">
        <v>BXQ-847</v>
      </c>
      <c r="D30" t="str">
        <v>BXQ-847</v>
      </c>
      <c r="E30" t="str">
        <v/>
      </c>
      <c r="F30" t="str">
        <v>867162029843950</v>
      </c>
      <c r="G30" t="str">
        <v>TBD</v>
      </c>
      <c r="H30" t="str">
        <v/>
      </c>
      <c r="I30" t="str">
        <v>28/09/2026</v>
      </c>
      <c r="J30" t="str">
        <v>10:47:40</v>
      </c>
      <c r="K30">
        <v>-12.230097</v>
      </c>
      <c r="L30">
        <v>-76.90219</v>
      </c>
      <c r="M30">
        <f>HYPERLINK("https://www.google.com/maps/search/?api=1&amp;query=-12.230097,-76.90219","Lurín, Lima")</f>
      </c>
      <c r="N30">
        <v>0</v>
      </c>
      <c r="O30">
        <v>100</v>
      </c>
      <c r="P30">
        <v>719052.2</v>
      </c>
      <c r="Q30" t="str">
        <v>117.00</v>
      </c>
      <c r="R30" t="str">
        <v/>
      </c>
      <c r="S30" t="str">
        <v/>
      </c>
      <c r="T30" t="str">
        <v/>
      </c>
      <c r="U30" t="str">
        <v/>
      </c>
    </row>
    <row r="31">
      <c r="A31" t="str">
        <v>30</v>
      </c>
      <c r="B31" t="str">
        <v>MASS BSF</v>
      </c>
      <c r="C31" t="str">
        <v>BXQ-847</v>
      </c>
      <c r="D31" t="str">
        <v>BXQ-847</v>
      </c>
      <c r="E31" t="str">
        <v/>
      </c>
      <c r="F31" t="str">
        <v>867162029843950</v>
      </c>
      <c r="G31" t="str">
        <v>TBD</v>
      </c>
      <c r="H31" t="str">
        <v/>
      </c>
      <c r="I31" t="str">
        <v>28/09/2026</v>
      </c>
      <c r="J31" t="str">
        <v>10:48:40</v>
      </c>
      <c r="K31">
        <v>-12.230097</v>
      </c>
      <c r="L31">
        <v>-76.90219</v>
      </c>
      <c r="M31">
        <f>HYPERLINK("https://www.google.com/maps/search/?api=1&amp;query=-12.230097,-76.90219","Lurín, Lima")</f>
      </c>
      <c r="N31">
        <v>0</v>
      </c>
      <c r="O31">
        <v>100</v>
      </c>
      <c r="P31">
        <v>719052.2</v>
      </c>
      <c r="Q31" t="str">
        <v>117.00</v>
      </c>
      <c r="R31" t="str">
        <v/>
      </c>
      <c r="S31" t="str">
        <v/>
      </c>
      <c r="T31" t="str">
        <v/>
      </c>
      <c r="U31" t="str">
        <v/>
      </c>
    </row>
    <row r="32">
      <c r="A32" t="str">
        <v>31</v>
      </c>
      <c r="B32" t="str">
        <v>MASS BSF</v>
      </c>
      <c r="C32" t="str">
        <v>BXQ-847</v>
      </c>
      <c r="D32" t="str">
        <v>BXQ-847</v>
      </c>
      <c r="E32" t="str">
        <v/>
      </c>
      <c r="F32" t="str">
        <v>867162029843950</v>
      </c>
      <c r="G32" t="str">
        <v>TBD</v>
      </c>
      <c r="H32" t="str">
        <v/>
      </c>
      <c r="I32" t="str">
        <v>28/09/2026</v>
      </c>
      <c r="J32" t="str">
        <v>10:49:23</v>
      </c>
      <c r="K32">
        <v>-12.229969</v>
      </c>
      <c r="L32">
        <v>-76.90232</v>
      </c>
      <c r="M32">
        <f>HYPERLINK("https://www.google.com/maps/search/?api=1&amp;query=-12.229969,-76.90232","Lurín, Lima")</f>
      </c>
      <c r="N32">
        <v>8.2</v>
      </c>
      <c r="O32">
        <v>100</v>
      </c>
      <c r="P32">
        <v>719052.2</v>
      </c>
      <c r="Q32" t="str">
        <v>117.00</v>
      </c>
      <c r="R32" t="str">
        <v/>
      </c>
      <c r="S32" t="str">
        <v/>
      </c>
      <c r="T32" t="str">
        <v/>
      </c>
      <c r="U32" t="str">
        <v/>
      </c>
    </row>
    <row r="33">
      <c r="A33" t="str">
        <v>32</v>
      </c>
      <c r="B33" t="str">
        <v>MASS BSF</v>
      </c>
      <c r="C33" t="str">
        <v>BXQ-847</v>
      </c>
      <c r="D33" t="str">
        <v>BXQ-847</v>
      </c>
      <c r="E33" t="str">
        <v/>
      </c>
      <c r="F33" t="str">
        <v>867162029843950</v>
      </c>
      <c r="G33" t="str">
        <v>TBD</v>
      </c>
      <c r="H33" t="str">
        <v/>
      </c>
      <c r="I33" t="str">
        <v>28/09/2026</v>
      </c>
      <c r="J33" t="str">
        <v>10:49:41</v>
      </c>
      <c r="K33">
        <v>-12.229935</v>
      </c>
      <c r="L33">
        <v>-76.902534</v>
      </c>
      <c r="M33">
        <f>HYPERLINK("https://www.google.com/maps/search/?api=1&amp;query=-12.229935,-76.902534","Lurín, Lima")</f>
      </c>
      <c r="N33">
        <v>6.5</v>
      </c>
      <c r="O33">
        <v>100</v>
      </c>
      <c r="P33">
        <v>719052.2</v>
      </c>
      <c r="Q33" t="str">
        <v>117.00</v>
      </c>
      <c r="R33" t="str">
        <v/>
      </c>
      <c r="S33" t="str">
        <v/>
      </c>
      <c r="T33" t="str">
        <v/>
      </c>
      <c r="U33" t="str">
        <v/>
      </c>
    </row>
    <row r="34">
      <c r="A34" t="str">
        <v>33</v>
      </c>
      <c r="B34" t="str">
        <v>MASS BSF</v>
      </c>
      <c r="C34" t="str">
        <v>BXQ-847</v>
      </c>
      <c r="D34" t="str">
        <v>BXQ-847</v>
      </c>
      <c r="E34" t="str">
        <v/>
      </c>
      <c r="F34" t="str">
        <v>867162029843950</v>
      </c>
      <c r="G34" t="str">
        <v>TBD</v>
      </c>
      <c r="H34" t="str">
        <v/>
      </c>
      <c r="I34" t="str">
        <v>28/09/2026</v>
      </c>
      <c r="J34" t="str">
        <v>10:50:41</v>
      </c>
      <c r="K34">
        <v>-12.229881</v>
      </c>
      <c r="L34">
        <v>-76.90273</v>
      </c>
      <c r="M34">
        <f>HYPERLINK("https://www.google.com/maps/search/?api=1&amp;query=-12.229881,-76.90273","Jirón Los Sauces, Lurín, Lima")</f>
      </c>
      <c r="N34">
        <v>0</v>
      </c>
      <c r="O34">
        <v>100</v>
      </c>
      <c r="P34">
        <v>719052.2</v>
      </c>
      <c r="Q34" t="str">
        <v>117.00</v>
      </c>
      <c r="R34" t="str">
        <v/>
      </c>
      <c r="S34" t="str">
        <v/>
      </c>
      <c r="T34" t="str">
        <v/>
      </c>
      <c r="U34" t="str">
        <v/>
      </c>
    </row>
    <row r="35">
      <c r="A35" t="str">
        <v>34</v>
      </c>
      <c r="B35" t="str">
        <v>MASS BSF</v>
      </c>
      <c r="C35" t="str">
        <v>BXQ-847</v>
      </c>
      <c r="D35" t="str">
        <v>BXQ-847</v>
      </c>
      <c r="E35" t="str">
        <v/>
      </c>
      <c r="F35" t="str">
        <v>867162029843950</v>
      </c>
      <c r="G35" t="str">
        <v>TBD</v>
      </c>
      <c r="H35" t="str">
        <v/>
      </c>
      <c r="I35" t="str">
        <v>28/09/2026</v>
      </c>
      <c r="J35" t="str">
        <v>10:50:44</v>
      </c>
      <c r="K35">
        <v>-12.229894</v>
      </c>
      <c r="L35">
        <v>-76.90288</v>
      </c>
      <c r="M35">
        <f>HYPERLINK("https://www.google.com/maps/search/?api=1&amp;query=-12.229894,-76.90288","Jirón Los Sauces, Lurín, Lima")</f>
      </c>
      <c r="N35">
        <v>6.8</v>
      </c>
      <c r="O35">
        <v>100</v>
      </c>
      <c r="P35">
        <v>719052.2</v>
      </c>
      <c r="Q35" t="str">
        <v>117.00</v>
      </c>
      <c r="R35" t="str">
        <v/>
      </c>
      <c r="S35" t="str">
        <v/>
      </c>
      <c r="T35" t="str">
        <v/>
      </c>
      <c r="U35" t="str">
        <v/>
      </c>
    </row>
    <row r="36">
      <c r="A36" t="str">
        <v>35</v>
      </c>
      <c r="B36" t="str">
        <v>MASS BSF</v>
      </c>
      <c r="C36" t="str">
        <v>BXQ-847</v>
      </c>
      <c r="D36" t="str">
        <v>BXQ-847</v>
      </c>
      <c r="E36" t="str">
        <v/>
      </c>
      <c r="F36" t="str">
        <v>867162029843950</v>
      </c>
      <c r="G36" t="str">
        <v>TBD</v>
      </c>
      <c r="H36" t="str">
        <v/>
      </c>
      <c r="I36" t="str">
        <v>28/09/2026</v>
      </c>
      <c r="J36" t="str">
        <v>10:51:41</v>
      </c>
      <c r="K36">
        <v>-12.22995</v>
      </c>
      <c r="L36">
        <v>-76.90289</v>
      </c>
      <c r="M36">
        <f>HYPERLINK("https://www.google.com/maps/search/?api=1&amp;query=-12.22995,-76.90289","Jirón Los Sauces, Lurín, Lima")</f>
      </c>
      <c r="N36">
        <v>0</v>
      </c>
      <c r="O36">
        <v>100</v>
      </c>
      <c r="P36">
        <v>719052.2</v>
      </c>
      <c r="Q36" t="str">
        <v>117.00</v>
      </c>
      <c r="R36" t="str">
        <v/>
      </c>
      <c r="S36" t="str">
        <v/>
      </c>
      <c r="T36" t="str">
        <v/>
      </c>
      <c r="U36" t="str">
        <v/>
      </c>
    </row>
    <row r="37">
      <c r="A37" t="str">
        <v>36</v>
      </c>
      <c r="B37" t="str">
        <v>MASS BSF</v>
      </c>
      <c r="C37" t="str">
        <v>BXQ-847</v>
      </c>
      <c r="D37" t="str">
        <v>BXQ-847</v>
      </c>
      <c r="E37" t="str">
        <v/>
      </c>
      <c r="F37" t="str">
        <v>867162029843950</v>
      </c>
      <c r="G37" t="str">
        <v>TBD</v>
      </c>
      <c r="H37" t="str">
        <v/>
      </c>
      <c r="I37" t="str">
        <v>28/09/2026</v>
      </c>
      <c r="J37" t="str">
        <v>10:52:41</v>
      </c>
      <c r="K37">
        <v>-12.22995</v>
      </c>
      <c r="L37">
        <v>-76.90289</v>
      </c>
      <c r="M37">
        <f>HYPERLINK("https://www.google.com/maps/search/?api=1&amp;query=-12.22995,-76.90289","Jirón Los Sauces, Lurín, Lima")</f>
      </c>
      <c r="N37">
        <v>0</v>
      </c>
      <c r="O37">
        <v>100</v>
      </c>
      <c r="P37">
        <v>719052.2</v>
      </c>
      <c r="Q37" t="str">
        <v>117.00</v>
      </c>
      <c r="R37" t="str">
        <v/>
      </c>
      <c r="S37" t="str">
        <v/>
      </c>
      <c r="T37" t="str">
        <v/>
      </c>
      <c r="U37" t="str">
        <v/>
      </c>
    </row>
    <row r="38">
      <c r="A38" t="str">
        <v>37</v>
      </c>
      <c r="B38" t="str">
        <v>MASS BSF</v>
      </c>
      <c r="C38" t="str">
        <v>BXQ-847</v>
      </c>
      <c r="D38" t="str">
        <v>BXQ-847</v>
      </c>
      <c r="E38" t="str">
        <v/>
      </c>
      <c r="F38" t="str">
        <v>867162029843950</v>
      </c>
      <c r="G38" t="str">
        <v>TBD</v>
      </c>
      <c r="H38" t="str">
        <v/>
      </c>
      <c r="I38" t="str">
        <v>28/09/2026</v>
      </c>
      <c r="J38" t="str">
        <v>10:53:41</v>
      </c>
      <c r="K38">
        <v>-12.2306</v>
      </c>
      <c r="L38">
        <v>-76.90309</v>
      </c>
      <c r="M38">
        <f>HYPERLINK("https://www.google.com/maps/search/?api=1&amp;query=-12.2306,-76.90309","Jirón Los Sauces, Lurín, Lima")</f>
      </c>
      <c r="N38">
        <v>8.3</v>
      </c>
      <c r="O38">
        <v>100</v>
      </c>
      <c r="P38">
        <v>719052.3</v>
      </c>
      <c r="Q38" t="str">
        <v>117.00</v>
      </c>
      <c r="R38" t="str">
        <v/>
      </c>
      <c r="S38" t="str">
        <v/>
      </c>
      <c r="T38" t="str">
        <v/>
      </c>
      <c r="U38" t="str">
        <v/>
      </c>
    </row>
    <row r="39">
      <c r="A39" t="str">
        <v>38</v>
      </c>
      <c r="B39" t="str">
        <v>MASS BSF</v>
      </c>
      <c r="C39" t="str">
        <v>BXQ-847</v>
      </c>
      <c r="D39" t="str">
        <v>BXQ-847</v>
      </c>
      <c r="E39" t="str">
        <v/>
      </c>
      <c r="F39" t="str">
        <v>867162029843950</v>
      </c>
      <c r="G39" t="str">
        <v>TBD</v>
      </c>
      <c r="H39" t="str">
        <v/>
      </c>
      <c r="I39" t="str">
        <v>28/09/2026</v>
      </c>
      <c r="J39" t="str">
        <v>10:54:41</v>
      </c>
      <c r="K39">
        <v>-12.23207</v>
      </c>
      <c r="L39">
        <v>-76.903465</v>
      </c>
      <c r="M39">
        <f>HYPERLINK("https://www.google.com/maps/search/?api=1&amp;query=-12.23207,-76.903465","Jirón Los Sauces, Lurín, Lima")</f>
      </c>
      <c r="N39">
        <v>9.5</v>
      </c>
      <c r="O39">
        <v>100</v>
      </c>
      <c r="P39">
        <v>719052.5</v>
      </c>
      <c r="Q39" t="str">
        <v>117.00</v>
      </c>
      <c r="R39" t="str">
        <v/>
      </c>
      <c r="S39" t="str">
        <v/>
      </c>
      <c r="T39" t="str">
        <v/>
      </c>
      <c r="U39" t="str">
        <v/>
      </c>
    </row>
    <row r="40">
      <c r="A40" t="str">
        <v>39</v>
      </c>
      <c r="B40" t="str">
        <v>MASS BSF</v>
      </c>
      <c r="C40" t="str">
        <v>BXQ-847</v>
      </c>
      <c r="D40" t="str">
        <v>BXQ-847</v>
      </c>
      <c r="E40" t="str">
        <v/>
      </c>
      <c r="F40" t="str">
        <v>867162029843950</v>
      </c>
      <c r="G40" t="str">
        <v>TBD</v>
      </c>
      <c r="H40" t="str">
        <v/>
      </c>
      <c r="I40" t="str">
        <v>28/09/2026</v>
      </c>
      <c r="J40" t="str">
        <v>10:54:53</v>
      </c>
      <c r="K40">
        <v>-12.23244</v>
      </c>
      <c r="L40">
        <v>-76.903564</v>
      </c>
      <c r="M40">
        <f>HYPERLINK("https://www.google.com/maps/search/?api=1&amp;query=-12.23244,-76.903564","Jirón Los Sauces, Lurín, Lima")</f>
      </c>
      <c r="N40">
        <v>6.6</v>
      </c>
      <c r="O40">
        <v>100</v>
      </c>
      <c r="P40">
        <v>719052.5</v>
      </c>
      <c r="Q40" t="str">
        <v>117.00</v>
      </c>
      <c r="R40" t="str">
        <v/>
      </c>
      <c r="S40" t="str">
        <v/>
      </c>
      <c r="T40" t="str">
        <v/>
      </c>
      <c r="U40" t="str">
        <v/>
      </c>
    </row>
    <row r="41">
      <c r="A41" t="str">
        <v>40</v>
      </c>
      <c r="B41" t="str">
        <v>MASS BSF</v>
      </c>
      <c r="C41" t="str">
        <v>BXQ-847</v>
      </c>
      <c r="D41" t="str">
        <v>BXQ-847</v>
      </c>
      <c r="E41" t="str">
        <v/>
      </c>
      <c r="F41" t="str">
        <v>867162029843950</v>
      </c>
      <c r="G41" t="str">
        <v>TBD</v>
      </c>
      <c r="H41" t="str">
        <v/>
      </c>
      <c r="I41" t="str">
        <v>28/09/2026</v>
      </c>
      <c r="J41" t="str">
        <v>10:54:56</v>
      </c>
      <c r="K41">
        <v>-12.232451</v>
      </c>
      <c r="L41">
        <v>-76.9036</v>
      </c>
      <c r="M41">
        <f>HYPERLINK("https://www.google.com/maps/search/?api=1&amp;query=-12.232451,-76.9036","Avenida Los Cipreces, Lurín, Lima")</f>
      </c>
      <c r="N41">
        <v>4.3</v>
      </c>
      <c r="O41">
        <v>100</v>
      </c>
      <c r="P41">
        <v>719052.5</v>
      </c>
      <c r="Q41" t="str">
        <v>117.00</v>
      </c>
      <c r="R41" t="str">
        <v/>
      </c>
      <c r="S41" t="str">
        <v/>
      </c>
      <c r="T41" t="str">
        <v/>
      </c>
      <c r="U41" t="str">
        <v/>
      </c>
    </row>
    <row r="42">
      <c r="A42" t="str">
        <v>41</v>
      </c>
      <c r="B42" t="str">
        <v>MASS BSF</v>
      </c>
      <c r="C42" t="str">
        <v>BXQ-847</v>
      </c>
      <c r="D42" t="str">
        <v>BXQ-847</v>
      </c>
      <c r="E42" t="str">
        <v/>
      </c>
      <c r="F42" t="str">
        <v>867162029843950</v>
      </c>
      <c r="G42" t="str">
        <v>TBD</v>
      </c>
      <c r="H42" t="str">
        <v/>
      </c>
      <c r="I42" t="str">
        <v>28/09/2026</v>
      </c>
      <c r="J42" t="str">
        <v>10:54:59</v>
      </c>
      <c r="K42">
        <v>-12.232434</v>
      </c>
      <c r="L42">
        <v>-76.90365</v>
      </c>
      <c r="M42">
        <f>HYPERLINK("https://www.google.com/maps/search/?api=1&amp;query=-12.232434,-76.90365","Avenida Los Cipreces, Lurín, Lima")</f>
      </c>
      <c r="N42">
        <v>7.6</v>
      </c>
      <c r="O42">
        <v>100</v>
      </c>
      <c r="P42">
        <v>719052.5</v>
      </c>
      <c r="Q42" t="str">
        <v>117.00</v>
      </c>
      <c r="R42" t="str">
        <v/>
      </c>
      <c r="S42" t="str">
        <v/>
      </c>
      <c r="T42" t="str">
        <v/>
      </c>
      <c r="U42" t="str">
        <v/>
      </c>
    </row>
    <row r="43">
      <c r="A43" t="str">
        <v>42</v>
      </c>
      <c r="B43" t="str">
        <v>MASS BSF</v>
      </c>
      <c r="C43" t="str">
        <v>BXQ-847</v>
      </c>
      <c r="D43" t="str">
        <v>BXQ-847</v>
      </c>
      <c r="E43" t="str">
        <v/>
      </c>
      <c r="F43" t="str">
        <v>867162029843950</v>
      </c>
      <c r="G43" t="str">
        <v>TBD</v>
      </c>
      <c r="H43" t="str">
        <v/>
      </c>
      <c r="I43" t="str">
        <v>28/09/2026</v>
      </c>
      <c r="J43" t="str">
        <v>10:55:41</v>
      </c>
      <c r="K43">
        <v>-12.231974</v>
      </c>
      <c r="L43">
        <v>-76.90399</v>
      </c>
      <c r="M43">
        <f>HYPERLINK("https://www.google.com/maps/search/?api=1&amp;query=-12.231974,-76.90399","Avenida Los Cipreces, Lurín, Lima")</f>
      </c>
      <c r="N43">
        <v>8.8</v>
      </c>
      <c r="O43">
        <v>100</v>
      </c>
      <c r="P43">
        <v>719052.6</v>
      </c>
      <c r="Q43" t="str">
        <v>117.00</v>
      </c>
      <c r="R43" t="str">
        <v/>
      </c>
      <c r="S43" t="str">
        <v/>
      </c>
      <c r="T43" t="str">
        <v/>
      </c>
      <c r="U43" t="str">
        <v/>
      </c>
    </row>
    <row r="44">
      <c r="A44" t="str">
        <v>43</v>
      </c>
      <c r="B44" t="str">
        <v>MASS BSF</v>
      </c>
      <c r="C44" t="str">
        <v>BXQ-847</v>
      </c>
      <c r="D44" t="str">
        <v>BXQ-847</v>
      </c>
      <c r="E44" t="str">
        <v/>
      </c>
      <c r="F44" t="str">
        <v>867162029843950</v>
      </c>
      <c r="G44" t="str">
        <v>TBD</v>
      </c>
      <c r="H44" t="str">
        <v/>
      </c>
      <c r="I44" t="str">
        <v>28/09/2026</v>
      </c>
      <c r="J44" t="str">
        <v>10:56:05</v>
      </c>
      <c r="K44">
        <v>-12.231364</v>
      </c>
      <c r="L44">
        <v>-76.90452</v>
      </c>
      <c r="M44">
        <f>HYPERLINK("https://www.google.com/maps/search/?api=1&amp;query=-12.231364,-76.90452","Calle B, Lurín, Lima")</f>
      </c>
      <c r="N44">
        <v>10.8</v>
      </c>
      <c r="O44">
        <v>100</v>
      </c>
      <c r="P44">
        <v>719052.7</v>
      </c>
      <c r="Q44" t="str">
        <v>117.00</v>
      </c>
      <c r="R44" t="str">
        <v/>
      </c>
      <c r="S44" t="str">
        <v/>
      </c>
      <c r="T44" t="str">
        <v/>
      </c>
      <c r="U44" t="str">
        <v/>
      </c>
    </row>
    <row r="45">
      <c r="A45" t="str">
        <v>44</v>
      </c>
      <c r="B45" t="str">
        <v>MASS BSF</v>
      </c>
      <c r="C45" t="str">
        <v>BXQ-847</v>
      </c>
      <c r="D45" t="str">
        <v>BXQ-847</v>
      </c>
      <c r="E45" t="str">
        <v/>
      </c>
      <c r="F45" t="str">
        <v>867162029843950</v>
      </c>
      <c r="G45" t="str">
        <v>TBD</v>
      </c>
      <c r="H45" t="str">
        <v/>
      </c>
      <c r="I45" t="str">
        <v>28/09/2026</v>
      </c>
      <c r="J45" t="str">
        <v>10:56:41</v>
      </c>
      <c r="K45">
        <v>-12.230946</v>
      </c>
      <c r="L45">
        <v>-76.90513</v>
      </c>
      <c r="M45">
        <f>HYPERLINK("https://www.google.com/maps/search/?api=1&amp;query=-12.230946,-76.90513","Calle B, Villa María del Triunfo, Lima")</f>
      </c>
      <c r="N45">
        <v>10.4</v>
      </c>
      <c r="O45">
        <v>100</v>
      </c>
      <c r="P45">
        <v>719052.8</v>
      </c>
      <c r="Q45" t="str">
        <v>117.00</v>
      </c>
      <c r="R45" t="str">
        <v/>
      </c>
      <c r="S45" t="str">
        <v/>
      </c>
      <c r="T45" t="str">
        <v/>
      </c>
      <c r="U45" t="str">
        <v/>
      </c>
    </row>
    <row r="46">
      <c r="A46" t="str">
        <v>45</v>
      </c>
      <c r="B46" t="str">
        <v>MASS BSF</v>
      </c>
      <c r="C46" t="str">
        <v>BXQ-847</v>
      </c>
      <c r="D46" t="str">
        <v>BXQ-847</v>
      </c>
      <c r="E46" t="str">
        <v/>
      </c>
      <c r="F46" t="str">
        <v>867162029843950</v>
      </c>
      <c r="G46" t="str">
        <v>TBD</v>
      </c>
      <c r="H46" t="str">
        <v/>
      </c>
      <c r="I46" t="str">
        <v>28/09/2026</v>
      </c>
      <c r="J46" t="str">
        <v>10:57:41</v>
      </c>
      <c r="K46">
        <v>-12.230366</v>
      </c>
      <c r="L46">
        <v>-76.90649</v>
      </c>
      <c r="M46">
        <f>HYPERLINK("https://www.google.com/maps/search/?api=1&amp;query=-12.230366,-76.90649","Calle B, Villa María del Triunfo, Lima")</f>
      </c>
      <c r="N46">
        <v>11.7</v>
      </c>
      <c r="O46">
        <v>100</v>
      </c>
      <c r="P46">
        <v>719052.9</v>
      </c>
      <c r="Q46" t="str">
        <v>117.00</v>
      </c>
      <c r="R46" t="str">
        <v/>
      </c>
      <c r="S46" t="str">
        <v/>
      </c>
      <c r="T46" t="str">
        <v/>
      </c>
      <c r="U46" t="str">
        <v/>
      </c>
    </row>
    <row r="47">
      <c r="A47" t="str">
        <v>46</v>
      </c>
      <c r="B47" t="str">
        <v>MASS BSF</v>
      </c>
      <c r="C47" t="str">
        <v>BXQ-847</v>
      </c>
      <c r="D47" t="str">
        <v>BXQ-847</v>
      </c>
      <c r="E47" t="str">
        <v/>
      </c>
      <c r="F47" t="str">
        <v>867162029843950</v>
      </c>
      <c r="G47" t="str">
        <v>TBD</v>
      </c>
      <c r="H47" t="str">
        <v/>
      </c>
      <c r="I47" t="str">
        <v>28/09/2026</v>
      </c>
      <c r="J47" t="str">
        <v>10:58:41</v>
      </c>
      <c r="K47">
        <v>-12.229475</v>
      </c>
      <c r="L47">
        <v>-76.907936</v>
      </c>
      <c r="M47">
        <f>HYPERLINK("https://www.google.com/maps/search/?api=1&amp;query=-12.229475,-76.907936","Avenida Los Cipreces, Villa María del Triunfo, Lima")</f>
      </c>
      <c r="N47">
        <v>8.2</v>
      </c>
      <c r="O47">
        <v>100</v>
      </c>
      <c r="P47">
        <v>719053.1</v>
      </c>
      <c r="Q47" t="str">
        <v>117.00</v>
      </c>
      <c r="R47" t="str">
        <v/>
      </c>
      <c r="S47" t="str">
        <v/>
      </c>
      <c r="T47" t="str">
        <v/>
      </c>
      <c r="U47" t="str">
        <v/>
      </c>
    </row>
    <row r="48">
      <c r="A48" t="str">
        <v>47</v>
      </c>
      <c r="B48" t="str">
        <v>MASS BSF</v>
      </c>
      <c r="C48" t="str">
        <v>BXQ-847</v>
      </c>
      <c r="D48" t="str">
        <v>BXQ-847</v>
      </c>
      <c r="E48" t="str">
        <v/>
      </c>
      <c r="F48" t="str">
        <v>867162029843950</v>
      </c>
      <c r="G48" t="str">
        <v>TBD</v>
      </c>
      <c r="H48" t="str">
        <v/>
      </c>
      <c r="I48" t="str">
        <v>28/09/2026</v>
      </c>
      <c r="J48" t="str">
        <v>10:59:09</v>
      </c>
      <c r="K48">
        <v>-12.229306</v>
      </c>
      <c r="L48">
        <v>-76.9093</v>
      </c>
      <c r="M48">
        <f>HYPERLINK("https://www.google.com/maps/search/?api=1&amp;query=-12.229306,-76.9093","Avenida Los Cipreces, Villa María del Triunfo, Lima")</f>
      </c>
      <c r="N48">
        <v>16.1</v>
      </c>
      <c r="O48">
        <v>100</v>
      </c>
      <c r="P48">
        <v>719053.3</v>
      </c>
      <c r="Q48" t="str">
        <v>117.00</v>
      </c>
      <c r="R48" t="str">
        <v/>
      </c>
      <c r="S48" t="str">
        <v/>
      </c>
      <c r="T48" t="str">
        <v/>
      </c>
      <c r="U48" t="str">
        <v/>
      </c>
    </row>
    <row r="49">
      <c r="A49" t="str">
        <v>48</v>
      </c>
      <c r="B49" t="str">
        <v>MASS BSF</v>
      </c>
      <c r="C49" t="str">
        <v>BXQ-847</v>
      </c>
      <c r="D49" t="str">
        <v>BXQ-847</v>
      </c>
      <c r="E49" t="str">
        <v/>
      </c>
      <c r="F49" t="str">
        <v>867162029843950</v>
      </c>
      <c r="G49" t="str">
        <v>TBD</v>
      </c>
      <c r="H49" t="str">
        <v/>
      </c>
      <c r="I49" t="str">
        <v>28/09/2026</v>
      </c>
      <c r="J49" t="str">
        <v>10:59:11</v>
      </c>
      <c r="K49">
        <v>-12.229419</v>
      </c>
      <c r="L49">
        <v>-76.909355</v>
      </c>
      <c r="M49">
        <f>HYPERLINK("https://www.google.com/maps/search/?api=1&amp;query=-12.229419,-76.909355","Avenida Lima, Villa María del Triunfo")</f>
      </c>
      <c r="N49">
        <v>18</v>
      </c>
      <c r="O49">
        <v>100</v>
      </c>
      <c r="P49">
        <v>719053.3</v>
      </c>
      <c r="Q49" t="str">
        <v>117.00</v>
      </c>
      <c r="R49" t="str">
        <v/>
      </c>
      <c r="S49" t="str">
        <v/>
      </c>
      <c r="T49" t="str">
        <v/>
      </c>
      <c r="U49" t="str">
        <v/>
      </c>
    </row>
    <row r="50">
      <c r="A50" t="str">
        <v>49</v>
      </c>
      <c r="B50" t="str">
        <v>MASS BSF</v>
      </c>
      <c r="C50" t="str">
        <v>BXQ-847</v>
      </c>
      <c r="D50" t="str">
        <v>BXQ-847</v>
      </c>
      <c r="E50" t="str">
        <v/>
      </c>
      <c r="F50" t="str">
        <v>867162029843950</v>
      </c>
      <c r="G50" t="str">
        <v>TBD</v>
      </c>
      <c r="H50" t="str">
        <v/>
      </c>
      <c r="I50" t="str">
        <v>28/09/2026</v>
      </c>
      <c r="J50" t="str">
        <v>10:59:41</v>
      </c>
      <c r="K50">
        <v>-12.230275</v>
      </c>
      <c r="L50">
        <v>-76.90957</v>
      </c>
      <c r="M50">
        <f>HYPERLINK("https://www.google.com/maps/search/?api=1&amp;query=-12.230275,-76.90957","Calle 2, Villa María del Triunfo, Lima")</f>
      </c>
      <c r="N50">
        <v>7</v>
      </c>
      <c r="O50">
        <v>100</v>
      </c>
      <c r="P50">
        <v>719053.4</v>
      </c>
      <c r="Q50" t="str">
        <v>117.00</v>
      </c>
      <c r="R50" t="str">
        <v/>
      </c>
      <c r="S50" t="str">
        <v/>
      </c>
      <c r="T50" t="str">
        <v/>
      </c>
      <c r="U50" t="str">
        <v/>
      </c>
    </row>
    <row r="51">
      <c r="A51" t="str">
        <v>50</v>
      </c>
      <c r="B51" t="str">
        <v>MASS BSF</v>
      </c>
      <c r="C51" t="str">
        <v>BXQ-847</v>
      </c>
      <c r="D51" t="str">
        <v>BXQ-847</v>
      </c>
      <c r="E51" t="str">
        <v/>
      </c>
      <c r="F51" t="str">
        <v>867162029843950</v>
      </c>
      <c r="G51" t="str">
        <v>TBD</v>
      </c>
      <c r="H51" t="str">
        <v/>
      </c>
      <c r="I51" t="str">
        <v>28/09/2026</v>
      </c>
      <c r="J51" t="str">
        <v>10:59:59</v>
      </c>
      <c r="K51">
        <v>-12.231107</v>
      </c>
      <c r="L51">
        <v>-76.90977</v>
      </c>
      <c r="M51">
        <f>HYPERLINK("https://www.google.com/maps/search/?api=1&amp;query=-12.231107,-76.90977","Avenida Lima, Villa María del Triunfo")</f>
      </c>
      <c r="N51">
        <v>13.2</v>
      </c>
      <c r="O51">
        <v>100</v>
      </c>
      <c r="P51">
        <v>719053.5</v>
      </c>
      <c r="Q51" t="str">
        <v>117.00</v>
      </c>
      <c r="R51" t="str">
        <v/>
      </c>
      <c r="S51" t="str">
        <v/>
      </c>
      <c r="T51" t="str">
        <v/>
      </c>
      <c r="U51" t="str">
        <v/>
      </c>
    </row>
    <row r="52">
      <c r="A52" t="str">
        <v>51</v>
      </c>
      <c r="B52" t="str">
        <v>MASS BSF</v>
      </c>
      <c r="C52" t="str">
        <v>BXQ-847</v>
      </c>
      <c r="D52" t="str">
        <v>BXQ-847</v>
      </c>
      <c r="E52" t="str">
        <v/>
      </c>
      <c r="F52" t="str">
        <v>867162029843950</v>
      </c>
      <c r="G52" t="str">
        <v>TBD</v>
      </c>
      <c r="H52" t="str">
        <v/>
      </c>
      <c r="I52" t="str">
        <v>28/09/2026</v>
      </c>
      <c r="J52" t="str">
        <v>11:00:08</v>
      </c>
      <c r="K52">
        <v>-12.231365</v>
      </c>
      <c r="L52">
        <v>-76.90978</v>
      </c>
      <c r="M52">
        <f>HYPERLINK("https://www.google.com/maps/search/?api=1&amp;query=-12.231365,-76.90978","Avenida Lima, Villa María del Triunfo")</f>
      </c>
      <c r="N52">
        <v>16.3</v>
      </c>
      <c r="O52">
        <v>100</v>
      </c>
      <c r="P52">
        <v>719053.5</v>
      </c>
      <c r="Q52" t="str">
        <v>117.00</v>
      </c>
      <c r="R52" t="str">
        <v/>
      </c>
      <c r="S52" t="str">
        <v/>
      </c>
      <c r="T52" t="str">
        <v/>
      </c>
      <c r="U52" t="str">
        <v/>
      </c>
    </row>
    <row r="53">
      <c r="A53" t="str">
        <v>52</v>
      </c>
      <c r="B53" t="str">
        <v>MASS BSF</v>
      </c>
      <c r="C53" t="str">
        <v>BXQ-847</v>
      </c>
      <c r="D53" t="str">
        <v>BXQ-847</v>
      </c>
      <c r="E53" t="str">
        <v/>
      </c>
      <c r="F53" t="str">
        <v>867162029843950</v>
      </c>
      <c r="G53" t="str">
        <v>TBD</v>
      </c>
      <c r="H53" t="str">
        <v/>
      </c>
      <c r="I53" t="str">
        <v>28/09/2026</v>
      </c>
      <c r="J53" t="str">
        <v>11:00:41</v>
      </c>
      <c r="K53">
        <v>-12.232523</v>
      </c>
      <c r="L53">
        <v>-76.91023</v>
      </c>
      <c r="M53">
        <f>HYPERLINK("https://www.google.com/maps/search/?api=1&amp;query=-12.232523,-76.91023","Avenida Lima, Villa María del Triunfo")</f>
      </c>
      <c r="N53">
        <v>36.3</v>
      </c>
      <c r="O53">
        <v>100</v>
      </c>
      <c r="P53">
        <v>719053.7</v>
      </c>
      <c r="Q53" t="str">
        <v>117.00</v>
      </c>
      <c r="R53" t="str">
        <v/>
      </c>
      <c r="S53" t="str">
        <v/>
      </c>
      <c r="T53" t="str">
        <v/>
      </c>
      <c r="U53" t="str">
        <v/>
      </c>
    </row>
    <row r="54">
      <c r="A54" t="str">
        <v>53</v>
      </c>
      <c r="B54" t="str">
        <v>MASS BSF</v>
      </c>
      <c r="C54" t="str">
        <v>BXQ-847</v>
      </c>
      <c r="D54" t="str">
        <v>BXQ-847</v>
      </c>
      <c r="E54" t="str">
        <v/>
      </c>
      <c r="F54" t="str">
        <v>867162029843950</v>
      </c>
      <c r="G54" t="str">
        <v>TBD</v>
      </c>
      <c r="H54" t="str">
        <v/>
      </c>
      <c r="I54" t="str">
        <v>28/09/2026</v>
      </c>
      <c r="J54" t="str">
        <v>11:00:53</v>
      </c>
      <c r="K54">
        <v>-12.233539</v>
      </c>
      <c r="L54">
        <v>-76.910675</v>
      </c>
      <c r="M54">
        <f>HYPERLINK("https://www.google.com/maps/search/?api=1&amp;query=-12.233539,-76.910675","Avenida B, Villa María del Triunfo, Lima")</f>
      </c>
      <c r="N54">
        <v>13.3</v>
      </c>
      <c r="O54">
        <v>100</v>
      </c>
      <c r="P54">
        <v>719053.8</v>
      </c>
      <c r="Q54" t="str">
        <v>117.00</v>
      </c>
      <c r="R54" t="str">
        <v/>
      </c>
      <c r="S54" t="str">
        <v/>
      </c>
      <c r="T54" t="str">
        <v/>
      </c>
      <c r="U54" t="str">
        <v/>
      </c>
    </row>
    <row r="55">
      <c r="A55" t="str">
        <v>54</v>
      </c>
      <c r="B55" t="str">
        <v>MASS BSF</v>
      </c>
      <c r="C55" t="str">
        <v>BXQ-847</v>
      </c>
      <c r="D55" t="str">
        <v>BXQ-847</v>
      </c>
      <c r="E55" t="str">
        <v/>
      </c>
      <c r="F55" t="str">
        <v>867162029843950</v>
      </c>
      <c r="G55" t="str">
        <v>TBD</v>
      </c>
      <c r="H55" t="str">
        <v/>
      </c>
      <c r="I55" t="str">
        <v>28/09/2026</v>
      </c>
      <c r="J55" t="str">
        <v>11:01:05</v>
      </c>
      <c r="K55">
        <v>-12.233479</v>
      </c>
      <c r="L55">
        <v>-76.91103</v>
      </c>
      <c r="M55">
        <f>HYPERLINK("https://www.google.com/maps/search/?api=1&amp;query=-12.233479,-76.91103","Avenida Lima, Villa El Salvador")</f>
      </c>
      <c r="N55">
        <v>14</v>
      </c>
      <c r="O55">
        <v>100</v>
      </c>
      <c r="P55">
        <v>719053.8</v>
      </c>
      <c r="Q55" t="str">
        <v>117.00</v>
      </c>
      <c r="R55" t="str">
        <v/>
      </c>
      <c r="S55" t="str">
        <v/>
      </c>
      <c r="T55" t="str">
        <v/>
      </c>
      <c r="U55" t="str">
        <v/>
      </c>
    </row>
    <row r="56">
      <c r="A56" t="str">
        <v>55</v>
      </c>
      <c r="B56" t="str">
        <v>MASS BSF</v>
      </c>
      <c r="C56" t="str">
        <v>BXQ-847</v>
      </c>
      <c r="D56" t="str">
        <v>BXQ-847</v>
      </c>
      <c r="E56" t="str">
        <v/>
      </c>
      <c r="F56" t="str">
        <v>867162029843950</v>
      </c>
      <c r="G56" t="str">
        <v>TBD</v>
      </c>
      <c r="H56" t="str">
        <v/>
      </c>
      <c r="I56" t="str">
        <v>28/09/2026</v>
      </c>
      <c r="J56" t="str">
        <v>11:01:41</v>
      </c>
      <c r="K56">
        <v>-12.234691</v>
      </c>
      <c r="L56">
        <v>-76.91151</v>
      </c>
      <c r="M56">
        <f>HYPERLINK("https://www.google.com/maps/search/?api=1&amp;query=-12.234691,-76.91151","Avenida Lima, Villa El Salvador")</f>
      </c>
      <c r="N56">
        <v>17.1</v>
      </c>
      <c r="O56">
        <v>100</v>
      </c>
      <c r="P56">
        <v>719054</v>
      </c>
      <c r="Q56" t="str">
        <v>117.00</v>
      </c>
      <c r="R56" t="str">
        <v/>
      </c>
      <c r="S56" t="str">
        <v/>
      </c>
      <c r="T56" t="str">
        <v/>
      </c>
      <c r="U56" t="str">
        <v/>
      </c>
    </row>
    <row r="57">
      <c r="A57" t="str">
        <v>56</v>
      </c>
      <c r="B57" t="str">
        <v>MASS BSF</v>
      </c>
      <c r="C57" t="str">
        <v>BXQ-847</v>
      </c>
      <c r="D57" t="str">
        <v>BXQ-847</v>
      </c>
      <c r="E57" t="str">
        <v/>
      </c>
      <c r="F57" t="str">
        <v>867162029843950</v>
      </c>
      <c r="G57" t="str">
        <v>TBD</v>
      </c>
      <c r="H57" t="str">
        <v/>
      </c>
      <c r="I57" t="str">
        <v>28/09/2026</v>
      </c>
      <c r="J57" t="str">
        <v>11:02:41</v>
      </c>
      <c r="K57">
        <v>-12.237987</v>
      </c>
      <c r="L57">
        <v>-76.91261</v>
      </c>
      <c r="M57">
        <f>HYPERLINK("https://www.google.com/maps/search/?api=1&amp;query=-12.237987,-76.91261","Avenida Lima, Villa El Salvador")</f>
      </c>
      <c r="N57">
        <v>23.9</v>
      </c>
      <c r="O57">
        <v>100</v>
      </c>
      <c r="P57">
        <v>719054.3</v>
      </c>
      <c r="Q57" t="str">
        <v>117.00</v>
      </c>
      <c r="R57" t="str">
        <v/>
      </c>
      <c r="S57" t="str">
        <v/>
      </c>
      <c r="T57" t="str">
        <v/>
      </c>
      <c r="U57" t="str">
        <v/>
      </c>
    </row>
    <row r="58">
      <c r="A58" t="str">
        <v>57</v>
      </c>
      <c r="B58" t="str">
        <v>MASS BSF</v>
      </c>
      <c r="C58" t="str">
        <v>BXQ-847</v>
      </c>
      <c r="D58" t="str">
        <v>BXQ-847</v>
      </c>
      <c r="E58" t="str">
        <v/>
      </c>
      <c r="F58" t="str">
        <v>867162029843950</v>
      </c>
      <c r="G58" t="str">
        <v>TBD</v>
      </c>
      <c r="H58" t="str">
        <v/>
      </c>
      <c r="I58" t="str">
        <v>28/09/2026</v>
      </c>
      <c r="J58" t="str">
        <v>11:03:12</v>
      </c>
      <c r="K58">
        <v>-12.240023</v>
      </c>
      <c r="L58">
        <v>-76.91232</v>
      </c>
      <c r="M58">
        <f>HYPERLINK("https://www.google.com/maps/search/?api=1&amp;query=-12.240023,-76.91232","Ovalo María Reiche, Villa El Salvador, Lima")</f>
      </c>
      <c r="N58">
        <v>13.8</v>
      </c>
      <c r="O58">
        <v>100</v>
      </c>
      <c r="P58">
        <v>719054.5</v>
      </c>
      <c r="Q58" t="str">
        <v>117.00</v>
      </c>
      <c r="R58" t="str">
        <v/>
      </c>
      <c r="S58" t="str">
        <v/>
      </c>
      <c r="T58" t="str">
        <v/>
      </c>
      <c r="U58" t="str">
        <v/>
      </c>
    </row>
    <row r="59">
      <c r="A59" t="str">
        <v>58</v>
      </c>
      <c r="B59" t="str">
        <v>MASS BSF</v>
      </c>
      <c r="C59" t="str">
        <v>BXQ-847</v>
      </c>
      <c r="D59" t="str">
        <v>BXQ-847</v>
      </c>
      <c r="E59" t="str">
        <v/>
      </c>
      <c r="F59" t="str">
        <v>867162029843950</v>
      </c>
      <c r="G59" t="str">
        <v>TBD</v>
      </c>
      <c r="H59" t="str">
        <v/>
      </c>
      <c r="I59" t="str">
        <v>28/09/2026</v>
      </c>
      <c r="J59" t="str">
        <v>11:03:41</v>
      </c>
      <c r="K59">
        <v>-12.240142</v>
      </c>
      <c r="L59">
        <v>-76.91221</v>
      </c>
      <c r="M59">
        <f>HYPERLINK("https://www.google.com/maps/search/?api=1&amp;query=-12.240142,-76.91221","Avenida Lima, Villa El Salvador")</f>
      </c>
      <c r="N59">
        <v>0</v>
      </c>
      <c r="O59">
        <v>100</v>
      </c>
      <c r="P59">
        <v>719054.6</v>
      </c>
      <c r="Q59" t="str">
        <v>117.00</v>
      </c>
      <c r="R59" t="str">
        <v/>
      </c>
      <c r="S59" t="str">
        <v/>
      </c>
      <c r="T59" t="str">
        <v/>
      </c>
      <c r="U59" t="str">
        <v/>
      </c>
    </row>
    <row r="60">
      <c r="A60" t="str">
        <v>59</v>
      </c>
      <c r="B60" t="str">
        <v>MASS BSF</v>
      </c>
      <c r="C60" t="str">
        <v>BXQ-847</v>
      </c>
      <c r="D60" t="str">
        <v>BXQ-847</v>
      </c>
      <c r="E60" t="str">
        <v/>
      </c>
      <c r="F60" t="str">
        <v>867162029843950</v>
      </c>
      <c r="G60" t="str">
        <v>TBD</v>
      </c>
      <c r="H60" t="str">
        <v/>
      </c>
      <c r="I60" t="str">
        <v>28/09/2026</v>
      </c>
      <c r="J60" t="str">
        <v>11:04:41</v>
      </c>
      <c r="K60">
        <v>-12.244315</v>
      </c>
      <c r="L60">
        <v>-76.9093</v>
      </c>
      <c r="M60">
        <f>HYPERLINK("https://www.google.com/maps/search/?api=1&amp;query=-12.244315,-76.9093","Avenida Lima, Lurín")</f>
      </c>
      <c r="N60">
        <v>57.1</v>
      </c>
      <c r="O60">
        <v>100</v>
      </c>
      <c r="P60">
        <v>719055.2</v>
      </c>
      <c r="Q60" t="str">
        <v>117.00</v>
      </c>
      <c r="R60" t="str">
        <v/>
      </c>
      <c r="S60" t="str">
        <v/>
      </c>
      <c r="T60" t="str">
        <v/>
      </c>
      <c r="U60" t="str">
        <v/>
      </c>
    </row>
    <row r="61">
      <c r="A61" t="str">
        <v>60</v>
      </c>
      <c r="B61" t="str">
        <v>MASS BSF</v>
      </c>
      <c r="C61" t="str">
        <v>BXQ-847</v>
      </c>
      <c r="D61" t="str">
        <v>BXQ-847</v>
      </c>
      <c r="E61" t="str">
        <v/>
      </c>
      <c r="F61" t="str">
        <v>867162029843950</v>
      </c>
      <c r="G61" t="str">
        <v>TBD</v>
      </c>
      <c r="H61" t="str">
        <v/>
      </c>
      <c r="I61" t="str">
        <v>28/09/2026</v>
      </c>
      <c r="J61" t="str">
        <v>11:05:41</v>
      </c>
      <c r="K61">
        <v>-12.249387</v>
      </c>
      <c r="L61">
        <v>-76.90648</v>
      </c>
      <c r="M61">
        <f>HYPERLINK("https://www.google.com/maps/search/?api=1&amp;query=-12.249387,-76.90648","Avenida Lima, Lurín")</f>
      </c>
      <c r="N61">
        <v>44.5</v>
      </c>
      <c r="O61">
        <v>100</v>
      </c>
      <c r="P61">
        <v>719055.9</v>
      </c>
      <c r="Q61" t="str">
        <v>117.00</v>
      </c>
      <c r="R61" t="str">
        <v/>
      </c>
      <c r="S61" t="str">
        <v/>
      </c>
      <c r="T61" t="str">
        <v/>
      </c>
      <c r="U61" t="str">
        <v/>
      </c>
    </row>
    <row r="62">
      <c r="A62" t="str">
        <v>61</v>
      </c>
      <c r="B62" t="str">
        <v>MASS BSF</v>
      </c>
      <c r="C62" t="str">
        <v>BXQ-847</v>
      </c>
      <c r="D62" t="str">
        <v>BXQ-847</v>
      </c>
      <c r="E62" t="str">
        <v/>
      </c>
      <c r="F62" t="str">
        <v>867162029843950</v>
      </c>
      <c r="G62" t="str">
        <v>TBD</v>
      </c>
      <c r="H62" t="str">
        <v/>
      </c>
      <c r="I62" t="str">
        <v>28/09/2026</v>
      </c>
      <c r="J62" t="str">
        <v>11:06:21</v>
      </c>
      <c r="K62">
        <v>-12.254008</v>
      </c>
      <c r="L62">
        <v>-76.90451</v>
      </c>
      <c r="M62">
        <f>HYPERLINK("https://www.google.com/maps/search/?api=1&amp;query=-12.254008,-76.90451","Avenida Lima, Lurín")</f>
      </c>
      <c r="N62">
        <v>30.1</v>
      </c>
      <c r="O62">
        <v>100</v>
      </c>
      <c r="P62">
        <v>719056.3</v>
      </c>
      <c r="Q62" t="str">
        <v>117.00</v>
      </c>
      <c r="R62" t="str">
        <v/>
      </c>
      <c r="S62" t="str">
        <v/>
      </c>
      <c r="T62" t="str">
        <v/>
      </c>
      <c r="U62" t="str">
        <v/>
      </c>
    </row>
    <row r="63">
      <c r="A63" t="str">
        <v>62</v>
      </c>
      <c r="B63" t="str">
        <v>MASS BSF</v>
      </c>
      <c r="C63" t="str">
        <v>BXQ-847</v>
      </c>
      <c r="D63" t="str">
        <v>BXQ-847</v>
      </c>
      <c r="E63" t="str">
        <v/>
      </c>
      <c r="F63" t="str">
        <v>867162029843950</v>
      </c>
      <c r="G63" t="str">
        <v>TBD</v>
      </c>
      <c r="H63" t="str">
        <v/>
      </c>
      <c r="I63" t="str">
        <v>28/09/2026</v>
      </c>
      <c r="J63" t="str">
        <v>11:06:26</v>
      </c>
      <c r="K63">
        <v>-12.254303</v>
      </c>
      <c r="L63">
        <v>-76.90484</v>
      </c>
      <c r="M63">
        <f>HYPERLINK("https://www.google.com/maps/search/?api=1&amp;query=-12.254303,-76.90484","Antigua Panamericana Sur, Lurín, Lima")</f>
      </c>
      <c r="N63">
        <v>33.4</v>
      </c>
      <c r="O63">
        <v>100</v>
      </c>
      <c r="P63">
        <v>719056.4</v>
      </c>
      <c r="Q63" t="str">
        <v>117.00</v>
      </c>
      <c r="R63" t="str">
        <v/>
      </c>
      <c r="S63" t="str">
        <v/>
      </c>
      <c r="T63" t="str">
        <v/>
      </c>
      <c r="U63" t="str">
        <v/>
      </c>
    </row>
    <row r="64">
      <c r="A64" t="str">
        <v>63</v>
      </c>
      <c r="B64" t="str">
        <v>MASS BSF</v>
      </c>
      <c r="C64" t="str">
        <v>BXQ-847</v>
      </c>
      <c r="D64" t="str">
        <v>BXQ-847</v>
      </c>
      <c r="E64" t="str">
        <v/>
      </c>
      <c r="F64" t="str">
        <v>867162029843950</v>
      </c>
      <c r="G64" t="str">
        <v>TBD</v>
      </c>
      <c r="H64" t="str">
        <v/>
      </c>
      <c r="I64" t="str">
        <v>28/09/2026</v>
      </c>
      <c r="J64" t="str">
        <v>11:06:41</v>
      </c>
      <c r="K64">
        <v>-12.25444</v>
      </c>
      <c r="L64">
        <v>-76.90543</v>
      </c>
      <c r="M64">
        <f>HYPERLINK("https://www.google.com/maps/search/?api=1&amp;query=-12.25444,-76.90543","Antigua Panamericana Sur, Lurín, Lima")</f>
      </c>
      <c r="N64">
        <v>40.8</v>
      </c>
      <c r="O64">
        <v>100</v>
      </c>
      <c r="P64">
        <v>719056.5</v>
      </c>
      <c r="Q64" t="str">
        <v>117.00</v>
      </c>
      <c r="R64" t="str">
        <v/>
      </c>
      <c r="S64" t="str">
        <v/>
      </c>
      <c r="T64" t="str">
        <v/>
      </c>
      <c r="U64" t="str">
        <v/>
      </c>
    </row>
    <row r="65">
      <c r="A65" t="str">
        <v>64</v>
      </c>
      <c r="B65" t="str">
        <v>MASS BSF</v>
      </c>
      <c r="C65" t="str">
        <v>BXQ-847</v>
      </c>
      <c r="D65" t="str">
        <v>BXQ-847</v>
      </c>
      <c r="E65" t="str">
        <v/>
      </c>
      <c r="F65" t="str">
        <v>867162029843950</v>
      </c>
      <c r="G65" t="str">
        <v>TBD</v>
      </c>
      <c r="H65" t="str">
        <v/>
      </c>
      <c r="I65" t="str">
        <v>28/09/2026</v>
      </c>
      <c r="J65" t="str">
        <v>11:07:41</v>
      </c>
      <c r="K65">
        <v>-12.255296</v>
      </c>
      <c r="L65">
        <v>-76.911674</v>
      </c>
      <c r="M65">
        <f>HYPERLINK("https://www.google.com/maps/search/?api=1&amp;query=-12.255296,-76.911674","Antigua Panamericana Sur, Lurín, Lima")</f>
      </c>
      <c r="N65">
        <v>38</v>
      </c>
      <c r="O65">
        <v>100</v>
      </c>
      <c r="P65">
        <v>719057.2</v>
      </c>
      <c r="Q65" t="str">
        <v>117.00</v>
      </c>
      <c r="R65" t="str">
        <v/>
      </c>
      <c r="S65" t="str">
        <v/>
      </c>
      <c r="T65" t="str">
        <v/>
      </c>
      <c r="U65" t="str">
        <v/>
      </c>
    </row>
    <row r="66">
      <c r="A66" t="str">
        <v>65</v>
      </c>
      <c r="B66" t="str">
        <v>MASS BSF</v>
      </c>
      <c r="C66" t="str">
        <v>BXQ-847</v>
      </c>
      <c r="D66" t="str">
        <v>BXQ-847</v>
      </c>
      <c r="E66" t="str">
        <v/>
      </c>
      <c r="F66" t="str">
        <v>867162029843950</v>
      </c>
      <c r="G66" t="str">
        <v>TBD</v>
      </c>
      <c r="H66" t="str">
        <v/>
      </c>
      <c r="I66" t="str">
        <v>28/09/2026</v>
      </c>
      <c r="J66" t="str">
        <v>11:08:41</v>
      </c>
      <c r="K66">
        <v>-12.254608</v>
      </c>
      <c r="L66">
        <v>-76.91701</v>
      </c>
      <c r="M66">
        <f>HYPERLINK("https://www.google.com/maps/search/?api=1&amp;query=-12.254608,-76.91701","Antigua Panamericana Sur, Lurín, Lima")</f>
      </c>
      <c r="N66">
        <v>36.4</v>
      </c>
      <c r="O66">
        <v>100</v>
      </c>
      <c r="P66">
        <v>719057.8</v>
      </c>
      <c r="Q66" t="str">
        <v>117.00</v>
      </c>
      <c r="R66" t="str">
        <v/>
      </c>
      <c r="S66" t="str">
        <v/>
      </c>
      <c r="T66" t="str">
        <v/>
      </c>
      <c r="U66" t="str">
        <v/>
      </c>
    </row>
    <row r="67">
      <c r="A67" t="str">
        <v>66</v>
      </c>
      <c r="B67" t="str">
        <v>MASS BSF</v>
      </c>
      <c r="C67" t="str">
        <v>BXQ-847</v>
      </c>
      <c r="D67" t="str">
        <v>BXQ-847</v>
      </c>
      <c r="E67" t="str">
        <v/>
      </c>
      <c r="F67" t="str">
        <v>867162029843950</v>
      </c>
      <c r="G67" t="str">
        <v>TBD</v>
      </c>
      <c r="H67" t="str">
        <v/>
      </c>
      <c r="I67" t="str">
        <v>28/09/2026</v>
      </c>
      <c r="J67" t="str">
        <v>11:09:21</v>
      </c>
      <c r="K67">
        <v>-12.254482</v>
      </c>
      <c r="L67">
        <v>-76.92062</v>
      </c>
      <c r="M67">
        <f>HYPERLINK("https://www.google.com/maps/search/?api=1&amp;query=-12.254482,-76.92062","Lurín, Lima")</f>
      </c>
      <c r="N67">
        <v>19.3</v>
      </c>
      <c r="O67">
        <v>100</v>
      </c>
      <c r="P67">
        <v>719058.1</v>
      </c>
      <c r="Q67" t="str">
        <v>117.00</v>
      </c>
      <c r="R67" t="str">
        <v/>
      </c>
      <c r="S67" t="str">
        <v/>
      </c>
      <c r="T67" t="str">
        <v/>
      </c>
      <c r="U67" t="str">
        <v/>
      </c>
    </row>
    <row r="68">
      <c r="A68" t="str">
        <v>67</v>
      </c>
      <c r="B68" t="str">
        <v>MASS BSF</v>
      </c>
      <c r="C68" t="str">
        <v>BXQ-847</v>
      </c>
      <c r="D68" t="str">
        <v>BXQ-847</v>
      </c>
      <c r="E68" t="str">
        <v/>
      </c>
      <c r="F68" t="str">
        <v>867162029843950</v>
      </c>
      <c r="G68" t="str">
        <v>TBD</v>
      </c>
      <c r="H68" t="str">
        <v/>
      </c>
      <c r="I68" t="str">
        <v>28/09/2026</v>
      </c>
      <c r="J68" t="str">
        <v>11:09:41</v>
      </c>
      <c r="K68">
        <v>-12.255294</v>
      </c>
      <c r="L68">
        <v>-76.92103</v>
      </c>
      <c r="M68">
        <f>HYPERLINK("https://www.google.com/maps/search/?api=1&amp;query=-12.255294,-76.92103","Lurín, Lima")</f>
      </c>
      <c r="N68">
        <v>37.1</v>
      </c>
      <c r="O68">
        <v>100</v>
      </c>
      <c r="P68">
        <v>719058.3</v>
      </c>
      <c r="Q68" t="str">
        <v>117.00</v>
      </c>
      <c r="R68" t="str">
        <v/>
      </c>
      <c r="S68" t="str">
        <v/>
      </c>
      <c r="T68" t="str">
        <v/>
      </c>
      <c r="U68" t="str">
        <v/>
      </c>
    </row>
    <row r="69">
      <c r="A69" t="str">
        <v>68</v>
      </c>
      <c r="B69" t="str">
        <v>MASS BSF</v>
      </c>
      <c r="C69" t="str">
        <v>BXQ-847</v>
      </c>
      <c r="D69" t="str">
        <v>BXQ-847</v>
      </c>
      <c r="E69" t="str">
        <v/>
      </c>
      <c r="F69" t="str">
        <v>867162029843950</v>
      </c>
      <c r="G69" t="str">
        <v>TBD</v>
      </c>
      <c r="H69" t="str">
        <v/>
      </c>
      <c r="I69" t="str">
        <v>28/09/2026</v>
      </c>
      <c r="J69" t="str">
        <v>11:09:54</v>
      </c>
      <c r="K69">
        <v>-12.257179</v>
      </c>
      <c r="L69">
        <v>-76.92224</v>
      </c>
      <c r="M69">
        <f>HYPERLINK("https://www.google.com/maps/search/?api=1&amp;query=-12.257179,-76.92224","Lurín, Lima")</f>
      </c>
      <c r="N69">
        <v>43.7</v>
      </c>
      <c r="O69">
        <v>100</v>
      </c>
      <c r="P69">
        <v>719058.5</v>
      </c>
      <c r="Q69" t="str">
        <v>117.00</v>
      </c>
      <c r="R69" t="str">
        <v/>
      </c>
      <c r="S69" t="str">
        <v/>
      </c>
      <c r="T69" t="str">
        <v/>
      </c>
      <c r="U69" t="str">
        <v/>
      </c>
    </row>
    <row r="70">
      <c r="A70" t="str">
        <v>69</v>
      </c>
      <c r="B70" t="str">
        <v>MASS BSF</v>
      </c>
      <c r="C70" t="str">
        <v>BXQ-847</v>
      </c>
      <c r="D70" t="str">
        <v>BXQ-847</v>
      </c>
      <c r="E70" t="str">
        <v/>
      </c>
      <c r="F70" t="str">
        <v>867162029843950</v>
      </c>
      <c r="G70" t="str">
        <v>TBD</v>
      </c>
      <c r="H70" t="str">
        <v/>
      </c>
      <c r="I70" t="str">
        <v>28/09/2026</v>
      </c>
      <c r="J70" t="str">
        <v>11:09:59</v>
      </c>
      <c r="K70">
        <v>-12.257263</v>
      </c>
      <c r="L70">
        <v>-76.92291</v>
      </c>
      <c r="M70">
        <f>HYPERLINK("https://www.google.com/maps/search/?api=1&amp;query=-12.257263,-76.92291","Lurín, Lima")</f>
      </c>
      <c r="N70">
        <v>46</v>
      </c>
      <c r="O70">
        <v>100</v>
      </c>
      <c r="P70">
        <v>719058.6</v>
      </c>
      <c r="Q70" t="str">
        <v>117.00</v>
      </c>
      <c r="R70" t="str">
        <v/>
      </c>
      <c r="S70" t="str">
        <v/>
      </c>
      <c r="T70" t="str">
        <v/>
      </c>
      <c r="U70" t="str">
        <v/>
      </c>
    </row>
    <row r="71">
      <c r="A71" t="str">
        <v>70</v>
      </c>
      <c r="B71" t="str">
        <v>MASS BSF</v>
      </c>
      <c r="C71" t="str">
        <v>BXQ-847</v>
      </c>
      <c r="D71" t="str">
        <v>BXQ-847</v>
      </c>
      <c r="E71" t="str">
        <v/>
      </c>
      <c r="F71" t="str">
        <v>867162029843950</v>
      </c>
      <c r="G71" t="str">
        <v>TBD</v>
      </c>
      <c r="H71" t="str">
        <v/>
      </c>
      <c r="I71" t="str">
        <v>28/09/2026</v>
      </c>
      <c r="J71" t="str">
        <v>11:10:06</v>
      </c>
      <c r="K71">
        <v>-12.256815</v>
      </c>
      <c r="L71">
        <v>-76.92344</v>
      </c>
      <c r="M71">
        <f>HYPERLINK("https://www.google.com/maps/search/?api=1&amp;query=-12.256815,-76.92344","Lurín, Lima")</f>
      </c>
      <c r="N71">
        <v>47.4</v>
      </c>
      <c r="O71">
        <v>100</v>
      </c>
      <c r="P71">
        <v>719058.7</v>
      </c>
      <c r="Q71" t="str">
        <v>117.00</v>
      </c>
      <c r="R71" t="str">
        <v/>
      </c>
      <c r="S71" t="str">
        <v/>
      </c>
      <c r="T71" t="str">
        <v/>
      </c>
      <c r="U71" t="str">
        <v/>
      </c>
    </row>
    <row r="72">
      <c r="A72" t="str">
        <v>71</v>
      </c>
      <c r="B72" t="str">
        <v>MASS BSF</v>
      </c>
      <c r="C72" t="str">
        <v>BXQ-847</v>
      </c>
      <c r="D72" t="str">
        <v>BXQ-847</v>
      </c>
      <c r="E72" t="str">
        <v/>
      </c>
      <c r="F72" t="str">
        <v>867162029843950</v>
      </c>
      <c r="G72" t="str">
        <v>TBD</v>
      </c>
      <c r="H72" t="str">
        <v/>
      </c>
      <c r="I72" t="str">
        <v>28/09/2026</v>
      </c>
      <c r="J72" t="str">
        <v>11:10:12</v>
      </c>
      <c r="K72">
        <v>-12.256108</v>
      </c>
      <c r="L72">
        <v>-76.92347</v>
      </c>
      <c r="M72">
        <f>HYPERLINK("https://www.google.com/maps/search/?api=1&amp;query=-12.256108,-76.92347","Lurín, Lima")</f>
      </c>
      <c r="N72">
        <v>46.5</v>
      </c>
      <c r="O72">
        <v>100</v>
      </c>
      <c r="P72">
        <v>719058.7</v>
      </c>
      <c r="Q72" t="str">
        <v>117.00</v>
      </c>
      <c r="R72" t="str">
        <v/>
      </c>
      <c r="S72" t="str">
        <v/>
      </c>
      <c r="T72" t="str">
        <v/>
      </c>
      <c r="U72" t="str">
        <v/>
      </c>
    </row>
    <row r="73">
      <c r="A73" t="str">
        <v>72</v>
      </c>
      <c r="B73" t="str">
        <v>MASS BSF</v>
      </c>
      <c r="C73" t="str">
        <v>BXQ-847</v>
      </c>
      <c r="D73" t="str">
        <v>BXQ-847</v>
      </c>
      <c r="E73" t="str">
        <v/>
      </c>
      <c r="F73" t="str">
        <v>867162029843950</v>
      </c>
      <c r="G73" t="str">
        <v>TBD</v>
      </c>
      <c r="H73" t="str">
        <v/>
      </c>
      <c r="I73" t="str">
        <v>28/09/2026</v>
      </c>
      <c r="J73" t="str">
        <v>11:10:17</v>
      </c>
      <c r="K73">
        <v>-12.255714</v>
      </c>
      <c r="L73">
        <v>-76.923004</v>
      </c>
      <c r="M73">
        <f>HYPERLINK("https://www.google.com/maps/search/?api=1&amp;query=-12.255714,-76.923004","Carretera Panamericana Sur, Lurín, Lima")</f>
      </c>
      <c r="N73">
        <v>41.7</v>
      </c>
      <c r="O73">
        <v>100</v>
      </c>
      <c r="P73">
        <v>719058.8</v>
      </c>
      <c r="Q73" t="str">
        <v>117.00</v>
      </c>
      <c r="R73" t="str">
        <v/>
      </c>
      <c r="S73" t="str">
        <v/>
      </c>
      <c r="T73" t="str">
        <v/>
      </c>
      <c r="U73" t="str">
        <v/>
      </c>
    </row>
    <row r="74">
      <c r="A74" t="str">
        <v>73</v>
      </c>
      <c r="B74" t="str">
        <v>MASS BSF</v>
      </c>
      <c r="C74" t="str">
        <v>BXQ-847</v>
      </c>
      <c r="D74" t="str">
        <v>BXQ-847</v>
      </c>
      <c r="E74" t="str">
        <v/>
      </c>
      <c r="F74" t="str">
        <v>867162029843950</v>
      </c>
      <c r="G74" t="str">
        <v>TBD</v>
      </c>
      <c r="H74" t="str">
        <v/>
      </c>
      <c r="I74" t="str">
        <v>28/09/2026</v>
      </c>
      <c r="J74" t="str">
        <v>11:10:26</v>
      </c>
      <c r="K74">
        <v>-12.255989</v>
      </c>
      <c r="L74">
        <v>-76.92202</v>
      </c>
      <c r="M74">
        <f>HYPERLINK("https://www.google.com/maps/search/?api=1&amp;query=-12.255989,-76.92202","Carretera Panamericana Sur, Lurín, Lima")</f>
      </c>
      <c r="N74">
        <v>44.6</v>
      </c>
      <c r="O74">
        <v>100</v>
      </c>
      <c r="P74">
        <v>719058.9</v>
      </c>
      <c r="Q74" t="str">
        <v>117.00</v>
      </c>
      <c r="R74" t="str">
        <v/>
      </c>
      <c r="S74" t="str">
        <v/>
      </c>
      <c r="T74" t="str">
        <v/>
      </c>
      <c r="U74" t="str">
        <v/>
      </c>
    </row>
    <row r="75">
      <c r="A75" t="str">
        <v>74</v>
      </c>
      <c r="B75" t="str">
        <v>MASS BSF</v>
      </c>
      <c r="C75" t="str">
        <v>BXQ-847</v>
      </c>
      <c r="D75" t="str">
        <v>BXQ-847</v>
      </c>
      <c r="E75" t="str">
        <v/>
      </c>
      <c r="F75" t="str">
        <v>867162029843950</v>
      </c>
      <c r="G75" t="str">
        <v>TBD</v>
      </c>
      <c r="H75" t="str">
        <v/>
      </c>
      <c r="I75" t="str">
        <v>28/09/2026</v>
      </c>
      <c r="J75" t="str">
        <v>11:10:41</v>
      </c>
      <c r="K75">
        <v>-12.256375</v>
      </c>
      <c r="L75">
        <v>-76.921326</v>
      </c>
      <c r="M75">
        <f>HYPERLINK("https://www.google.com/maps/search/?api=1&amp;query=-12.256375,-76.921326","Carretera Panamericana Sur, Lurín, Lima")</f>
      </c>
      <c r="N75">
        <v>56.7</v>
      </c>
      <c r="O75">
        <v>100</v>
      </c>
      <c r="P75">
        <v>719059.1</v>
      </c>
      <c r="Q75" t="str">
        <v>117.00</v>
      </c>
      <c r="R75" t="str">
        <v/>
      </c>
      <c r="S75" t="str">
        <v/>
      </c>
      <c r="T75" t="str">
        <v/>
      </c>
      <c r="U75" t="str">
        <v/>
      </c>
    </row>
    <row r="76">
      <c r="A76" t="str">
        <v>75</v>
      </c>
      <c r="B76" t="str">
        <v>MASS BSF</v>
      </c>
      <c r="C76" t="str">
        <v>BXQ-847</v>
      </c>
      <c r="D76" t="str">
        <v>BXQ-847</v>
      </c>
      <c r="E76" t="str">
        <v/>
      </c>
      <c r="F76" t="str">
        <v>867162029843950</v>
      </c>
      <c r="G76" t="str">
        <v>TBD</v>
      </c>
      <c r="H76" t="str">
        <v/>
      </c>
      <c r="I76" t="str">
        <v>28/09/2026</v>
      </c>
      <c r="J76" t="str">
        <v>11:11:41</v>
      </c>
      <c r="K76">
        <v>-12.262437</v>
      </c>
      <c r="L76">
        <v>-76.91163</v>
      </c>
      <c r="M76">
        <f>HYPERLINK("https://www.google.com/maps/search/?api=1&amp;query=-12.262437,-76.91163","Carretera Panamericana Sur, Lurín, Lima")</f>
      </c>
      <c r="N76">
        <v>93.7</v>
      </c>
      <c r="O76">
        <v>100</v>
      </c>
      <c r="P76">
        <v>719060.4</v>
      </c>
      <c r="Q76" t="str">
        <v>117.00</v>
      </c>
      <c r="R76" t="str">
        <v/>
      </c>
      <c r="S76" t="str">
        <v/>
      </c>
      <c r="T76" t="str">
        <v/>
      </c>
      <c r="U76" t="str">
        <v/>
      </c>
    </row>
    <row r="77">
      <c r="A77" t="str">
        <v>76</v>
      </c>
      <c r="B77" t="str">
        <v>MASS BSF</v>
      </c>
      <c r="C77" t="str">
        <v>BXQ-847</v>
      </c>
      <c r="D77" t="str">
        <v>BXQ-847</v>
      </c>
      <c r="E77" t="str">
        <v/>
      </c>
      <c r="F77" t="str">
        <v>867162029843950</v>
      </c>
      <c r="G77" t="str">
        <v>TBD</v>
      </c>
      <c r="H77" t="str">
        <v/>
      </c>
      <c r="I77" t="str">
        <v>28/09/2026</v>
      </c>
      <c r="J77" t="str">
        <v>11:12:27</v>
      </c>
      <c r="K77">
        <v>-12.26837</v>
      </c>
      <c r="L77">
        <v>-76.9022</v>
      </c>
      <c r="M77">
        <f>HYPERLINK("https://www.google.com/maps/search/?api=1&amp;query=-12.26837,-76.9022","Carretera Panamericana Sur, Lurín, Lima")</f>
      </c>
      <c r="N77">
        <v>88.1</v>
      </c>
      <c r="O77">
        <v>100</v>
      </c>
      <c r="P77">
        <v>719061.5</v>
      </c>
      <c r="Q77" t="str">
        <v>117.00</v>
      </c>
      <c r="R77" t="str">
        <v>Excedió el límite de velocidad</v>
      </c>
      <c r="S77" t="str">
        <v/>
      </c>
      <c r="T77" t="str">
        <v/>
      </c>
      <c r="U77" t="str">
        <v/>
      </c>
    </row>
    <row r="78">
      <c r="A78" t="str">
        <v>77</v>
      </c>
      <c r="B78" t="str">
        <v>MASS BSF</v>
      </c>
      <c r="C78" t="str">
        <v>BXQ-847</v>
      </c>
      <c r="D78" t="str">
        <v>BXQ-847</v>
      </c>
      <c r="E78" t="str">
        <v/>
      </c>
      <c r="F78" t="str">
        <v>867162029843950</v>
      </c>
      <c r="G78" t="str">
        <v>TBD</v>
      </c>
      <c r="H78" t="str">
        <v/>
      </c>
      <c r="I78" t="str">
        <v>28/09/2026</v>
      </c>
      <c r="J78" t="str">
        <v>11:12:41</v>
      </c>
      <c r="K78">
        <v>-12.269091</v>
      </c>
      <c r="L78">
        <v>-76.90105</v>
      </c>
      <c r="M78">
        <f>HYPERLINK("https://www.google.com/maps/search/?api=1&amp;query=-12.269091,-76.90105","Carretera Panamericana Sur, Lurín, Lima")</f>
      </c>
      <c r="N78">
        <v>87.9</v>
      </c>
      <c r="O78">
        <v>100</v>
      </c>
      <c r="P78">
        <v>719061.8</v>
      </c>
      <c r="Q78" t="str">
        <v>117.00</v>
      </c>
      <c r="R78" t="str">
        <v/>
      </c>
      <c r="S78" t="str">
        <v/>
      </c>
      <c r="T78" t="str">
        <v/>
      </c>
      <c r="U78" t="str">
        <v/>
      </c>
    </row>
    <row r="79">
      <c r="A79" t="str">
        <v>78</v>
      </c>
      <c r="B79" t="str">
        <v>MASS BSF</v>
      </c>
      <c r="C79" t="str">
        <v>BXQ-847</v>
      </c>
      <c r="D79" t="str">
        <v>BXQ-847</v>
      </c>
      <c r="E79" t="str">
        <v/>
      </c>
      <c r="F79" t="str">
        <v>867162029843950</v>
      </c>
      <c r="G79" t="str">
        <v>TBD</v>
      </c>
      <c r="H79" t="str">
        <v/>
      </c>
      <c r="I79" t="str">
        <v>28/09/2026</v>
      </c>
      <c r="J79" t="str">
        <v>11:13:41</v>
      </c>
      <c r="K79">
        <v>-12.276305</v>
      </c>
      <c r="L79">
        <v>-76.88958</v>
      </c>
      <c r="M79">
        <f>HYPERLINK("https://www.google.com/maps/search/?api=1&amp;query=-12.276305,-76.88958","Carretera Panamericana Sur, Lurín, Lima")</f>
      </c>
      <c r="N79">
        <v>92.2</v>
      </c>
      <c r="O79">
        <v>100</v>
      </c>
      <c r="P79">
        <v>719063.3</v>
      </c>
      <c r="Q79" t="str">
        <v>117.00</v>
      </c>
      <c r="R79" t="str">
        <v/>
      </c>
      <c r="S79" t="str">
        <v/>
      </c>
      <c r="T79" t="str">
        <v/>
      </c>
      <c r="U79" t="str">
        <v/>
      </c>
    </row>
    <row r="80">
      <c r="A80" t="str">
        <v>79</v>
      </c>
      <c r="B80" t="str">
        <v>MASS BSF</v>
      </c>
      <c r="C80" t="str">
        <v>BXQ-847</v>
      </c>
      <c r="D80" t="str">
        <v>BXQ-847</v>
      </c>
      <c r="E80" t="str">
        <v/>
      </c>
      <c r="F80" t="str">
        <v>867162029843950</v>
      </c>
      <c r="G80" t="str">
        <v>TBD</v>
      </c>
      <c r="H80" t="str">
        <v/>
      </c>
      <c r="I80" t="str">
        <v>28/09/2026</v>
      </c>
      <c r="J80" t="str">
        <v>11:14:21</v>
      </c>
      <c r="K80">
        <v>-12.282079</v>
      </c>
      <c r="L80">
        <v>-76.88044</v>
      </c>
      <c r="M80">
        <f>HYPERLINK("https://www.google.com/maps/search/?api=1&amp;query=-12.282079,-76.88044","Carretera Panamericana Sur, Lurín, Lima")</f>
      </c>
      <c r="N80">
        <v>87.3</v>
      </c>
      <c r="O80">
        <v>100</v>
      </c>
      <c r="P80">
        <v>719064.3</v>
      </c>
      <c r="Q80" t="str">
        <v>117.00</v>
      </c>
      <c r="R80" t="str">
        <v>Excedió el límite de velocidad</v>
      </c>
      <c r="S80" t="str">
        <v/>
      </c>
      <c r="T80" t="str">
        <v/>
      </c>
      <c r="U80" t="str">
        <v/>
      </c>
    </row>
    <row r="81">
      <c r="A81" t="str">
        <v>80</v>
      </c>
      <c r="B81" t="str">
        <v>MASS BSF</v>
      </c>
      <c r="C81" t="str">
        <v>BXQ-847</v>
      </c>
      <c r="D81" t="str">
        <v>BXQ-847</v>
      </c>
      <c r="E81" t="str">
        <v/>
      </c>
      <c r="F81" t="str">
        <v>867162029843950</v>
      </c>
      <c r="G81" t="str">
        <v>TBD</v>
      </c>
      <c r="H81" t="str">
        <v/>
      </c>
      <c r="I81" t="str">
        <v>28/09/2026</v>
      </c>
      <c r="J81" t="str">
        <v>11:14:41</v>
      </c>
      <c r="K81">
        <v>-12.28355</v>
      </c>
      <c r="L81">
        <v>-76.87812</v>
      </c>
      <c r="M81">
        <f>HYPERLINK("https://www.google.com/maps/search/?api=1&amp;query=-12.28355,-76.87812","Carretera Panamericana Sur, Lurín, Lima")</f>
      </c>
      <c r="N81">
        <v>92.2</v>
      </c>
      <c r="O81">
        <v>100</v>
      </c>
      <c r="P81">
        <v>719064.7</v>
      </c>
      <c r="Q81" t="str">
        <v>117.00</v>
      </c>
      <c r="R81" t="str">
        <v/>
      </c>
      <c r="S81" t="str">
        <v/>
      </c>
      <c r="T81" t="str">
        <v/>
      </c>
      <c r="U81" t="str">
        <v/>
      </c>
    </row>
    <row r="82">
      <c r="A82" t="str">
        <v>81</v>
      </c>
      <c r="B82" t="str">
        <v>MASS BSF</v>
      </c>
      <c r="C82" t="str">
        <v>BXQ-847</v>
      </c>
      <c r="D82" t="str">
        <v>BXQ-847</v>
      </c>
      <c r="E82" t="str">
        <v/>
      </c>
      <c r="F82" t="str">
        <v>867162029843950</v>
      </c>
      <c r="G82" t="str">
        <v>TBD</v>
      </c>
      <c r="H82" t="str">
        <v/>
      </c>
      <c r="I82" t="str">
        <v>28/09/2026</v>
      </c>
      <c r="J82" t="str">
        <v>11:15:09</v>
      </c>
      <c r="K82">
        <v>-12.287656</v>
      </c>
      <c r="L82">
        <v>-76.87149</v>
      </c>
      <c r="M82">
        <f>HYPERLINK("https://www.google.com/maps/search/?api=1&amp;query=-12.287656,-76.87149","Carretera Panamericana Sur, Lurín, Lima")</f>
      </c>
      <c r="N82">
        <v>84.2</v>
      </c>
      <c r="O82">
        <v>100</v>
      </c>
      <c r="P82">
        <v>719065.4</v>
      </c>
      <c r="Q82" t="str">
        <v>117.00</v>
      </c>
      <c r="R82" t="str">
        <v>Excedió el límite de velocidad</v>
      </c>
      <c r="S82" t="str">
        <v/>
      </c>
      <c r="T82" t="str">
        <v/>
      </c>
      <c r="U82" t="str">
        <v/>
      </c>
    </row>
    <row r="83">
      <c r="A83" t="str">
        <v>82</v>
      </c>
      <c r="B83" t="str">
        <v>MASS BSF</v>
      </c>
      <c r="C83" t="str">
        <v>BXQ-847</v>
      </c>
      <c r="D83" t="str">
        <v>BXQ-847</v>
      </c>
      <c r="E83" t="str">
        <v/>
      </c>
      <c r="F83" t="str">
        <v>867162029843950</v>
      </c>
      <c r="G83" t="str">
        <v>TBD</v>
      </c>
      <c r="H83" t="str">
        <v/>
      </c>
      <c r="I83" t="str">
        <v>28/09/2026</v>
      </c>
      <c r="J83" t="str">
        <v>11:15:41</v>
      </c>
      <c r="K83">
        <v>-12.290549</v>
      </c>
      <c r="L83">
        <v>-76.86688</v>
      </c>
      <c r="M83">
        <f>HYPERLINK("https://www.google.com/maps/search/?api=1&amp;query=-12.290549,-76.86688","Carretera Panamericana Sur, Lurín, Lima")</f>
      </c>
      <c r="N83">
        <v>86.8</v>
      </c>
      <c r="O83">
        <v>100</v>
      </c>
      <c r="P83">
        <v>719066.2</v>
      </c>
      <c r="Q83" t="str">
        <v>117.00</v>
      </c>
      <c r="R83" t="str">
        <v/>
      </c>
      <c r="S83" t="str">
        <v/>
      </c>
      <c r="T83" t="str">
        <v/>
      </c>
      <c r="U83" t="str">
        <v/>
      </c>
    </row>
    <row r="84">
      <c r="A84" t="str">
        <v>83</v>
      </c>
      <c r="B84" t="str">
        <v>MASS BSF</v>
      </c>
      <c r="C84" t="str">
        <v>BXQ-847</v>
      </c>
      <c r="D84" t="str">
        <v>BXQ-847</v>
      </c>
      <c r="E84" t="str">
        <v/>
      </c>
      <c r="F84" t="str">
        <v>867162029843950</v>
      </c>
      <c r="G84" t="str">
        <v>TBD</v>
      </c>
      <c r="H84" t="str">
        <v/>
      </c>
      <c r="I84" t="str">
        <v>28/09/2026</v>
      </c>
      <c r="J84" t="str">
        <v>11:16:41</v>
      </c>
      <c r="K84">
        <v>-12.297668</v>
      </c>
      <c r="L84">
        <v>-76.85443</v>
      </c>
      <c r="M84">
        <f>HYPERLINK("https://www.google.com/maps/search/?api=1&amp;query=-12.297668,-76.85443","Carretera Panamericana Sur, Lurín, Lima")</f>
      </c>
      <c r="N84">
        <v>91</v>
      </c>
      <c r="O84">
        <v>100</v>
      </c>
      <c r="P84">
        <v>719067.8</v>
      </c>
      <c r="Q84" t="str">
        <v>117.00</v>
      </c>
      <c r="R84" t="str">
        <v/>
      </c>
      <c r="S84" t="str">
        <v/>
      </c>
      <c r="T84" t="str">
        <v/>
      </c>
      <c r="U84" t="str">
        <v/>
      </c>
    </row>
    <row r="85">
      <c r="A85" t="str">
        <v>84</v>
      </c>
      <c r="B85" t="str">
        <v>MASS BSF</v>
      </c>
      <c r="C85" t="str">
        <v>BXQ-847</v>
      </c>
      <c r="D85" t="str">
        <v>BXQ-847</v>
      </c>
      <c r="E85" t="str">
        <v/>
      </c>
      <c r="F85" t="str">
        <v>867162029843950</v>
      </c>
      <c r="G85" t="str">
        <v>TBD</v>
      </c>
      <c r="H85" t="str">
        <v/>
      </c>
      <c r="I85" t="str">
        <v>28/09/2026</v>
      </c>
      <c r="J85" t="str">
        <v>11:17:41</v>
      </c>
      <c r="K85">
        <v>-12.302567</v>
      </c>
      <c r="L85">
        <v>-76.84346</v>
      </c>
      <c r="M85">
        <f>HYPERLINK("https://www.google.com/maps/search/?api=1&amp;query=-12.302567,-76.84346","Carretera Panamericana Sur, Lurín, Lima")</f>
      </c>
      <c r="N85">
        <v>64.1</v>
      </c>
      <c r="O85">
        <v>100</v>
      </c>
      <c r="P85">
        <v>719069</v>
      </c>
      <c r="Q85" t="str">
        <v>117.00</v>
      </c>
      <c r="R85" t="str">
        <v/>
      </c>
      <c r="S85" t="str">
        <v/>
      </c>
      <c r="T85" t="str">
        <v/>
      </c>
      <c r="U85" t="str">
        <v/>
      </c>
    </row>
    <row r="86">
      <c r="A86" t="str">
        <v>85</v>
      </c>
      <c r="B86" t="str">
        <v>MASS BSF</v>
      </c>
      <c r="C86" t="str">
        <v>BXQ-847</v>
      </c>
      <c r="D86" t="str">
        <v>BXQ-847</v>
      </c>
      <c r="E86" t="str">
        <v/>
      </c>
      <c r="F86" t="str">
        <v>867162029843950</v>
      </c>
      <c r="G86" t="str">
        <v>TBD</v>
      </c>
      <c r="H86" t="str">
        <v/>
      </c>
      <c r="I86" t="str">
        <v>28/09/2026</v>
      </c>
      <c r="J86" t="str">
        <v>11:18:41</v>
      </c>
      <c r="K86">
        <v>-12.30909</v>
      </c>
      <c r="L86">
        <v>-76.83622</v>
      </c>
      <c r="M86">
        <f>HYPERLINK("https://www.google.com/maps/search/?api=1&amp;query=-12.30909,-76.83622","Carretera Panamericana Sur, Punta Hermosa, Lima")</f>
      </c>
      <c r="N86">
        <v>66.5</v>
      </c>
      <c r="O86">
        <v>100</v>
      </c>
      <c r="P86">
        <v>719070.1</v>
      </c>
      <c r="Q86" t="str">
        <v>117.00</v>
      </c>
      <c r="R86" t="str">
        <v/>
      </c>
      <c r="S86" t="str">
        <v/>
      </c>
      <c r="T86" t="str">
        <v/>
      </c>
      <c r="U86" t="str">
        <v/>
      </c>
    </row>
    <row r="87">
      <c r="A87" t="str">
        <v>86</v>
      </c>
      <c r="B87" t="str">
        <v>MASS BSF</v>
      </c>
      <c r="C87" t="str">
        <v>BXQ-847</v>
      </c>
      <c r="D87" t="str">
        <v>BXQ-847</v>
      </c>
      <c r="E87" t="str">
        <v/>
      </c>
      <c r="F87" t="str">
        <v>867162029843950</v>
      </c>
      <c r="G87" t="str">
        <v>TBD</v>
      </c>
      <c r="H87" t="str">
        <v/>
      </c>
      <c r="I87" t="str">
        <v>28/09/2026</v>
      </c>
      <c r="J87" t="str">
        <v>11:19:41</v>
      </c>
      <c r="K87">
        <v>-12.316594</v>
      </c>
      <c r="L87">
        <v>-76.83123</v>
      </c>
      <c r="M87">
        <f>HYPERLINK("https://www.google.com/maps/search/?api=1&amp;query=-12.316594,-76.83123","Carretera Panamericana Sur, Punta Hermosa, Lima")</f>
      </c>
      <c r="N87">
        <v>78.2</v>
      </c>
      <c r="O87">
        <v>100</v>
      </c>
      <c r="P87">
        <v>719071.1</v>
      </c>
      <c r="Q87" t="str">
        <v>117.00</v>
      </c>
      <c r="R87" t="str">
        <v/>
      </c>
      <c r="S87" t="str">
        <v/>
      </c>
      <c r="T87" t="str">
        <v/>
      </c>
      <c r="U87" t="str">
        <v/>
      </c>
    </row>
    <row r="88">
      <c r="A88" t="str">
        <v>87</v>
      </c>
      <c r="B88" t="str">
        <v>MASS BSF</v>
      </c>
      <c r="C88" t="str">
        <v>BXQ-847</v>
      </c>
      <c r="D88" t="str">
        <v>BXQ-847</v>
      </c>
      <c r="E88" t="str">
        <v/>
      </c>
      <c r="F88" t="str">
        <v>867162029843950</v>
      </c>
      <c r="G88" t="str">
        <v>TBD</v>
      </c>
      <c r="H88" t="str">
        <v/>
      </c>
      <c r="I88" t="str">
        <v>28/09/2026</v>
      </c>
      <c r="J88" t="str">
        <v>11:20:03</v>
      </c>
      <c r="K88">
        <v>-12.32137</v>
      </c>
      <c r="L88">
        <v>-76.828</v>
      </c>
      <c r="M88">
        <f>HYPERLINK("https://www.google.com/maps/search/?api=1&amp;query=-12.32137,-76.828","Carretera Panamericana Sur, Punta Hermosa, Lima")</f>
      </c>
      <c r="N88">
        <v>85.8</v>
      </c>
      <c r="O88">
        <v>100</v>
      </c>
      <c r="P88">
        <v>719071.6</v>
      </c>
      <c r="Q88" t="str">
        <v>117.00</v>
      </c>
      <c r="R88" t="str">
        <v>Excedió el límite de velocidad</v>
      </c>
      <c r="S88" t="str">
        <v/>
      </c>
      <c r="T88" t="str">
        <v/>
      </c>
      <c r="U88" t="str">
        <v/>
      </c>
    </row>
    <row r="89">
      <c r="A89" t="str">
        <v>88</v>
      </c>
      <c r="B89" t="str">
        <v>MASS BSF</v>
      </c>
      <c r="C89" t="str">
        <v>BXQ-847</v>
      </c>
      <c r="D89" t="str">
        <v>BXQ-847</v>
      </c>
      <c r="E89" t="str">
        <v/>
      </c>
      <c r="F89" t="str">
        <v>867162029843950</v>
      </c>
      <c r="G89" t="str">
        <v>TBD</v>
      </c>
      <c r="H89" t="str">
        <v/>
      </c>
      <c r="I89" t="str">
        <v>28/09/2026</v>
      </c>
      <c r="J89" t="str">
        <v>11:20:41</v>
      </c>
      <c r="K89">
        <v>-12.326827</v>
      </c>
      <c r="L89">
        <v>-76.824356</v>
      </c>
      <c r="M89">
        <f>HYPERLINK("https://www.google.com/maps/search/?api=1&amp;query=-12.326827,-76.824356","Carretera Panamericana Sur, Punta Hermosa, Lima")</f>
      </c>
      <c r="N89">
        <v>89.9</v>
      </c>
      <c r="O89">
        <v>100</v>
      </c>
      <c r="P89">
        <v>719072.5</v>
      </c>
      <c r="Q89" t="str">
        <v>117.00</v>
      </c>
      <c r="R89" t="str">
        <v>Exceso de velocidad en segmento vial</v>
      </c>
      <c r="S89" t="str">
        <v/>
      </c>
      <c r="T89" t="str">
        <v/>
      </c>
      <c r="U89" t="str">
        <v/>
      </c>
    </row>
    <row r="90">
      <c r="A90" t="str">
        <v>89</v>
      </c>
      <c r="B90" t="str">
        <v>MASS BSF</v>
      </c>
      <c r="C90" t="str">
        <v>BXQ-847</v>
      </c>
      <c r="D90" t="str">
        <v>BXQ-847</v>
      </c>
      <c r="E90" t="str">
        <v/>
      </c>
      <c r="F90" t="str">
        <v>867162029843950</v>
      </c>
      <c r="G90" t="str">
        <v>TBD</v>
      </c>
      <c r="H90" t="str">
        <v/>
      </c>
      <c r="I90" t="str">
        <v>28/09/2026</v>
      </c>
      <c r="J90" t="str">
        <v>11:21:29</v>
      </c>
      <c r="K90">
        <v>-12.335583</v>
      </c>
      <c r="L90">
        <v>-76.81877</v>
      </c>
      <c r="M90">
        <f>HYPERLINK("https://www.google.com/maps/search/?api=1&amp;query=-12.335583,-76.81877","Carretera Panamericana Sur, Punta Hermosa, Lima")</f>
      </c>
      <c r="N90">
        <v>28.1</v>
      </c>
      <c r="O90">
        <v>100</v>
      </c>
      <c r="P90">
        <v>719073.5</v>
      </c>
      <c r="Q90" t="str">
        <v>117.00</v>
      </c>
      <c r="R90" t="str">
        <v/>
      </c>
      <c r="S90" t="str">
        <v/>
      </c>
      <c r="T90" t="str">
        <v/>
      </c>
      <c r="U90" t="str">
        <v/>
      </c>
    </row>
    <row r="91">
      <c r="A91" t="str">
        <v>90</v>
      </c>
      <c r="B91" t="str">
        <v>MASS BSF</v>
      </c>
      <c r="C91" t="str">
        <v>BXQ-847</v>
      </c>
      <c r="D91" t="str">
        <v>BXQ-847</v>
      </c>
      <c r="E91" t="str">
        <v/>
      </c>
      <c r="F91" t="str">
        <v>867162029843950</v>
      </c>
      <c r="G91" t="str">
        <v>TBD</v>
      </c>
      <c r="H91" t="str">
        <v/>
      </c>
      <c r="I91" t="str">
        <v>28/09/2026</v>
      </c>
      <c r="J91" t="str">
        <v>11:21:36</v>
      </c>
      <c r="K91">
        <v>-12.335769</v>
      </c>
      <c r="L91">
        <v>-76.81884</v>
      </c>
      <c r="M91">
        <f>HYPERLINK("https://www.google.com/maps/search/?api=1&amp;query=-12.335769,-76.81884","Punta Hermosa, Lima")</f>
      </c>
      <c r="N91">
        <v>26.1</v>
      </c>
      <c r="O91">
        <v>100</v>
      </c>
      <c r="P91">
        <v>719073.5</v>
      </c>
      <c r="Q91" t="str">
        <v>117.00</v>
      </c>
      <c r="R91" t="str">
        <v/>
      </c>
      <c r="S91" t="str">
        <v/>
      </c>
      <c r="T91" t="str">
        <v/>
      </c>
      <c r="U91" t="str">
        <v/>
      </c>
    </row>
    <row r="92">
      <c r="A92" t="str">
        <v>91</v>
      </c>
      <c r="B92" t="str">
        <v>MASS BSF</v>
      </c>
      <c r="C92" t="str">
        <v>BXQ-847</v>
      </c>
      <c r="D92" t="str">
        <v>BXQ-847</v>
      </c>
      <c r="E92" t="str">
        <v/>
      </c>
      <c r="F92" t="str">
        <v>867162029843950</v>
      </c>
      <c r="G92" t="str">
        <v>TBD</v>
      </c>
      <c r="H92" t="str">
        <v/>
      </c>
      <c r="I92" t="str">
        <v>28/09/2026</v>
      </c>
      <c r="J92" t="str">
        <v>11:21:36</v>
      </c>
      <c r="K92">
        <v>-12.335865</v>
      </c>
      <c r="L92">
        <v>-76.81898</v>
      </c>
      <c r="M92">
        <f>HYPERLINK("https://www.google.com/maps/search/?api=1&amp;query=-12.335865,-76.81898","Antigua Panamericana Sur, Punta Hermosa, Lima")</f>
      </c>
      <c r="N92">
        <v>18.2</v>
      </c>
      <c r="O92">
        <v>100</v>
      </c>
      <c r="P92">
        <v>719073.5</v>
      </c>
      <c r="Q92" t="str">
        <v>117.00</v>
      </c>
      <c r="R92" t="str">
        <v/>
      </c>
      <c r="S92" t="str">
        <v/>
      </c>
      <c r="T92" t="str">
        <v/>
      </c>
      <c r="U92" t="str">
        <v/>
      </c>
    </row>
    <row r="93">
      <c r="A93" t="str">
        <v>92</v>
      </c>
      <c r="B93" t="str">
        <v>MASS BSF</v>
      </c>
      <c r="C93" t="str">
        <v>BXQ-847</v>
      </c>
      <c r="D93" t="str">
        <v>BXQ-847</v>
      </c>
      <c r="E93" t="str">
        <v/>
      </c>
      <c r="F93" t="str">
        <v>867162029843950</v>
      </c>
      <c r="G93" t="str">
        <v>TBD</v>
      </c>
      <c r="H93" t="str">
        <v/>
      </c>
      <c r="I93" t="str">
        <v>28/09/2026</v>
      </c>
      <c r="J93" t="str">
        <v>11:21:39</v>
      </c>
      <c r="K93">
        <v>-12.335841</v>
      </c>
      <c r="L93">
        <v>-76.81913</v>
      </c>
      <c r="M93">
        <f>HYPERLINK("https://www.google.com/maps/search/?api=1&amp;query=-12.335841,-76.81913","Antigua Panamericana Sur, Punta Hermosa, Lima")</f>
      </c>
      <c r="N93">
        <v>24.7</v>
      </c>
      <c r="O93">
        <v>100</v>
      </c>
      <c r="P93">
        <v>719073.6</v>
      </c>
      <c r="Q93" t="str">
        <v>117.00</v>
      </c>
      <c r="R93" t="str">
        <v/>
      </c>
      <c r="S93" t="str">
        <v/>
      </c>
      <c r="T93" t="str">
        <v/>
      </c>
      <c r="U93" t="str">
        <v/>
      </c>
    </row>
    <row r="94">
      <c r="A94" t="str">
        <v>93</v>
      </c>
      <c r="B94" t="str">
        <v>MASS BSF</v>
      </c>
      <c r="C94" t="str">
        <v>BXQ-847</v>
      </c>
      <c r="D94" t="str">
        <v>BXQ-847</v>
      </c>
      <c r="E94" t="str">
        <v/>
      </c>
      <c r="F94" t="str">
        <v>867162029843950</v>
      </c>
      <c r="G94" t="str">
        <v>TBD</v>
      </c>
      <c r="H94" t="str">
        <v/>
      </c>
      <c r="I94" t="str">
        <v>28/09/2026</v>
      </c>
      <c r="J94" t="str">
        <v>11:22:08</v>
      </c>
      <c r="K94">
        <v>-12.333735</v>
      </c>
      <c r="L94">
        <v>-76.820496</v>
      </c>
      <c r="M94">
        <f>HYPERLINK("https://www.google.com/maps/search/?api=1&amp;query=-12.333735,-76.820496","Antigua Panamericana Sur, Punta Hermosa, Lima")</f>
      </c>
      <c r="N94">
        <v>15</v>
      </c>
      <c r="O94">
        <v>100</v>
      </c>
      <c r="P94">
        <v>719073.8</v>
      </c>
      <c r="Q94" t="str">
        <v>117.00</v>
      </c>
      <c r="R94" t="str">
        <v/>
      </c>
      <c r="S94" t="str">
        <v/>
      </c>
      <c r="T94" t="str">
        <v/>
      </c>
      <c r="U94" t="str">
        <v/>
      </c>
    </row>
    <row r="95">
      <c r="A95" t="str">
        <v>94</v>
      </c>
      <c r="B95" t="str">
        <v>MASS BSF</v>
      </c>
      <c r="C95" t="str">
        <v>BXQ-847</v>
      </c>
      <c r="D95" t="str">
        <v>BXQ-847</v>
      </c>
      <c r="E95" t="str">
        <v/>
      </c>
      <c r="F95" t="str">
        <v>867162029843950</v>
      </c>
      <c r="G95" t="str">
        <v>TBD</v>
      </c>
      <c r="H95" t="str">
        <v/>
      </c>
      <c r="I95" t="str">
        <v>28/09/2026</v>
      </c>
      <c r="J95" t="str">
        <v>11:22:11</v>
      </c>
      <c r="K95">
        <v>-12.333705</v>
      </c>
      <c r="L95">
        <v>-76.82036</v>
      </c>
      <c r="M95">
        <f>HYPERLINK("https://www.google.com/maps/search/?api=1&amp;query=-12.333705,-76.82036","Antigua Panamericana Sur, Punta Hermosa, Lima")</f>
      </c>
      <c r="N95">
        <v>23.6</v>
      </c>
      <c r="O95">
        <v>100</v>
      </c>
      <c r="P95">
        <v>719073.9</v>
      </c>
      <c r="Q95" t="str">
        <v>117.00</v>
      </c>
      <c r="R95" t="str">
        <v/>
      </c>
      <c r="S95" t="str">
        <v/>
      </c>
      <c r="T95" t="str">
        <v/>
      </c>
      <c r="U95" t="str">
        <v/>
      </c>
    </row>
    <row r="96">
      <c r="A96" t="str">
        <v>95</v>
      </c>
      <c r="B96" t="str">
        <v>MASS BSF</v>
      </c>
      <c r="C96" t="str">
        <v>BXQ-847</v>
      </c>
      <c r="D96" t="str">
        <v>BXQ-847</v>
      </c>
      <c r="E96" t="str">
        <v/>
      </c>
      <c r="F96" t="str">
        <v>867162029843950</v>
      </c>
      <c r="G96" t="str">
        <v>TBD</v>
      </c>
      <c r="H96" t="str">
        <v/>
      </c>
      <c r="I96" t="str">
        <v>28/09/2026</v>
      </c>
      <c r="J96" t="str">
        <v>11:22:20</v>
      </c>
      <c r="K96">
        <v>-12.333555</v>
      </c>
      <c r="L96">
        <v>-76.819756</v>
      </c>
      <c r="M96">
        <f>HYPERLINK("https://www.google.com/maps/search/?api=1&amp;query=-12.333555,-76.819756","Carretera Panamericana Sur, Punta Hermosa, Lima")</f>
      </c>
      <c r="N96">
        <v>24</v>
      </c>
      <c r="O96">
        <v>100</v>
      </c>
      <c r="P96">
        <v>719073.9</v>
      </c>
      <c r="Q96" t="str">
        <v>117.00</v>
      </c>
      <c r="R96" t="str">
        <v/>
      </c>
      <c r="S96" t="str">
        <v/>
      </c>
      <c r="T96" t="str">
        <v/>
      </c>
      <c r="U96" t="str">
        <v/>
      </c>
    </row>
    <row r="97">
      <c r="A97" t="str">
        <v>96</v>
      </c>
      <c r="B97" t="str">
        <v>MASS BSF</v>
      </c>
      <c r="C97" t="str">
        <v>BXQ-847</v>
      </c>
      <c r="D97" t="str">
        <v>BXQ-847</v>
      </c>
      <c r="E97" t="str">
        <v/>
      </c>
      <c r="F97" t="str">
        <v>867162029843950</v>
      </c>
      <c r="G97" t="str">
        <v>TBD</v>
      </c>
      <c r="H97" t="str">
        <v/>
      </c>
      <c r="I97" t="str">
        <v>28/09/2026</v>
      </c>
      <c r="J97" t="str">
        <v>11:22:27</v>
      </c>
      <c r="K97">
        <v>-12.333119</v>
      </c>
      <c r="L97">
        <v>-76.81971</v>
      </c>
      <c r="M97">
        <f>HYPERLINK("https://www.google.com/maps/search/?api=1&amp;query=-12.333119,-76.81971","Carretera Panamericana Sur, Punta Hermosa, Lima")</f>
      </c>
      <c r="N97">
        <v>34.3</v>
      </c>
      <c r="O97">
        <v>100</v>
      </c>
      <c r="P97">
        <v>719074</v>
      </c>
      <c r="Q97" t="str">
        <v>117.00</v>
      </c>
      <c r="R97" t="str">
        <v/>
      </c>
      <c r="S97" t="str">
        <v/>
      </c>
      <c r="T97" t="str">
        <v/>
      </c>
      <c r="U97" t="str">
        <v/>
      </c>
    </row>
    <row r="98">
      <c r="A98" t="str">
        <v>97</v>
      </c>
      <c r="B98" t="str">
        <v>MASS BSF</v>
      </c>
      <c r="C98" t="str">
        <v>BXQ-847</v>
      </c>
      <c r="D98" t="str">
        <v>BXQ-847</v>
      </c>
      <c r="E98" t="str">
        <v/>
      </c>
      <c r="F98" t="str">
        <v>867162029843950</v>
      </c>
      <c r="G98" t="str">
        <v>TBD</v>
      </c>
      <c r="H98" t="str">
        <v/>
      </c>
      <c r="I98" t="str">
        <v>28/09/2026</v>
      </c>
      <c r="J98" t="str">
        <v>11:22:31</v>
      </c>
      <c r="K98">
        <v>-12.333119</v>
      </c>
      <c r="L98">
        <v>-76.81971</v>
      </c>
      <c r="M98">
        <f>HYPERLINK("https://www.google.com/maps/search/?api=1&amp;query=-12.333119,-76.81971","Carretera Panamericana Sur, Punta Hermosa, Lima")</f>
      </c>
      <c r="N98">
        <v>34.3</v>
      </c>
      <c r="O98">
        <v>100</v>
      </c>
      <c r="P98">
        <v>719074</v>
      </c>
      <c r="Q98" t="str">
        <v>117.00</v>
      </c>
      <c r="R98" t="str">
        <v/>
      </c>
      <c r="S98" t="str">
        <v/>
      </c>
      <c r="T98" t="str">
        <v/>
      </c>
      <c r="U98" t="str">
        <v/>
      </c>
    </row>
    <row r="99">
      <c r="A99" t="str">
        <v>98</v>
      </c>
      <c r="B99" t="str">
        <v>MASS BSF</v>
      </c>
      <c r="C99" t="str">
        <v>BXQ-847</v>
      </c>
      <c r="D99" t="str">
        <v>BXQ-847</v>
      </c>
      <c r="E99" t="str">
        <v/>
      </c>
      <c r="F99" t="str">
        <v>867162029843950</v>
      </c>
      <c r="G99" t="str">
        <v>TBD</v>
      </c>
      <c r="H99" t="str">
        <v/>
      </c>
      <c r="I99" t="str">
        <v>28/09/2026</v>
      </c>
      <c r="J99" t="str">
        <v>11:23:14</v>
      </c>
      <c r="K99">
        <v>-12.326873</v>
      </c>
      <c r="L99">
        <v>-76.82424</v>
      </c>
      <c r="M99">
        <f>HYPERLINK("https://www.google.com/maps/search/?api=1&amp;query=-12.326873,-76.82424","Carretera Panamericana Sur, Punta Hermosa, Lima")</f>
      </c>
      <c r="N99">
        <v>80.6</v>
      </c>
      <c r="O99">
        <v>100</v>
      </c>
      <c r="P99">
        <v>719074.8</v>
      </c>
      <c r="Q99" t="str">
        <v>117.00</v>
      </c>
      <c r="R99" t="str">
        <v>Excedió el límite de velocidad</v>
      </c>
      <c r="S99" t="str">
        <v/>
      </c>
      <c r="T99" t="str">
        <v/>
      </c>
      <c r="U99" t="str">
        <v/>
      </c>
    </row>
    <row r="100">
      <c r="A100" t="str">
        <v>99</v>
      </c>
      <c r="B100" t="str">
        <v>MASS BSF</v>
      </c>
      <c r="C100" t="str">
        <v>BXQ-847</v>
      </c>
      <c r="D100" t="str">
        <v>BXQ-847</v>
      </c>
      <c r="E100" t="str">
        <v/>
      </c>
      <c r="F100" t="str">
        <v>867162029843950</v>
      </c>
      <c r="G100" t="str">
        <v>TBD</v>
      </c>
      <c r="H100" t="str">
        <v/>
      </c>
      <c r="I100" t="str">
        <v>28/09/2026</v>
      </c>
      <c r="J100" t="str">
        <v>11:23:31</v>
      </c>
      <c r="K100">
        <v>-12.332704</v>
      </c>
      <c r="L100">
        <v>-76.8201</v>
      </c>
      <c r="M100">
        <f>HYPERLINK("https://www.google.com/maps/search/?api=1&amp;query=-12.332704,-76.8201","Carretera Panamericana Sur, Punta Hermosa, Lima")</f>
      </c>
      <c r="N100">
        <v>42.1</v>
      </c>
      <c r="O100">
        <v>100</v>
      </c>
      <c r="P100">
        <v>719075.2</v>
      </c>
      <c r="Q100" t="str">
        <v>117.00</v>
      </c>
      <c r="R100" t="str">
        <v/>
      </c>
      <c r="S100" t="str">
        <v/>
      </c>
      <c r="T100" t="str">
        <v/>
      </c>
      <c r="U100" t="str">
        <v/>
      </c>
    </row>
    <row r="101">
      <c r="A101" t="str">
        <v>100</v>
      </c>
      <c r="B101" t="str">
        <v>MASS BSF</v>
      </c>
      <c r="C101" t="str">
        <v>BXQ-847</v>
      </c>
      <c r="D101" t="str">
        <v>BXQ-847</v>
      </c>
      <c r="E101" t="str">
        <v/>
      </c>
      <c r="F101" t="str">
        <v>867162029843950</v>
      </c>
      <c r="G101" t="str">
        <v>TBD</v>
      </c>
      <c r="H101" t="str">
        <v/>
      </c>
      <c r="I101" t="str">
        <v>28/09/2026</v>
      </c>
      <c r="J101" t="str">
        <v>11:24:30</v>
      </c>
      <c r="K101">
        <v>-12.32381</v>
      </c>
      <c r="L101">
        <v>-76.82629</v>
      </c>
      <c r="M101">
        <f>HYPERLINK("https://www.google.com/maps/search/?api=1&amp;query=-12.32381,-76.82629","Carretera Panamericana Sur, Punta Hermosa, Lima")</f>
      </c>
      <c r="N101">
        <v>74.5</v>
      </c>
      <c r="O101">
        <v>100</v>
      </c>
      <c r="P101">
        <v>719076</v>
      </c>
      <c r="Q101" t="str">
        <v>117.00</v>
      </c>
      <c r="R101" t="str">
        <v/>
      </c>
      <c r="S101" t="str">
        <v/>
      </c>
      <c r="T101" t="str">
        <v/>
      </c>
      <c r="U101" t="str">
        <v/>
      </c>
    </row>
    <row r="102">
      <c r="A102" t="str">
        <v>101</v>
      </c>
      <c r="B102" t="str">
        <v>MASS BSF</v>
      </c>
      <c r="C102" t="str">
        <v>BXQ-847</v>
      </c>
      <c r="D102" t="str">
        <v>BXQ-847</v>
      </c>
      <c r="E102" t="str">
        <v/>
      </c>
      <c r="F102" t="str">
        <v>867162029843950</v>
      </c>
      <c r="G102" t="str">
        <v>TBD</v>
      </c>
      <c r="H102" t="str">
        <v/>
      </c>
      <c r="I102" t="str">
        <v>28/09/2026</v>
      </c>
      <c r="J102" t="str">
        <v>11:24:30</v>
      </c>
      <c r="K102">
        <v>-12.317987</v>
      </c>
      <c r="L102">
        <v>-76.8298</v>
      </c>
      <c r="M102">
        <f>HYPERLINK("https://www.google.com/maps/search/?api=1&amp;query=-12.317987,-76.8298","Carretera Panamericana Sur, Punta Hermosa, Lima")</f>
      </c>
      <c r="N102">
        <v>17.4</v>
      </c>
      <c r="O102">
        <v>100</v>
      </c>
      <c r="P102">
        <v>719076</v>
      </c>
      <c r="Q102" t="str">
        <v>117.00</v>
      </c>
      <c r="R102" t="str">
        <v/>
      </c>
      <c r="S102" t="str">
        <v/>
      </c>
      <c r="T102" t="str">
        <v/>
      </c>
      <c r="U102" t="str">
        <v/>
      </c>
    </row>
    <row r="103">
      <c r="A103" t="str">
        <v>102</v>
      </c>
      <c r="B103" t="str">
        <v>MASS BSF</v>
      </c>
      <c r="C103" t="str">
        <v>BXQ-847</v>
      </c>
      <c r="D103" t="str">
        <v>BXQ-847</v>
      </c>
      <c r="E103" t="str">
        <v/>
      </c>
      <c r="F103" t="str">
        <v>867162029843950</v>
      </c>
      <c r="G103" t="str">
        <v>TBD</v>
      </c>
      <c r="H103" t="str">
        <v/>
      </c>
      <c r="I103" t="str">
        <v>28/09/2026</v>
      </c>
      <c r="J103" t="str">
        <v>11:25:26</v>
      </c>
      <c r="K103">
        <v>-12.317868</v>
      </c>
      <c r="L103">
        <v>-76.82978</v>
      </c>
      <c r="M103">
        <f>HYPERLINK("https://www.google.com/maps/search/?api=1&amp;query=-12.317868,-76.82978","Punta Hermosa, Lima")</f>
      </c>
      <c r="N103">
        <v>15.2</v>
      </c>
      <c r="O103">
        <v>100</v>
      </c>
      <c r="P103">
        <v>719076</v>
      </c>
      <c r="Q103" t="str">
        <v>117.00</v>
      </c>
      <c r="R103" t="str">
        <v/>
      </c>
      <c r="S103" t="str">
        <v/>
      </c>
      <c r="T103" t="str">
        <v/>
      </c>
      <c r="U103" t="str">
        <v/>
      </c>
    </row>
    <row r="104">
      <c r="A104" t="str">
        <v>103</v>
      </c>
      <c r="B104" t="str">
        <v>MASS BSF</v>
      </c>
      <c r="C104" t="str">
        <v>BXQ-847</v>
      </c>
      <c r="D104" t="str">
        <v>BXQ-847</v>
      </c>
      <c r="E104" t="str">
        <v/>
      </c>
      <c r="F104" t="str">
        <v>867162029843950</v>
      </c>
      <c r="G104" t="str">
        <v>TBD</v>
      </c>
      <c r="H104" t="str">
        <v/>
      </c>
      <c r="I104" t="str">
        <v>28/09/2026</v>
      </c>
      <c r="J104" t="str">
        <v>11:26:12</v>
      </c>
      <c r="K104">
        <v>-12.317617</v>
      </c>
      <c r="L104">
        <v>-76.829666</v>
      </c>
      <c r="M104">
        <f>HYPERLINK("https://www.google.com/maps/search/?api=1&amp;query=-12.317617,-76.829666","Punta Hermosa, Lima")</f>
      </c>
      <c r="N104">
        <v>0</v>
      </c>
      <c r="O104">
        <v>100</v>
      </c>
      <c r="P104">
        <v>719076.1</v>
      </c>
      <c r="Q104" t="str">
        <v>117.00</v>
      </c>
      <c r="R104" t="str">
        <v/>
      </c>
      <c r="S104" t="str">
        <v/>
      </c>
      <c r="T104" t="str">
        <v/>
      </c>
      <c r="U104" t="str">
        <v/>
      </c>
    </row>
    <row r="105">
      <c r="A105" t="str">
        <v>104</v>
      </c>
      <c r="B105" t="str">
        <v>MASS BSF</v>
      </c>
      <c r="C105" t="str">
        <v>BXQ-847</v>
      </c>
      <c r="D105" t="str">
        <v>BXQ-847</v>
      </c>
      <c r="E105" t="str">
        <v/>
      </c>
      <c r="F105" t="str">
        <v>867162029843950</v>
      </c>
      <c r="G105" t="str">
        <v>TBD</v>
      </c>
      <c r="H105" t="str">
        <v/>
      </c>
      <c r="I105" t="str">
        <v>28/09/2026</v>
      </c>
      <c r="J105" t="str">
        <v>11:26:12</v>
      </c>
      <c r="K105">
        <v>-12.317617</v>
      </c>
      <c r="L105">
        <v>-76.829666</v>
      </c>
      <c r="M105">
        <f>HYPERLINK("https://www.google.com/maps/search/?api=1&amp;query=-12.317617,-76.829666","Punta Hermosa, Lima")</f>
      </c>
      <c r="N105">
        <v>0</v>
      </c>
      <c r="O105">
        <v>100</v>
      </c>
      <c r="P105">
        <v>719076</v>
      </c>
      <c r="Q105" t="str">
        <v>117.00</v>
      </c>
      <c r="R105" t="str">
        <v>Llegó a la zona</v>
      </c>
      <c r="S105" t="str">
        <v>MASS BSF 1</v>
      </c>
      <c r="T105" t="str">
        <v xml:space="preserve"> </v>
      </c>
      <c r="U105" t="str">
        <v/>
      </c>
    </row>
    <row r="106">
      <c r="A106" t="str">
        <v>105</v>
      </c>
      <c r="B106" t="str">
        <v>MASS BSF</v>
      </c>
      <c r="C106" t="str">
        <v>BXQ-847</v>
      </c>
      <c r="D106" t="str">
        <v>BXQ-847</v>
      </c>
      <c r="E106" t="str">
        <v/>
      </c>
      <c r="F106" t="str">
        <v>867162029843950</v>
      </c>
      <c r="G106" t="str">
        <v>TBD</v>
      </c>
      <c r="H106" t="str">
        <v/>
      </c>
      <c r="I106" t="str">
        <v>28/09/2026</v>
      </c>
      <c r="J106" t="str">
        <v>11:26:12</v>
      </c>
      <c r="K106">
        <v>-12.317535</v>
      </c>
      <c r="L106">
        <v>-76.82958</v>
      </c>
      <c r="M106">
        <f>HYPERLINK("https://www.google.com/maps/search/?api=1&amp;query=-12.317535,-76.82958","Punta Hermosa, Lima")</f>
      </c>
      <c r="N106">
        <v>8.3</v>
      </c>
      <c r="O106">
        <v>100</v>
      </c>
      <c r="P106">
        <v>719076.1</v>
      </c>
      <c r="Q106" t="str">
        <v>117.00</v>
      </c>
      <c r="R106" t="str">
        <v/>
      </c>
      <c r="S106" t="str">
        <v/>
      </c>
      <c r="T106" t="str">
        <v/>
      </c>
      <c r="U106" t="str">
        <v/>
      </c>
    </row>
    <row r="107">
      <c r="A107" t="str">
        <v>106</v>
      </c>
      <c r="B107" t="str">
        <v>MASS BSF</v>
      </c>
      <c r="C107" t="str">
        <v>BXQ-847</v>
      </c>
      <c r="D107" t="str">
        <v>BXQ-847</v>
      </c>
      <c r="E107" t="str">
        <v/>
      </c>
      <c r="F107" t="str">
        <v>867162029843950</v>
      </c>
      <c r="G107" t="str">
        <v>TBD</v>
      </c>
      <c r="H107" t="str">
        <v/>
      </c>
      <c r="I107" t="str">
        <v>28/09/2026</v>
      </c>
      <c r="J107" t="str">
        <v>11:27:11</v>
      </c>
      <c r="K107">
        <v>-12.317477</v>
      </c>
      <c r="L107">
        <v>-76.82951</v>
      </c>
      <c r="M107">
        <f>HYPERLINK("https://www.google.com/maps/search/?api=1&amp;query=-12.317477,-76.82951","Punta Hermosa, Lima")</f>
      </c>
      <c r="N107">
        <v>0</v>
      </c>
      <c r="O107">
        <v>100</v>
      </c>
      <c r="P107">
        <v>719076.2</v>
      </c>
      <c r="Q107" t="str">
        <v>117.00</v>
      </c>
      <c r="R107" t="str">
        <v/>
      </c>
      <c r="S107" t="str">
        <v/>
      </c>
      <c r="T107" t="str">
        <v/>
      </c>
      <c r="U107" t="str">
        <v/>
      </c>
    </row>
    <row r="108">
      <c r="A108" t="str">
        <v>107</v>
      </c>
      <c r="B108" t="str">
        <v>MASS BSF</v>
      </c>
      <c r="C108" t="str">
        <v>BXQ-847</v>
      </c>
      <c r="D108" t="str">
        <v>BXQ-847</v>
      </c>
      <c r="E108" t="str">
        <v/>
      </c>
      <c r="F108" t="str">
        <v>867162029843950</v>
      </c>
      <c r="G108" t="str">
        <v>TBD</v>
      </c>
      <c r="H108" t="str">
        <v/>
      </c>
      <c r="I108" t="str">
        <v>28/09/2026</v>
      </c>
      <c r="J108" t="str">
        <v>11:28:11</v>
      </c>
      <c r="K108">
        <v>-12.316651</v>
      </c>
      <c r="L108">
        <v>-76.82808</v>
      </c>
      <c r="M108">
        <f>HYPERLINK("https://www.google.com/maps/search/?api=1&amp;query=-12.316651,-76.82808","Punta Hermosa, Lima")</f>
      </c>
      <c r="N108">
        <v>7</v>
      </c>
      <c r="O108">
        <v>100</v>
      </c>
      <c r="P108">
        <v>719076.4</v>
      </c>
      <c r="Q108" t="str">
        <v>117.00</v>
      </c>
      <c r="R108" t="str">
        <v/>
      </c>
      <c r="S108" t="str">
        <v/>
      </c>
      <c r="T108" t="str">
        <v/>
      </c>
      <c r="U108" t="str">
        <v/>
      </c>
    </row>
    <row r="109">
      <c r="A109" t="str">
        <v>108</v>
      </c>
      <c r="B109" t="str">
        <v>MASS BSF</v>
      </c>
      <c r="C109" t="str">
        <v>BXQ-847</v>
      </c>
      <c r="D109" t="str">
        <v>BXQ-847</v>
      </c>
      <c r="E109" t="str">
        <v/>
      </c>
      <c r="F109" t="str">
        <v>867162029843950</v>
      </c>
      <c r="G109" t="str">
        <v>TBD</v>
      </c>
      <c r="H109" t="str">
        <v/>
      </c>
      <c r="I109" t="str">
        <v>28/09/2026</v>
      </c>
      <c r="J109" t="str">
        <v>11:28:54</v>
      </c>
      <c r="K109">
        <v>-12.315683</v>
      </c>
      <c r="L109">
        <v>-76.826485</v>
      </c>
      <c r="M109">
        <f>HYPERLINK("https://www.google.com/maps/search/?api=1&amp;query=-12.315683,-76.826485","Punta Hermosa, Lima")</f>
      </c>
      <c r="N109">
        <v>15.8</v>
      </c>
      <c r="O109">
        <v>100</v>
      </c>
      <c r="P109">
        <v>719076.5</v>
      </c>
      <c r="Q109" t="str">
        <v>117.00</v>
      </c>
      <c r="R109" t="str">
        <v/>
      </c>
      <c r="S109" t="str">
        <v/>
      </c>
      <c r="T109" t="str">
        <v/>
      </c>
      <c r="U109" t="str">
        <v/>
      </c>
    </row>
    <row r="110">
      <c r="A110" t="str">
        <v>109</v>
      </c>
      <c r="B110" t="str">
        <v>MASS BSF</v>
      </c>
      <c r="C110" t="str">
        <v>BXQ-847</v>
      </c>
      <c r="D110" t="str">
        <v>BXQ-847</v>
      </c>
      <c r="E110" t="str">
        <v/>
      </c>
      <c r="F110" t="str">
        <v>867162029843950</v>
      </c>
      <c r="G110" t="str">
        <v>TBD</v>
      </c>
      <c r="H110" t="str">
        <v/>
      </c>
      <c r="I110" t="str">
        <v>28/09/2026</v>
      </c>
      <c r="J110" t="str">
        <v>11:28:54</v>
      </c>
      <c r="K110">
        <v>-12.3154</v>
      </c>
      <c r="L110">
        <v>-76.82588</v>
      </c>
      <c r="M110">
        <f>HYPERLINK("https://www.google.com/maps/search/?api=1&amp;query=-12.3154,-76.82588","Punta Hermosa, Lima")</f>
      </c>
      <c r="N110">
        <v>12.4</v>
      </c>
      <c r="O110">
        <v>100</v>
      </c>
      <c r="P110">
        <v>719076.5</v>
      </c>
      <c r="Q110" t="str">
        <v>117.00</v>
      </c>
      <c r="R110" t="str">
        <v/>
      </c>
      <c r="S110" t="str">
        <v/>
      </c>
      <c r="T110" t="str">
        <v/>
      </c>
      <c r="U110" t="str">
        <v/>
      </c>
    </row>
    <row r="111">
      <c r="A111" t="str">
        <v>110</v>
      </c>
      <c r="B111" t="str">
        <v>MASS BSF</v>
      </c>
      <c r="C111" t="str">
        <v>BXQ-847</v>
      </c>
      <c r="D111" t="str">
        <v>BXQ-847</v>
      </c>
      <c r="E111" t="str">
        <v/>
      </c>
      <c r="F111" t="str">
        <v>867162029843950</v>
      </c>
      <c r="G111" t="str">
        <v>TBD</v>
      </c>
      <c r="H111" t="str">
        <v/>
      </c>
      <c r="I111" t="str">
        <v>28/09/2026</v>
      </c>
      <c r="J111" t="str">
        <v>11:29:51</v>
      </c>
      <c r="K111">
        <v>-12.316686</v>
      </c>
      <c r="L111">
        <v>-76.825066</v>
      </c>
      <c r="M111">
        <f>HYPERLINK("https://www.google.com/maps/search/?api=1&amp;query=-12.316686,-76.825066","Punta Hermosa, Lima")</f>
      </c>
      <c r="N111">
        <v>15.3</v>
      </c>
      <c r="O111">
        <v>100</v>
      </c>
      <c r="P111">
        <v>719076.8</v>
      </c>
      <c r="Q111" t="str">
        <v>117.00</v>
      </c>
      <c r="R111" t="str">
        <v/>
      </c>
      <c r="S111" t="str">
        <v/>
      </c>
      <c r="T111" t="str">
        <v/>
      </c>
      <c r="U111" t="str">
        <v/>
      </c>
    </row>
    <row r="112">
      <c r="A112" t="str">
        <v>111</v>
      </c>
      <c r="B112" t="str">
        <v>MASS BSF</v>
      </c>
      <c r="C112" t="str">
        <v>BXQ-847</v>
      </c>
      <c r="D112" t="str">
        <v>BXQ-847</v>
      </c>
      <c r="E112" t="str">
        <v/>
      </c>
      <c r="F112" t="str">
        <v>867162029843950</v>
      </c>
      <c r="G112" t="str">
        <v>TBD</v>
      </c>
      <c r="H112" t="str">
        <v/>
      </c>
      <c r="I112" t="str">
        <v>28/09/2026</v>
      </c>
      <c r="J112" t="str">
        <v>11:30:51</v>
      </c>
      <c r="K112">
        <v>-12.317898</v>
      </c>
      <c r="L112">
        <v>-76.824165</v>
      </c>
      <c r="M112">
        <f>HYPERLINK("https://www.google.com/maps/search/?api=1&amp;query=-12.317898,-76.824165","Punta Hermosa, Lima")</f>
      </c>
      <c r="N112">
        <v>0</v>
      </c>
      <c r="O112">
        <v>100</v>
      </c>
      <c r="P112">
        <v>719076.9</v>
      </c>
      <c r="Q112" t="str">
        <v>117.00</v>
      </c>
      <c r="R112" t="str">
        <v/>
      </c>
      <c r="S112" t="str">
        <v/>
      </c>
      <c r="T112" t="str">
        <v/>
      </c>
      <c r="U112" t="str">
        <v/>
      </c>
    </row>
    <row r="113">
      <c r="A113" t="str">
        <v>112</v>
      </c>
      <c r="B113" t="str">
        <v>MASS BSF</v>
      </c>
      <c r="C113" t="str">
        <v>BXQ-847</v>
      </c>
      <c r="D113" t="str">
        <v>BXQ-847</v>
      </c>
      <c r="E113" t="str">
        <v/>
      </c>
      <c r="F113" t="str">
        <v>867162029843950</v>
      </c>
      <c r="G113" t="str">
        <v>TBD</v>
      </c>
      <c r="H113" t="str">
        <v/>
      </c>
      <c r="I113" t="str">
        <v>28/09/2026</v>
      </c>
      <c r="J113" t="str">
        <v>11:31:05</v>
      </c>
      <c r="K113">
        <v>-12.318471</v>
      </c>
      <c r="L113">
        <v>-76.82378</v>
      </c>
      <c r="M113">
        <f>HYPERLINK("https://www.google.com/maps/search/?api=1&amp;query=-12.318471,-76.82378","Punta Hermosa, Lima")</f>
      </c>
      <c r="N113">
        <v>12.4</v>
      </c>
      <c r="O113">
        <v>100</v>
      </c>
      <c r="P113">
        <v>719076.9</v>
      </c>
      <c r="Q113" t="str">
        <v>117.00</v>
      </c>
      <c r="R113" t="str">
        <v/>
      </c>
      <c r="S113" t="str">
        <v/>
      </c>
      <c r="T113" t="str">
        <v/>
      </c>
      <c r="U113" t="str">
        <v/>
      </c>
    </row>
    <row r="114">
      <c r="A114" t="str">
        <v>113</v>
      </c>
      <c r="B114" t="str">
        <v>MASS BSF</v>
      </c>
      <c r="C114" t="str">
        <v>BXQ-847</v>
      </c>
      <c r="D114" t="str">
        <v>BXQ-847</v>
      </c>
      <c r="E114" t="str">
        <v/>
      </c>
      <c r="F114" t="str">
        <v>867162029843950</v>
      </c>
      <c r="G114" t="str">
        <v>TBD</v>
      </c>
      <c r="H114" t="str">
        <v/>
      </c>
      <c r="I114" t="str">
        <v>28/09/2026</v>
      </c>
      <c r="J114" t="str">
        <v>11:31:12</v>
      </c>
      <c r="K114">
        <v>-12.318405</v>
      </c>
      <c r="L114">
        <v>-76.82358</v>
      </c>
      <c r="M114">
        <f>HYPERLINK("https://www.google.com/maps/search/?api=1&amp;query=-12.318405,-76.82358","Punta Hermosa, Lima")</f>
      </c>
      <c r="N114">
        <v>14.7</v>
      </c>
      <c r="O114">
        <v>100</v>
      </c>
      <c r="P114">
        <v>719077</v>
      </c>
      <c r="Q114" t="str">
        <v>117.00</v>
      </c>
      <c r="R114" t="str">
        <v/>
      </c>
      <c r="S114" t="str">
        <v/>
      </c>
      <c r="T114" t="str">
        <v/>
      </c>
      <c r="U114" t="str">
        <v/>
      </c>
    </row>
    <row r="115">
      <c r="A115" t="str">
        <v>114</v>
      </c>
      <c r="B115" t="str">
        <v>MASS BSF</v>
      </c>
      <c r="C115" t="str">
        <v>BXQ-847</v>
      </c>
      <c r="D115" t="str">
        <v>BXQ-847</v>
      </c>
      <c r="E115" t="str">
        <v/>
      </c>
      <c r="F115" t="str">
        <v>867162029843950</v>
      </c>
      <c r="G115" t="str">
        <v>TBD</v>
      </c>
      <c r="H115" t="str">
        <v/>
      </c>
      <c r="I115" t="str">
        <v>28/09/2026</v>
      </c>
      <c r="J115" t="str">
        <v>11:31:35</v>
      </c>
      <c r="K115">
        <v>-12.317997</v>
      </c>
      <c r="L115">
        <v>-76.82297</v>
      </c>
      <c r="M115">
        <f>HYPERLINK("https://www.google.com/maps/search/?api=1&amp;query=-12.317997,-76.82297","Punta Hermosa, Lima")</f>
      </c>
      <c r="N115">
        <v>12.4</v>
      </c>
      <c r="O115">
        <v>100</v>
      </c>
      <c r="P115">
        <v>719077</v>
      </c>
      <c r="Q115" t="str">
        <v>117.00</v>
      </c>
      <c r="R115" t="str">
        <v/>
      </c>
      <c r="S115" t="str">
        <v/>
      </c>
      <c r="T115" t="str">
        <v/>
      </c>
      <c r="U115" t="str">
        <v/>
      </c>
    </row>
    <row r="116">
      <c r="A116" t="str">
        <v>115</v>
      </c>
      <c r="B116" t="str">
        <v>MASS BSF</v>
      </c>
      <c r="C116" t="str">
        <v>BXQ-847</v>
      </c>
      <c r="D116" t="str">
        <v>BXQ-847</v>
      </c>
      <c r="E116" t="str">
        <v/>
      </c>
      <c r="F116" t="str">
        <v>867162029843950</v>
      </c>
      <c r="G116" t="str">
        <v>TBD</v>
      </c>
      <c r="H116" t="str">
        <v/>
      </c>
      <c r="I116" t="str">
        <v>28/09/2026</v>
      </c>
      <c r="J116" t="str">
        <v>11:31:35</v>
      </c>
      <c r="K116">
        <v>-12.317897</v>
      </c>
      <c r="L116">
        <v>-76.82293</v>
      </c>
      <c r="M116">
        <f>HYPERLINK("https://www.google.com/maps/search/?api=1&amp;query=-12.317897,-76.82293","Punta Hermosa, Lima")</f>
      </c>
      <c r="N116">
        <v>14.3</v>
      </c>
      <c r="O116">
        <v>100</v>
      </c>
      <c r="P116">
        <v>719077</v>
      </c>
      <c r="Q116" t="str">
        <v>117.00</v>
      </c>
      <c r="R116" t="str">
        <v/>
      </c>
      <c r="S116" t="str">
        <v/>
      </c>
      <c r="T116" t="str">
        <v/>
      </c>
      <c r="U116" t="str">
        <v/>
      </c>
    </row>
    <row r="117">
      <c r="A117" t="str">
        <v>116</v>
      </c>
      <c r="B117" t="str">
        <v>MASS BSF</v>
      </c>
      <c r="C117" t="str">
        <v>BXQ-847</v>
      </c>
      <c r="D117" t="str">
        <v>BXQ-847</v>
      </c>
      <c r="E117" t="str">
        <v/>
      </c>
      <c r="F117" t="str">
        <v>867162029843950</v>
      </c>
      <c r="G117" t="str">
        <v>TBD</v>
      </c>
      <c r="H117" t="str">
        <v/>
      </c>
      <c r="I117" t="str">
        <v>28/09/2026</v>
      </c>
      <c r="J117" t="str">
        <v>11:31:47</v>
      </c>
      <c r="K117">
        <v>-12.317473</v>
      </c>
      <c r="L117">
        <v>-76.82289</v>
      </c>
      <c r="M117">
        <f>HYPERLINK("https://www.google.com/maps/search/?api=1&amp;query=-12.317473,-76.82289","Punta Hermosa, Lima")</f>
      </c>
      <c r="N117">
        <v>15.7</v>
      </c>
      <c r="O117">
        <v>100</v>
      </c>
      <c r="P117">
        <v>719077.1</v>
      </c>
      <c r="Q117" t="str">
        <v>117.00</v>
      </c>
      <c r="R117" t="str">
        <v/>
      </c>
      <c r="S117" t="str">
        <v/>
      </c>
      <c r="T117" t="str">
        <v/>
      </c>
      <c r="U117" t="str">
        <v/>
      </c>
    </row>
    <row r="118">
      <c r="A118" t="str">
        <v>117</v>
      </c>
      <c r="B118" t="str">
        <v>MASS BSF</v>
      </c>
      <c r="C118" t="str">
        <v>BXQ-847</v>
      </c>
      <c r="D118" t="str">
        <v>BXQ-847</v>
      </c>
      <c r="E118" t="str">
        <v/>
      </c>
      <c r="F118" t="str">
        <v>867162029843950</v>
      </c>
      <c r="G118" t="str">
        <v>TBD</v>
      </c>
      <c r="H118" t="str">
        <v/>
      </c>
      <c r="I118" t="str">
        <v>28/09/2026</v>
      </c>
      <c r="J118" t="str">
        <v>11:31:54</v>
      </c>
      <c r="K118">
        <v>-12.317299</v>
      </c>
      <c r="L118">
        <v>-76.82289</v>
      </c>
      <c r="M118">
        <f>HYPERLINK("https://www.google.com/maps/search/?api=1&amp;query=-12.317299,-76.82289","Punta Hermosa, Lima")</f>
      </c>
      <c r="N118">
        <v>11</v>
      </c>
      <c r="O118">
        <v>100</v>
      </c>
      <c r="P118">
        <v>719077.1</v>
      </c>
      <c r="Q118" t="str">
        <v>117.00</v>
      </c>
      <c r="R118" t="str">
        <v/>
      </c>
      <c r="S118" t="str">
        <v/>
      </c>
      <c r="T118" t="str">
        <v/>
      </c>
      <c r="U118" t="str">
        <v/>
      </c>
    </row>
    <row r="119">
      <c r="A119" t="str">
        <v>118</v>
      </c>
      <c r="B119" t="str">
        <v>MASS BSF</v>
      </c>
      <c r="C119" t="str">
        <v>BXQ-847</v>
      </c>
      <c r="D119" t="str">
        <v>BXQ-847</v>
      </c>
      <c r="E119" t="str">
        <v/>
      </c>
      <c r="F119" t="str">
        <v>867162029843950</v>
      </c>
      <c r="G119" t="str">
        <v>TBD</v>
      </c>
      <c r="H119" t="str">
        <v/>
      </c>
      <c r="I119" t="str">
        <v>28/09/2026</v>
      </c>
      <c r="J119" t="str">
        <v>11:31:59</v>
      </c>
      <c r="K119">
        <v>-12.317317</v>
      </c>
      <c r="L119">
        <v>-76.82289</v>
      </c>
      <c r="M119">
        <f>HYPERLINK("https://www.google.com/maps/search/?api=1&amp;query=-12.317317,-76.82289","Punta Hermosa, Lima")</f>
      </c>
      <c r="N119">
        <v>4.3</v>
      </c>
      <c r="O119">
        <v>100</v>
      </c>
      <c r="P119">
        <v>719077.1</v>
      </c>
      <c r="Q119" t="str">
        <v>117.00</v>
      </c>
      <c r="R119" t="str">
        <v/>
      </c>
      <c r="S119" t="str">
        <v/>
      </c>
      <c r="T119" t="str">
        <v/>
      </c>
      <c r="U119" t="str">
        <v/>
      </c>
    </row>
    <row r="120">
      <c r="A120" t="str">
        <v>119</v>
      </c>
      <c r="B120" t="str">
        <v>MASS BSF</v>
      </c>
      <c r="C120" t="str">
        <v>BXQ-847</v>
      </c>
      <c r="D120" t="str">
        <v>BXQ-847</v>
      </c>
      <c r="E120" t="str">
        <v/>
      </c>
      <c r="F120" t="str">
        <v>867162029843950</v>
      </c>
      <c r="G120" t="str">
        <v>TBD</v>
      </c>
      <c r="H120" t="str">
        <v/>
      </c>
      <c r="I120" t="str">
        <v>28/09/2026</v>
      </c>
      <c r="J120" t="str">
        <v>11:32:11</v>
      </c>
      <c r="K120">
        <v>-12.317317</v>
      </c>
      <c r="L120">
        <v>-76.82289</v>
      </c>
      <c r="M120">
        <f>HYPERLINK("https://www.google.com/maps/search/?api=1&amp;query=-12.317317,-76.82289","Punta Hermosa, Lima")</f>
      </c>
      <c r="N120">
        <v>4.3</v>
      </c>
      <c r="O120">
        <v>100</v>
      </c>
      <c r="P120">
        <v>719077.1</v>
      </c>
      <c r="Q120" t="str">
        <v>117.83</v>
      </c>
      <c r="R120" t="str">
        <v>Vehículo apagado</v>
      </c>
      <c r="S120" t="str">
        <v/>
      </c>
      <c r="T120" t="str">
        <v/>
      </c>
      <c r="U120" t="str">
        <v/>
      </c>
    </row>
    <row r="121">
      <c r="A121" t="str">
        <v>120</v>
      </c>
      <c r="B121" t="str">
        <v>MASS BSF</v>
      </c>
      <c r="C121" t="str">
        <v>BXQ-847</v>
      </c>
      <c r="D121" t="str">
        <v>BXQ-847</v>
      </c>
      <c r="E121" t="str">
        <v/>
      </c>
      <c r="F121" t="str">
        <v>867162029843950</v>
      </c>
      <c r="G121" t="str">
        <v>TBD</v>
      </c>
      <c r="H121" t="str">
        <v/>
      </c>
      <c r="I121" t="str">
        <v>28/09/2026</v>
      </c>
      <c r="J121" t="str">
        <v>11:32:13</v>
      </c>
      <c r="K121">
        <v>-12.31736</v>
      </c>
      <c r="L121">
        <v>-76.82297</v>
      </c>
      <c r="M121">
        <f>HYPERLINK("https://www.google.com/maps/search/?api=1&amp;query=-12.31736,-76.82297","Punta Hermosa, Lima")</f>
      </c>
      <c r="N121">
        <v>0</v>
      </c>
      <c r="O121">
        <v>100</v>
      </c>
      <c r="P121">
        <v>719077.1</v>
      </c>
      <c r="Q121" t="str">
        <v>117.83</v>
      </c>
      <c r="R121" t="str">
        <v/>
      </c>
      <c r="S121" t="str">
        <v/>
      </c>
      <c r="T121" t="str">
        <v/>
      </c>
      <c r="U121" t="str">
        <v/>
      </c>
    </row>
    <row r="122">
      <c r="A122" t="str">
        <v>121</v>
      </c>
      <c r="B122" t="str">
        <v>MASS BSF</v>
      </c>
      <c r="C122" t="str">
        <v>BXQ-847</v>
      </c>
      <c r="D122" t="str">
        <v>BXQ-847</v>
      </c>
      <c r="E122" t="str">
        <v/>
      </c>
      <c r="F122" t="str">
        <v>867162029843950</v>
      </c>
      <c r="G122" t="str">
        <v>TBD</v>
      </c>
      <c r="H122" t="str">
        <v/>
      </c>
      <c r="I122" t="str">
        <v>28/09/2026</v>
      </c>
      <c r="J122" t="str">
        <v>11:41:58</v>
      </c>
      <c r="K122">
        <v>-12.31736</v>
      </c>
      <c r="L122">
        <v>-76.82297</v>
      </c>
      <c r="M122">
        <f>HYPERLINK("https://www.google.com/maps/search/?api=1&amp;query=-12.31736,-76.82297","Punta Hermosa, Lima")</f>
      </c>
      <c r="N122">
        <v>0</v>
      </c>
      <c r="O122">
        <v>100</v>
      </c>
      <c r="P122">
        <v>719077.1</v>
      </c>
      <c r="Q122" t="str">
        <v>117.83</v>
      </c>
      <c r="R122" t="str">
        <v>Vehículo encendido</v>
      </c>
      <c r="S122" t="str">
        <v/>
      </c>
      <c r="T122" t="str">
        <v/>
      </c>
      <c r="U122" t="str">
        <v/>
      </c>
    </row>
    <row r="123">
      <c r="A123" t="str">
        <v>122</v>
      </c>
      <c r="B123" t="str">
        <v>MASS BSF</v>
      </c>
      <c r="C123" t="str">
        <v>BXQ-847</v>
      </c>
      <c r="D123" t="str">
        <v>BXQ-847</v>
      </c>
      <c r="E123" t="str">
        <v/>
      </c>
      <c r="F123" t="str">
        <v>867162029843950</v>
      </c>
      <c r="G123" t="str">
        <v>TBD</v>
      </c>
      <c r="H123" t="str">
        <v/>
      </c>
      <c r="I123" t="str">
        <v>28/09/2026</v>
      </c>
      <c r="J123" t="str">
        <v>11:42:04</v>
      </c>
      <c r="K123">
        <v>-12.317359</v>
      </c>
      <c r="L123">
        <v>-76.82291</v>
      </c>
      <c r="M123">
        <f>HYPERLINK("https://www.google.com/maps/search/?api=1&amp;query=-12.317359,-76.82291","Punta Hermosa, Lima")</f>
      </c>
      <c r="N123">
        <v>0.3</v>
      </c>
      <c r="O123">
        <v>100</v>
      </c>
      <c r="P123">
        <v>719077.1</v>
      </c>
      <c r="Q123" t="str">
        <v>117.83</v>
      </c>
      <c r="R123" t="str">
        <v/>
      </c>
      <c r="S123" t="str">
        <v/>
      </c>
      <c r="T123" t="str">
        <v/>
      </c>
      <c r="U123" t="str">
        <v/>
      </c>
    </row>
    <row r="124">
      <c r="A124" t="str">
        <v>123</v>
      </c>
      <c r="B124" t="str">
        <v>MASS BSF</v>
      </c>
      <c r="C124" t="str">
        <v>BXQ-847</v>
      </c>
      <c r="D124" t="str">
        <v>BXQ-847</v>
      </c>
      <c r="E124" t="str">
        <v/>
      </c>
      <c r="F124" t="str">
        <v>867162029843950</v>
      </c>
      <c r="G124" t="str">
        <v>TBD</v>
      </c>
      <c r="H124" t="str">
        <v/>
      </c>
      <c r="I124" t="str">
        <v>28/09/2026</v>
      </c>
      <c r="J124" t="str">
        <v>11:42:15</v>
      </c>
      <c r="K124">
        <v>-12.317378</v>
      </c>
      <c r="L124">
        <v>-76.822845</v>
      </c>
      <c r="M124">
        <f>HYPERLINK("https://www.google.com/maps/search/?api=1&amp;query=-12.317378,-76.822845","Punta Hermosa, Lima")</f>
      </c>
      <c r="N124">
        <v>7</v>
      </c>
      <c r="O124">
        <v>100</v>
      </c>
      <c r="P124">
        <v>719077.1</v>
      </c>
      <c r="Q124" t="str">
        <v>117.83</v>
      </c>
      <c r="R124" t="str">
        <v/>
      </c>
      <c r="S124" t="str">
        <v/>
      </c>
      <c r="T124" t="str">
        <v/>
      </c>
      <c r="U124" t="str">
        <v/>
      </c>
    </row>
    <row r="125">
      <c r="A125" t="str">
        <v>124</v>
      </c>
      <c r="B125" t="str">
        <v>MASS BSF</v>
      </c>
      <c r="C125" t="str">
        <v>BXQ-847</v>
      </c>
      <c r="D125" t="str">
        <v>BXQ-847</v>
      </c>
      <c r="E125" t="str">
        <v/>
      </c>
      <c r="F125" t="str">
        <v>867162029843950</v>
      </c>
      <c r="G125" t="str">
        <v>TBD</v>
      </c>
      <c r="H125" t="str">
        <v/>
      </c>
      <c r="I125" t="str">
        <v>28/09/2026</v>
      </c>
      <c r="J125" t="str">
        <v>11:42:24</v>
      </c>
      <c r="K125">
        <v>-12.317664</v>
      </c>
      <c r="L125">
        <v>-76.82283</v>
      </c>
      <c r="M125">
        <f>HYPERLINK("https://www.google.com/maps/search/?api=1&amp;query=-12.317664,-76.82283","Punta Hermosa, Lima")</f>
      </c>
      <c r="N125">
        <v>13.5</v>
      </c>
      <c r="O125">
        <v>100</v>
      </c>
      <c r="P125">
        <v>719077.1</v>
      </c>
      <c r="Q125" t="str">
        <v>117.83</v>
      </c>
      <c r="R125" t="str">
        <v/>
      </c>
      <c r="S125" t="str">
        <v/>
      </c>
      <c r="T125" t="str">
        <v/>
      </c>
      <c r="U125" t="str">
        <v/>
      </c>
    </row>
    <row r="126">
      <c r="A126" t="str">
        <v>125</v>
      </c>
      <c r="B126" t="str">
        <v>MASS BSF</v>
      </c>
      <c r="C126" t="str">
        <v>BXQ-847</v>
      </c>
      <c r="D126" t="str">
        <v>BXQ-847</v>
      </c>
      <c r="E126" t="str">
        <v/>
      </c>
      <c r="F126" t="str">
        <v>867162029843950</v>
      </c>
      <c r="G126" t="str">
        <v>TBD</v>
      </c>
      <c r="H126" t="str">
        <v/>
      </c>
      <c r="I126" t="str">
        <v>28/09/2026</v>
      </c>
      <c r="J126" t="str">
        <v>11:42:36</v>
      </c>
      <c r="K126">
        <v>-12.318023</v>
      </c>
      <c r="L126">
        <v>-76.82298</v>
      </c>
      <c r="M126">
        <f>HYPERLINK("https://www.google.com/maps/search/?api=1&amp;query=-12.318023,-76.82298","Punta Hermosa, Lima")</f>
      </c>
      <c r="N126">
        <v>11.8</v>
      </c>
      <c r="O126">
        <v>100</v>
      </c>
      <c r="P126">
        <v>719077.2</v>
      </c>
      <c r="Q126" t="str">
        <v>117.83</v>
      </c>
      <c r="R126" t="str">
        <v/>
      </c>
      <c r="S126" t="str">
        <v/>
      </c>
      <c r="T126" t="str">
        <v/>
      </c>
      <c r="U126" t="str">
        <v/>
      </c>
    </row>
    <row r="127">
      <c r="A127" t="str">
        <v>126</v>
      </c>
      <c r="B127" t="str">
        <v>MASS BSF</v>
      </c>
      <c r="C127" t="str">
        <v>BXQ-847</v>
      </c>
      <c r="D127" t="str">
        <v>BXQ-847</v>
      </c>
      <c r="E127" t="str">
        <v/>
      </c>
      <c r="F127" t="str">
        <v>867162029843950</v>
      </c>
      <c r="G127" t="str">
        <v>TBD</v>
      </c>
      <c r="H127" t="str">
        <v/>
      </c>
      <c r="I127" t="str">
        <v>28/09/2026</v>
      </c>
      <c r="J127" t="str">
        <v>11:43:03</v>
      </c>
      <c r="K127">
        <v>-12.318459</v>
      </c>
      <c r="L127">
        <v>-76.82369</v>
      </c>
      <c r="M127">
        <f>HYPERLINK("https://www.google.com/maps/search/?api=1&amp;query=-12.318459,-76.82369","Punta Hermosa, Lima")</f>
      </c>
      <c r="N127">
        <v>13.9</v>
      </c>
      <c r="O127">
        <v>100</v>
      </c>
      <c r="P127">
        <v>719077.3</v>
      </c>
      <c r="Q127" t="str">
        <v>117.83</v>
      </c>
      <c r="R127" t="str">
        <v/>
      </c>
      <c r="S127" t="str">
        <v/>
      </c>
      <c r="T127" t="str">
        <v/>
      </c>
      <c r="U127" t="str">
        <v/>
      </c>
    </row>
    <row r="128">
      <c r="A128" t="str">
        <v>127</v>
      </c>
      <c r="B128" t="str">
        <v>MASS BSF</v>
      </c>
      <c r="C128" t="str">
        <v>BXQ-847</v>
      </c>
      <c r="D128" t="str">
        <v>BXQ-847</v>
      </c>
      <c r="E128" t="str">
        <v/>
      </c>
      <c r="F128" t="str">
        <v>867162029843950</v>
      </c>
      <c r="G128" t="str">
        <v>TBD</v>
      </c>
      <c r="H128" t="str">
        <v/>
      </c>
      <c r="I128" t="str">
        <v>28/09/2026</v>
      </c>
      <c r="J128" t="str">
        <v>11:43:04</v>
      </c>
      <c r="K128">
        <v>-12.318457</v>
      </c>
      <c r="L128">
        <v>-76.8238</v>
      </c>
      <c r="M128">
        <f>HYPERLINK("https://www.google.com/maps/search/?api=1&amp;query=-12.318457,-76.8238","Punta Hermosa, Lima")</f>
      </c>
      <c r="N128">
        <v>12.9</v>
      </c>
      <c r="O128">
        <v>100</v>
      </c>
      <c r="P128">
        <v>719077.3</v>
      </c>
      <c r="Q128" t="str">
        <v>117.83</v>
      </c>
      <c r="R128" t="str">
        <v/>
      </c>
      <c r="S128" t="str">
        <v/>
      </c>
      <c r="T128" t="str">
        <v/>
      </c>
      <c r="U128" t="str">
        <v/>
      </c>
    </row>
    <row r="129">
      <c r="A129" t="str">
        <v>128</v>
      </c>
      <c r="B129" t="str">
        <v>MASS BSF</v>
      </c>
      <c r="C129" t="str">
        <v>BXQ-847</v>
      </c>
      <c r="D129" t="str">
        <v>BXQ-847</v>
      </c>
      <c r="E129" t="str">
        <v/>
      </c>
      <c r="F129" t="str">
        <v>867162029843950</v>
      </c>
      <c r="G129" t="str">
        <v>TBD</v>
      </c>
      <c r="H129" t="str">
        <v/>
      </c>
      <c r="I129" t="str">
        <v>28/09/2026</v>
      </c>
      <c r="J129" t="str">
        <v>11:43:13</v>
      </c>
      <c r="K129">
        <v>-12.318262</v>
      </c>
      <c r="L129">
        <v>-76.824</v>
      </c>
      <c r="M129">
        <f>HYPERLINK("https://www.google.com/maps/search/?api=1&amp;query=-12.318262,-76.824","Punta Hermosa, Lima")</f>
      </c>
      <c r="N129">
        <v>13.7</v>
      </c>
      <c r="O129">
        <v>100</v>
      </c>
      <c r="P129">
        <v>719077.3</v>
      </c>
      <c r="Q129" t="str">
        <v>117.83</v>
      </c>
      <c r="R129" t="str">
        <v/>
      </c>
      <c r="S129" t="str">
        <v/>
      </c>
      <c r="T129" t="str">
        <v/>
      </c>
      <c r="U129" t="str">
        <v/>
      </c>
    </row>
    <row r="130">
      <c r="A130" t="str">
        <v>129</v>
      </c>
      <c r="B130" t="str">
        <v>MASS BSF</v>
      </c>
      <c r="C130" t="str">
        <v>BXQ-847</v>
      </c>
      <c r="D130" t="str">
        <v>BXQ-847</v>
      </c>
      <c r="E130" t="str">
        <v/>
      </c>
      <c r="F130" t="str">
        <v>867162029843950</v>
      </c>
      <c r="G130" t="str">
        <v>TBD</v>
      </c>
      <c r="H130" t="str">
        <v/>
      </c>
      <c r="I130" t="str">
        <v>28/09/2026</v>
      </c>
      <c r="J130" t="str">
        <v>11:43:33</v>
      </c>
      <c r="K130">
        <v>-12.31781</v>
      </c>
      <c r="L130">
        <v>-76.82431</v>
      </c>
      <c r="M130">
        <f>HYPERLINK("https://www.google.com/maps/search/?api=1&amp;query=-12.31781,-76.82431","Punta Hermosa, Lima")</f>
      </c>
      <c r="N130">
        <v>8.8</v>
      </c>
      <c r="O130">
        <v>100</v>
      </c>
      <c r="P130">
        <v>719077.4</v>
      </c>
      <c r="Q130" t="str">
        <v>117.83</v>
      </c>
      <c r="R130" t="str">
        <v/>
      </c>
      <c r="S130" t="str">
        <v/>
      </c>
      <c r="T130" t="str">
        <v/>
      </c>
      <c r="U130" t="str">
        <v/>
      </c>
    </row>
    <row r="131">
      <c r="A131" t="str">
        <v>130</v>
      </c>
      <c r="B131" t="str">
        <v>MASS BSF</v>
      </c>
      <c r="C131" t="str">
        <v>BXQ-847</v>
      </c>
      <c r="D131" t="str">
        <v>BXQ-847</v>
      </c>
      <c r="E131" t="str">
        <v/>
      </c>
      <c r="F131" t="str">
        <v>867162029843950</v>
      </c>
      <c r="G131" t="str">
        <v>TBD</v>
      </c>
      <c r="H131" t="str">
        <v/>
      </c>
      <c r="I131" t="str">
        <v>28/09/2026</v>
      </c>
      <c r="J131" t="str">
        <v>11:43:40</v>
      </c>
      <c r="K131">
        <v>-12.317817</v>
      </c>
      <c r="L131">
        <v>-76.8243</v>
      </c>
      <c r="M131">
        <f>HYPERLINK("https://www.google.com/maps/search/?api=1&amp;query=-12.317817,-76.8243","Punta Hermosa, Lima")</f>
      </c>
      <c r="N131">
        <v>4.3</v>
      </c>
      <c r="O131">
        <v>100</v>
      </c>
      <c r="P131">
        <v>719077.4</v>
      </c>
      <c r="Q131" t="str">
        <v>117.83</v>
      </c>
      <c r="R131" t="str">
        <v/>
      </c>
      <c r="S131" t="str">
        <v/>
      </c>
      <c r="T131" t="str">
        <v/>
      </c>
      <c r="U131" t="str">
        <v/>
      </c>
    </row>
    <row r="132">
      <c r="A132" t="str">
        <v>131</v>
      </c>
      <c r="B132" t="str">
        <v>MASS BSF</v>
      </c>
      <c r="C132" t="str">
        <v>BXQ-847</v>
      </c>
      <c r="D132" t="str">
        <v>BXQ-847</v>
      </c>
      <c r="E132" t="str">
        <v/>
      </c>
      <c r="F132" t="str">
        <v>867162029843950</v>
      </c>
      <c r="G132" t="str">
        <v>TBD</v>
      </c>
      <c r="H132" t="str">
        <v/>
      </c>
      <c r="I132" t="str">
        <v>28/09/2026</v>
      </c>
      <c r="J132" t="str">
        <v>11:43:55</v>
      </c>
      <c r="K132">
        <v>-12.317817</v>
      </c>
      <c r="L132">
        <v>-76.8243</v>
      </c>
      <c r="M132">
        <f>HYPERLINK("https://www.google.com/maps/search/?api=1&amp;query=-12.317817,-76.8243","Punta Hermosa, Lima")</f>
      </c>
      <c r="N132">
        <v>4.3</v>
      </c>
      <c r="O132">
        <v>100</v>
      </c>
      <c r="P132">
        <v>719077.4</v>
      </c>
      <c r="Q132" t="str">
        <v>117.87</v>
      </c>
      <c r="R132" t="str">
        <v>Vehículo apagado</v>
      </c>
      <c r="S132" t="str">
        <v/>
      </c>
      <c r="T132" t="str">
        <v/>
      </c>
      <c r="U132" t="str">
        <v/>
      </c>
    </row>
    <row r="133">
      <c r="A133" t="str">
        <v>132</v>
      </c>
      <c r="B133" t="str">
        <v>MASS BSF</v>
      </c>
      <c r="C133" t="str">
        <v>BXQ-847</v>
      </c>
      <c r="D133" t="str">
        <v>BXQ-847</v>
      </c>
      <c r="E133" t="str">
        <v/>
      </c>
      <c r="F133" t="str">
        <v>867162029843950</v>
      </c>
      <c r="G133" t="str">
        <v>TBD</v>
      </c>
      <c r="H133" t="str">
        <v/>
      </c>
      <c r="I133" t="str">
        <v>28/09/2026</v>
      </c>
      <c r="J133" t="str">
        <v>11:43:59</v>
      </c>
      <c r="K133">
        <v>-12.317808</v>
      </c>
      <c r="L133">
        <v>-76.82425</v>
      </c>
      <c r="M133">
        <f>HYPERLINK("https://www.google.com/maps/search/?api=1&amp;query=-12.317808,-76.82425","Punta Hermosa, Lima")</f>
      </c>
      <c r="N133">
        <v>0</v>
      </c>
      <c r="O133">
        <v>100</v>
      </c>
      <c r="P133">
        <v>719077.4</v>
      </c>
      <c r="Q133" t="str">
        <v>117.87</v>
      </c>
      <c r="R133" t="str">
        <v/>
      </c>
      <c r="S133" t="str">
        <v/>
      </c>
      <c r="T133" t="str">
        <v/>
      </c>
      <c r="U133" t="str">
        <v/>
      </c>
    </row>
    <row r="134">
      <c r="A134" t="str">
        <v>133</v>
      </c>
      <c r="B134" t="str">
        <v>MASS BSF</v>
      </c>
      <c r="C134" t="str">
        <v>BXQ-847</v>
      </c>
      <c r="D134" t="str">
        <v>BXQ-847</v>
      </c>
      <c r="E134" t="str">
        <v/>
      </c>
      <c r="F134" t="str">
        <v>867162029843950</v>
      </c>
      <c r="G134" t="str">
        <v>TBD</v>
      </c>
      <c r="H134" t="str">
        <v/>
      </c>
      <c r="I134" t="str">
        <v>28/09/2026</v>
      </c>
      <c r="J134" t="str">
        <v>12:13:59</v>
      </c>
      <c r="K134">
        <v>-12.317808</v>
      </c>
      <c r="L134">
        <v>-76.82425</v>
      </c>
      <c r="M134">
        <f>HYPERLINK("https://www.google.com/maps/search/?api=1&amp;query=-12.317808,-76.82425","Punta Hermosa, Lima")</f>
      </c>
      <c r="N134">
        <v>0.2</v>
      </c>
      <c r="O134">
        <v>100</v>
      </c>
      <c r="P134">
        <v>719077.4</v>
      </c>
      <c r="Q134" t="str">
        <v>117.87</v>
      </c>
      <c r="R134" t="str">
        <v/>
      </c>
      <c r="S134" t="str">
        <v/>
      </c>
      <c r="T134" t="str">
        <v/>
      </c>
      <c r="U134" t="str">
        <v/>
      </c>
    </row>
    <row r="135">
      <c r="A135" t="str">
        <v>134</v>
      </c>
      <c r="B135" t="str">
        <v>MASS BSF</v>
      </c>
      <c r="C135" t="str">
        <v>BXQ-847</v>
      </c>
      <c r="D135" t="str">
        <v>BXQ-847</v>
      </c>
      <c r="E135" t="str">
        <v/>
      </c>
      <c r="F135" t="str">
        <v>867162029843950</v>
      </c>
      <c r="G135" t="str">
        <v>TBD</v>
      </c>
      <c r="H135" t="str">
        <v/>
      </c>
      <c r="I135" t="str">
        <v>28/09/2026</v>
      </c>
      <c r="J135" t="str">
        <v>12:44:03</v>
      </c>
      <c r="K135">
        <v>-12.317808</v>
      </c>
      <c r="L135">
        <v>-76.82425</v>
      </c>
      <c r="M135">
        <f>HYPERLINK("https://www.google.com/maps/search/?api=1&amp;query=-12.317808,-76.82425","Punta Hermosa, Lima")</f>
      </c>
      <c r="N135">
        <v>0</v>
      </c>
      <c r="O135">
        <v>100</v>
      </c>
      <c r="P135">
        <v>719077.4</v>
      </c>
      <c r="Q135" t="str">
        <v>117.87</v>
      </c>
      <c r="R135" t="str">
        <v/>
      </c>
      <c r="S135" t="str">
        <v/>
      </c>
      <c r="T135" t="str">
        <v/>
      </c>
      <c r="U135" t="str">
        <v/>
      </c>
    </row>
    <row r="136">
      <c r="A136" t="str">
        <v>135</v>
      </c>
      <c r="B136" t="str">
        <v>MASS BSF</v>
      </c>
      <c r="C136" t="str">
        <v>BXQ-847</v>
      </c>
      <c r="D136" t="str">
        <v>BXQ-847</v>
      </c>
      <c r="E136" t="str">
        <v/>
      </c>
      <c r="F136" t="str">
        <v>867162029843950</v>
      </c>
      <c r="G136" t="str">
        <v>TBD</v>
      </c>
      <c r="H136" t="str">
        <v/>
      </c>
      <c r="I136" t="str">
        <v>28/09/2026</v>
      </c>
      <c r="J136" t="str">
        <v>13:14:04</v>
      </c>
      <c r="K136">
        <v>-12.317808</v>
      </c>
      <c r="L136">
        <v>-76.82425</v>
      </c>
      <c r="M136">
        <f>HYPERLINK("https://www.google.com/maps/search/?api=1&amp;query=-12.317808,-76.82425","Punta Hermosa, Lima")</f>
      </c>
      <c r="N136">
        <v>0</v>
      </c>
      <c r="O136">
        <v>100</v>
      </c>
      <c r="P136">
        <v>719077.4</v>
      </c>
      <c r="Q136" t="str">
        <v>117.87</v>
      </c>
      <c r="R136" t="str">
        <v/>
      </c>
      <c r="S136" t="str">
        <v/>
      </c>
      <c r="T136" t="str">
        <v/>
      </c>
      <c r="U136" t="str">
        <v/>
      </c>
    </row>
    <row r="137">
      <c r="A137" t="str">
        <v>136</v>
      </c>
      <c r="B137" t="str">
        <v>MASS BSF</v>
      </c>
      <c r="C137" t="str">
        <v>BXQ-847</v>
      </c>
      <c r="D137" t="str">
        <v>BXQ-847</v>
      </c>
      <c r="E137" t="str">
        <v/>
      </c>
      <c r="F137" t="str">
        <v>867162029843950</v>
      </c>
      <c r="G137" t="str">
        <v>TBD</v>
      </c>
      <c r="H137" t="str">
        <v/>
      </c>
      <c r="I137" t="str">
        <v>28/09/2026</v>
      </c>
      <c r="J137" t="str">
        <v>13:22:32</v>
      </c>
      <c r="K137">
        <v>-12.317808</v>
      </c>
      <c r="L137">
        <v>-76.82425</v>
      </c>
      <c r="M137">
        <f>HYPERLINK("https://www.google.com/maps/search/?api=1&amp;query=-12.317808,-76.82425","Punta Hermosa, Lima")</f>
      </c>
      <c r="N137">
        <v>0</v>
      </c>
      <c r="O137">
        <v>100</v>
      </c>
      <c r="P137">
        <v>719077.4</v>
      </c>
      <c r="Q137" t="str">
        <v>117.87</v>
      </c>
      <c r="R137" t="str">
        <v>Vehículo encendido</v>
      </c>
      <c r="S137" t="str">
        <v/>
      </c>
      <c r="T137" t="str">
        <v/>
      </c>
      <c r="U137" t="str">
        <v/>
      </c>
    </row>
    <row r="138">
      <c r="A138" t="str">
        <v>137</v>
      </c>
      <c r="B138" t="str">
        <v>MASS BSF</v>
      </c>
      <c r="C138" t="str">
        <v>BXQ-847</v>
      </c>
      <c r="D138" t="str">
        <v>BXQ-847</v>
      </c>
      <c r="E138" t="str">
        <v/>
      </c>
      <c r="F138" t="str">
        <v>867162029843950</v>
      </c>
      <c r="G138" t="str">
        <v>TBD</v>
      </c>
      <c r="H138" t="str">
        <v/>
      </c>
      <c r="I138" t="str">
        <v>28/09/2026</v>
      </c>
      <c r="J138" t="str">
        <v>13:22:39</v>
      </c>
      <c r="K138">
        <v>-12.317749</v>
      </c>
      <c r="L138">
        <v>-76.824265</v>
      </c>
      <c r="M138">
        <f>HYPERLINK("https://www.google.com/maps/search/?api=1&amp;query=-12.317749,-76.824265","Punta Hermosa, Lima")</f>
      </c>
      <c r="N138">
        <v>0</v>
      </c>
      <c r="O138">
        <v>100</v>
      </c>
      <c r="P138">
        <v>719077.4</v>
      </c>
      <c r="Q138" t="str">
        <v>117.87</v>
      </c>
      <c r="R138" t="str">
        <v/>
      </c>
      <c r="S138" t="str">
        <v/>
      </c>
      <c r="T138" t="str">
        <v/>
      </c>
      <c r="U138" t="str">
        <v/>
      </c>
    </row>
    <row r="139">
      <c r="A139" t="str">
        <v>138</v>
      </c>
      <c r="B139" t="str">
        <v>MASS BSF</v>
      </c>
      <c r="C139" t="str">
        <v>BXQ-847</v>
      </c>
      <c r="D139" t="str">
        <v>BXQ-847</v>
      </c>
      <c r="E139" t="str">
        <v/>
      </c>
      <c r="F139" t="str">
        <v>867162029843950</v>
      </c>
      <c r="G139" t="str">
        <v>TBD</v>
      </c>
      <c r="H139" t="str">
        <v/>
      </c>
      <c r="I139" t="str">
        <v>28/09/2026</v>
      </c>
      <c r="J139" t="str">
        <v>13:23:18</v>
      </c>
      <c r="K139">
        <v>-12.317883</v>
      </c>
      <c r="L139">
        <v>-76.82428</v>
      </c>
      <c r="M139">
        <f>HYPERLINK("https://www.google.com/maps/search/?api=1&amp;query=-12.317883,-76.82428","Punta Hermosa, Lima")</f>
      </c>
      <c r="N139">
        <v>8.5</v>
      </c>
      <c r="O139">
        <v>100</v>
      </c>
      <c r="P139">
        <v>719077.4</v>
      </c>
      <c r="Q139" t="str">
        <v>117.87</v>
      </c>
      <c r="R139" t="str">
        <v/>
      </c>
      <c r="S139" t="str">
        <v/>
      </c>
      <c r="T139" t="str">
        <v/>
      </c>
      <c r="U139" t="str">
        <v/>
      </c>
    </row>
    <row r="140">
      <c r="A140" t="str">
        <v>139</v>
      </c>
      <c r="B140" t="str">
        <v>MASS BSF</v>
      </c>
      <c r="C140" t="str">
        <v>BXQ-847</v>
      </c>
      <c r="D140" t="str">
        <v>BXQ-847</v>
      </c>
      <c r="E140" t="str">
        <v/>
      </c>
      <c r="F140" t="str">
        <v>867162029843950</v>
      </c>
      <c r="G140" t="str">
        <v>TBD</v>
      </c>
      <c r="H140" t="str">
        <v/>
      </c>
      <c r="I140" t="str">
        <v>28/09/2026</v>
      </c>
      <c r="J140" t="str">
        <v>13:23:35</v>
      </c>
      <c r="K140">
        <v>-12.317959</v>
      </c>
      <c r="L140">
        <v>-76.82419</v>
      </c>
      <c r="M140">
        <f>HYPERLINK("https://www.google.com/maps/search/?api=1&amp;query=-12.317959,-76.82419","Punta Hermosa, Lima")</f>
      </c>
      <c r="N140">
        <v>0</v>
      </c>
      <c r="O140">
        <v>100</v>
      </c>
      <c r="P140">
        <v>719077.4</v>
      </c>
      <c r="Q140" t="str">
        <v>117.87</v>
      </c>
      <c r="R140" t="str">
        <v/>
      </c>
      <c r="S140" t="str">
        <v/>
      </c>
      <c r="T140" t="str">
        <v/>
      </c>
      <c r="U140" t="str">
        <v/>
      </c>
    </row>
    <row r="141">
      <c r="A141" t="str">
        <v>140</v>
      </c>
      <c r="B141" t="str">
        <v>MASS BSF</v>
      </c>
      <c r="C141" t="str">
        <v>BXQ-847</v>
      </c>
      <c r="D141" t="str">
        <v>BXQ-847</v>
      </c>
      <c r="E141" t="str">
        <v/>
      </c>
      <c r="F141" t="str">
        <v>867162029843950</v>
      </c>
      <c r="G141" t="str">
        <v>TBD</v>
      </c>
      <c r="H141" t="str">
        <v/>
      </c>
      <c r="I141" t="str">
        <v>28/09/2026</v>
      </c>
      <c r="J141" t="str">
        <v>13:24:35</v>
      </c>
      <c r="K141">
        <v>-12.317959</v>
      </c>
      <c r="L141">
        <v>-76.82419</v>
      </c>
      <c r="M141">
        <f>HYPERLINK("https://www.google.com/maps/search/?api=1&amp;query=-12.317959,-76.82419","Punta Hermosa, Lima")</f>
      </c>
      <c r="N141">
        <v>0</v>
      </c>
      <c r="O141">
        <v>100</v>
      </c>
      <c r="P141">
        <v>719077.4</v>
      </c>
      <c r="Q141" t="str">
        <v>117.87</v>
      </c>
      <c r="R141" t="str">
        <v/>
      </c>
      <c r="S141" t="str">
        <v/>
      </c>
      <c r="T141" t="str">
        <v/>
      </c>
      <c r="U141" t="str">
        <v/>
      </c>
    </row>
    <row r="142">
      <c r="A142" t="str">
        <v>141</v>
      </c>
      <c r="B142" t="str">
        <v>MASS BSF</v>
      </c>
      <c r="C142" t="str">
        <v>BXQ-847</v>
      </c>
      <c r="D142" t="str">
        <v>BXQ-847</v>
      </c>
      <c r="E142" t="str">
        <v/>
      </c>
      <c r="F142" t="str">
        <v>867162029843950</v>
      </c>
      <c r="G142" t="str">
        <v>TBD</v>
      </c>
      <c r="H142" t="str">
        <v/>
      </c>
      <c r="I142" t="str">
        <v>28/09/2026</v>
      </c>
      <c r="J142" t="str">
        <v>13:25:35</v>
      </c>
      <c r="K142">
        <v>-12.317959</v>
      </c>
      <c r="L142">
        <v>-76.82419</v>
      </c>
      <c r="M142">
        <f>HYPERLINK("https://www.google.com/maps/search/?api=1&amp;query=-12.317959,-76.82419","Punta Hermosa, Lima")</f>
      </c>
      <c r="N142">
        <v>0</v>
      </c>
      <c r="O142">
        <v>100</v>
      </c>
      <c r="P142">
        <v>719077.4</v>
      </c>
      <c r="Q142" t="str">
        <v>117.87</v>
      </c>
      <c r="R142" t="str">
        <v/>
      </c>
      <c r="S142" t="str">
        <v/>
      </c>
      <c r="T142" t="str">
        <v/>
      </c>
      <c r="U142" t="str">
        <v/>
      </c>
    </row>
    <row r="143">
      <c r="A143" t="str">
        <v>142</v>
      </c>
      <c r="B143" t="str">
        <v>MASS BSF</v>
      </c>
      <c r="C143" t="str">
        <v>BXQ-847</v>
      </c>
      <c r="D143" t="str">
        <v>BXQ-847</v>
      </c>
      <c r="E143" t="str">
        <v/>
      </c>
      <c r="F143" t="str">
        <v>867162029843950</v>
      </c>
      <c r="G143" t="str">
        <v>TBD</v>
      </c>
      <c r="H143" t="str">
        <v/>
      </c>
      <c r="I143" t="str">
        <v>28/09/2026</v>
      </c>
      <c r="J143" t="str">
        <v>13:25:46</v>
      </c>
      <c r="K143">
        <v>-12.318017</v>
      </c>
      <c r="L143">
        <v>-76.82419</v>
      </c>
      <c r="M143">
        <f>HYPERLINK("https://www.google.com/maps/search/?api=1&amp;query=-12.318017,-76.82419","Punta Hermosa, Lima")</f>
      </c>
      <c r="N143">
        <v>6.5</v>
      </c>
      <c r="O143">
        <v>100</v>
      </c>
      <c r="P143">
        <v>719077.4</v>
      </c>
      <c r="Q143" t="str">
        <v>117.87</v>
      </c>
      <c r="R143" t="str">
        <v/>
      </c>
      <c r="S143" t="str">
        <v/>
      </c>
      <c r="T143" t="str">
        <v/>
      </c>
      <c r="U143" t="str">
        <v/>
      </c>
    </row>
    <row r="144">
      <c r="A144" t="str">
        <v>143</v>
      </c>
      <c r="B144" t="str">
        <v>MASS BSF</v>
      </c>
      <c r="C144" t="str">
        <v>BXQ-847</v>
      </c>
      <c r="D144" t="str">
        <v>BXQ-847</v>
      </c>
      <c r="E144" t="str">
        <v/>
      </c>
      <c r="F144" t="str">
        <v>867162029843950</v>
      </c>
      <c r="G144" t="str">
        <v>TBD</v>
      </c>
      <c r="H144" t="str">
        <v/>
      </c>
      <c r="I144" t="str">
        <v>28/09/2026</v>
      </c>
      <c r="J144" t="str">
        <v>13:26:18</v>
      </c>
      <c r="K144">
        <v>-12.318067</v>
      </c>
      <c r="L144">
        <v>-76.82422</v>
      </c>
      <c r="M144">
        <f>HYPERLINK("https://www.google.com/maps/search/?api=1&amp;query=-12.318067,-76.82422","Punta Hermosa, Lima")</f>
      </c>
      <c r="N144">
        <v>3.8</v>
      </c>
      <c r="O144">
        <v>100</v>
      </c>
      <c r="P144">
        <v>719077.4</v>
      </c>
      <c r="Q144" t="str">
        <v>117.87</v>
      </c>
      <c r="R144" t="str">
        <v/>
      </c>
      <c r="S144" t="str">
        <v/>
      </c>
      <c r="T144" t="str">
        <v/>
      </c>
      <c r="U144" t="str">
        <v/>
      </c>
    </row>
    <row r="145">
      <c r="A145" t="str">
        <v>144</v>
      </c>
      <c r="B145" t="str">
        <v>MASS BSF</v>
      </c>
      <c r="C145" t="str">
        <v>BXQ-847</v>
      </c>
      <c r="D145" t="str">
        <v>BXQ-847</v>
      </c>
      <c r="E145" t="str">
        <v/>
      </c>
      <c r="F145" t="str">
        <v>867162029843950</v>
      </c>
      <c r="G145" t="str">
        <v>TBD</v>
      </c>
      <c r="H145" t="str">
        <v/>
      </c>
      <c r="I145" t="str">
        <v>28/09/2026</v>
      </c>
      <c r="J145" t="str">
        <v>13:26:35</v>
      </c>
      <c r="K145">
        <v>-12.318011</v>
      </c>
      <c r="L145">
        <v>-76.82416</v>
      </c>
      <c r="M145">
        <f>HYPERLINK("https://www.google.com/maps/search/?api=1&amp;query=-12.318011,-76.82416","Punta Hermosa, Lima")</f>
      </c>
      <c r="N145">
        <v>0</v>
      </c>
      <c r="O145">
        <v>100</v>
      </c>
      <c r="P145">
        <v>719077.4</v>
      </c>
      <c r="Q145" t="str">
        <v>117.87</v>
      </c>
      <c r="R145" t="str">
        <v/>
      </c>
      <c r="S145" t="str">
        <v/>
      </c>
      <c r="T145" t="str">
        <v/>
      </c>
      <c r="U145" t="str">
        <v/>
      </c>
    </row>
    <row r="146">
      <c r="A146" t="str">
        <v>145</v>
      </c>
      <c r="B146" t="str">
        <v>MASS BSF</v>
      </c>
      <c r="C146" t="str">
        <v>BXQ-847</v>
      </c>
      <c r="D146" t="str">
        <v>BXQ-847</v>
      </c>
      <c r="E146" t="str">
        <v/>
      </c>
      <c r="F146" t="str">
        <v>867162029843950</v>
      </c>
      <c r="G146" t="str">
        <v>TBD</v>
      </c>
      <c r="H146" t="str">
        <v/>
      </c>
      <c r="I146" t="str">
        <v>28/09/2026</v>
      </c>
      <c r="J146" t="str">
        <v>13:27:35</v>
      </c>
      <c r="K146">
        <v>-12.318003</v>
      </c>
      <c r="L146">
        <v>-76.82416</v>
      </c>
      <c r="M146">
        <f>HYPERLINK("https://www.google.com/maps/search/?api=1&amp;query=-12.318003,-76.82416","Punta Hermosa, Lima")</f>
      </c>
      <c r="N146">
        <v>0</v>
      </c>
      <c r="O146">
        <v>100</v>
      </c>
      <c r="P146">
        <v>719077.4</v>
      </c>
      <c r="Q146" t="str">
        <v>117.87</v>
      </c>
      <c r="R146" t="str">
        <v/>
      </c>
      <c r="S146" t="str">
        <v/>
      </c>
      <c r="T146" t="str">
        <v/>
      </c>
      <c r="U146" t="str">
        <v/>
      </c>
    </row>
    <row r="147">
      <c r="A147" t="str">
        <v>146</v>
      </c>
      <c r="B147" t="str">
        <v>MASS BSF</v>
      </c>
      <c r="C147" t="str">
        <v>BXQ-847</v>
      </c>
      <c r="D147" t="str">
        <v>BXQ-847</v>
      </c>
      <c r="E147" t="str">
        <v/>
      </c>
      <c r="F147" t="str">
        <v>867162029843950</v>
      </c>
      <c r="G147" t="str">
        <v>TBD</v>
      </c>
      <c r="H147" t="str">
        <v/>
      </c>
      <c r="I147" t="str">
        <v>28/09/2026</v>
      </c>
      <c r="J147" t="str">
        <v>13:28:21</v>
      </c>
      <c r="K147">
        <v>-12.318003</v>
      </c>
      <c r="L147">
        <v>-76.82416</v>
      </c>
      <c r="M147">
        <f>HYPERLINK("https://www.google.com/maps/search/?api=1&amp;query=-12.318003,-76.82416","Punta Hermosa, Lima")</f>
      </c>
      <c r="N147">
        <v>0</v>
      </c>
      <c r="O147">
        <v>100</v>
      </c>
      <c r="P147">
        <v>719077.4</v>
      </c>
      <c r="Q147" t="str">
        <v>117.97</v>
      </c>
      <c r="R147" t="str">
        <v>Vehículo apagado</v>
      </c>
      <c r="S147" t="str">
        <v/>
      </c>
      <c r="T147" t="str">
        <v/>
      </c>
      <c r="U147" t="str">
        <v/>
      </c>
    </row>
    <row r="148">
      <c r="A148" t="str">
        <v>147</v>
      </c>
      <c r="B148" t="str">
        <v>MASS BSF</v>
      </c>
      <c r="C148" t="str">
        <v>BXQ-847</v>
      </c>
      <c r="D148" t="str">
        <v>BXQ-847</v>
      </c>
      <c r="E148" t="str">
        <v/>
      </c>
      <c r="F148" t="str">
        <v>867162029843950</v>
      </c>
      <c r="G148" t="str">
        <v>TBD</v>
      </c>
      <c r="H148" t="str">
        <v/>
      </c>
      <c r="I148" t="str">
        <v>28/09/2026</v>
      </c>
      <c r="J148" t="str">
        <v>13:28:24</v>
      </c>
      <c r="K148">
        <v>-12.318003</v>
      </c>
      <c r="L148">
        <v>-76.82416</v>
      </c>
      <c r="M148">
        <f>HYPERLINK("https://www.google.com/maps/search/?api=1&amp;query=-12.318003,-76.82416","Punta Hermosa, Lima")</f>
      </c>
      <c r="N148">
        <v>0</v>
      </c>
      <c r="O148">
        <v>100</v>
      </c>
      <c r="P148">
        <v>719077.4</v>
      </c>
      <c r="Q148" t="str">
        <v>117.87</v>
      </c>
      <c r="R148" t="str">
        <v/>
      </c>
      <c r="S148" t="str">
        <v/>
      </c>
      <c r="T148" t="str">
        <v/>
      </c>
      <c r="U148" t="str">
        <v/>
      </c>
    </row>
    <row r="149">
      <c r="A149" t="str">
        <v>148</v>
      </c>
      <c r="B149" t="str">
        <v>MASS BSF</v>
      </c>
      <c r="C149" t="str">
        <v>BXQ-847</v>
      </c>
      <c r="D149" t="str">
        <v>BXQ-847</v>
      </c>
      <c r="E149" t="str">
        <v/>
      </c>
      <c r="F149" t="str">
        <v>867162029843950</v>
      </c>
      <c r="G149" t="str">
        <v>TBD</v>
      </c>
      <c r="H149" t="str">
        <v/>
      </c>
      <c r="I149" t="str">
        <v>28/09/2026</v>
      </c>
      <c r="J149" t="str">
        <v>13:58:23</v>
      </c>
      <c r="K149">
        <v>-12.318003</v>
      </c>
      <c r="L149">
        <v>-76.82416</v>
      </c>
      <c r="M149">
        <f>HYPERLINK("https://www.google.com/maps/search/?api=1&amp;query=-12.318003,-76.82416","Punta Hermosa, Lima")</f>
      </c>
      <c r="N149">
        <v>0</v>
      </c>
      <c r="O149">
        <v>100</v>
      </c>
      <c r="P149">
        <v>719077.4</v>
      </c>
      <c r="Q149" t="str">
        <v>117.97</v>
      </c>
      <c r="R149" t="str">
        <v/>
      </c>
      <c r="S149" t="str">
        <v/>
      </c>
      <c r="T149" t="str">
        <v/>
      </c>
      <c r="U149" t="str">
        <v/>
      </c>
    </row>
    <row r="150">
      <c r="A150" t="str">
        <v>149</v>
      </c>
      <c r="B150" t="str">
        <v>MASS BSF</v>
      </c>
      <c r="C150" t="str">
        <v>BXQ-847</v>
      </c>
      <c r="D150" t="str">
        <v>BXQ-847</v>
      </c>
      <c r="E150" t="str">
        <v/>
      </c>
      <c r="F150" t="str">
        <v>867162029843950</v>
      </c>
      <c r="G150" t="str">
        <v>TBD</v>
      </c>
      <c r="H150" t="str">
        <v/>
      </c>
      <c r="I150" t="str">
        <v>28/09/2026</v>
      </c>
      <c r="J150" t="str">
        <v>14:00:26</v>
      </c>
      <c r="K150">
        <v>-12.318003</v>
      </c>
      <c r="L150">
        <v>-76.82416</v>
      </c>
      <c r="M150">
        <f>HYPERLINK("https://www.google.com/maps/search/?api=1&amp;query=-12.318003,-76.82416","Punta Hermosa, Lima")</f>
      </c>
      <c r="N150">
        <v>0</v>
      </c>
      <c r="O150">
        <v>100</v>
      </c>
      <c r="P150">
        <v>719077.4</v>
      </c>
      <c r="Q150" t="str">
        <v>117.97</v>
      </c>
      <c r="R150" t="str">
        <v>Vehículo encendido</v>
      </c>
      <c r="S150" t="str">
        <v/>
      </c>
      <c r="T150" t="str">
        <v/>
      </c>
      <c r="U150" t="str">
        <v/>
      </c>
    </row>
    <row r="151">
      <c r="A151" t="str">
        <v>150</v>
      </c>
      <c r="B151" t="str">
        <v>MASS BSF</v>
      </c>
      <c r="C151" t="str">
        <v>BXQ-847</v>
      </c>
      <c r="D151" t="str">
        <v>BXQ-847</v>
      </c>
      <c r="E151" t="str">
        <v/>
      </c>
      <c r="F151" t="str">
        <v>867162029843950</v>
      </c>
      <c r="G151" t="str">
        <v>TBD</v>
      </c>
      <c r="H151" t="str">
        <v/>
      </c>
      <c r="I151" t="str">
        <v>28/09/2026</v>
      </c>
      <c r="J151" t="str">
        <v>14:00:30</v>
      </c>
      <c r="K151">
        <v>-12.318003</v>
      </c>
      <c r="L151">
        <v>-76.82416</v>
      </c>
      <c r="M151">
        <f>HYPERLINK("https://www.google.com/maps/search/?api=1&amp;query=-12.318003,-76.82416","Punta Hermosa, Lima")</f>
      </c>
      <c r="N151">
        <v>0</v>
      </c>
      <c r="O151">
        <v>100</v>
      </c>
      <c r="P151">
        <v>719077.4</v>
      </c>
      <c r="Q151" t="str">
        <v>117.97</v>
      </c>
      <c r="R151" t="str">
        <v>Vehículo apagado</v>
      </c>
      <c r="S151" t="str">
        <v/>
      </c>
      <c r="T151" t="str">
        <v/>
      </c>
      <c r="U151" t="str">
        <v/>
      </c>
    </row>
    <row r="152">
      <c r="A152" t="str">
        <v>151</v>
      </c>
      <c r="B152" t="str">
        <v>MASS BSF</v>
      </c>
      <c r="C152" t="str">
        <v>BXQ-847</v>
      </c>
      <c r="D152" t="str">
        <v>BXQ-847</v>
      </c>
      <c r="E152" t="str">
        <v/>
      </c>
      <c r="F152" t="str">
        <v>867162029843950</v>
      </c>
      <c r="G152" t="str">
        <v>TBD</v>
      </c>
      <c r="H152" t="str">
        <v/>
      </c>
      <c r="I152" t="str">
        <v>28/09/2026</v>
      </c>
      <c r="J152" t="str">
        <v>14:00:33</v>
      </c>
      <c r="K152">
        <v>-12.318023</v>
      </c>
      <c r="L152">
        <v>-76.824135</v>
      </c>
      <c r="M152">
        <f>HYPERLINK("https://www.google.com/maps/search/?api=1&amp;query=-12.318023,-76.824135","Punta Hermosa, Lima")</f>
      </c>
      <c r="N152">
        <v>0</v>
      </c>
      <c r="O152">
        <v>100</v>
      </c>
      <c r="P152">
        <v>719077.4</v>
      </c>
      <c r="Q152" t="str">
        <v>117.97</v>
      </c>
      <c r="R152" t="str">
        <v/>
      </c>
      <c r="S152" t="str">
        <v/>
      </c>
      <c r="T152" t="str">
        <v/>
      </c>
      <c r="U152" t="str">
        <v/>
      </c>
    </row>
    <row r="153">
      <c r="A153" t="str">
        <v>152</v>
      </c>
      <c r="B153" t="str">
        <v>MASS BSF</v>
      </c>
      <c r="C153" t="str">
        <v>BXQ-847</v>
      </c>
      <c r="D153" t="str">
        <v>BXQ-847</v>
      </c>
      <c r="E153" t="str">
        <v/>
      </c>
      <c r="F153" t="str">
        <v>867162029843950</v>
      </c>
      <c r="G153" t="str">
        <v>TBD</v>
      </c>
      <c r="H153" t="str">
        <v/>
      </c>
      <c r="I153" t="str">
        <v>28/09/2026</v>
      </c>
      <c r="J153" t="str">
        <v>14:05:04</v>
      </c>
      <c r="K153">
        <v>-12.318023</v>
      </c>
      <c r="L153">
        <v>-76.824135</v>
      </c>
      <c r="M153">
        <f>HYPERLINK("https://www.google.com/maps/search/?api=1&amp;query=-12.318023,-76.824135","Punta Hermosa, Lima")</f>
      </c>
      <c r="N153">
        <v>0</v>
      </c>
      <c r="O153">
        <v>100</v>
      </c>
      <c r="P153">
        <v>719077.4</v>
      </c>
      <c r="Q153" t="str">
        <v>117.97</v>
      </c>
      <c r="R153" t="str">
        <v>Vehículo encendido</v>
      </c>
      <c r="S153" t="str">
        <v/>
      </c>
      <c r="T153" t="str">
        <v/>
      </c>
      <c r="U153" t="str">
        <v/>
      </c>
    </row>
    <row r="154">
      <c r="A154" t="str">
        <v>153</v>
      </c>
      <c r="B154" t="str">
        <v>MASS BSF</v>
      </c>
      <c r="C154" t="str">
        <v>BXQ-847</v>
      </c>
      <c r="D154" t="str">
        <v>BXQ-847</v>
      </c>
      <c r="E154" t="str">
        <v/>
      </c>
      <c r="F154" t="str">
        <v>867162029843950</v>
      </c>
      <c r="G154" t="str">
        <v>TBD</v>
      </c>
      <c r="H154" t="str">
        <v/>
      </c>
      <c r="I154" t="str">
        <v>28/09/2026</v>
      </c>
      <c r="J154" t="str">
        <v>14:05:09</v>
      </c>
      <c r="K154">
        <v>-12.318059</v>
      </c>
      <c r="L154">
        <v>-76.82419</v>
      </c>
      <c r="M154">
        <f>HYPERLINK("https://www.google.com/maps/search/?api=1&amp;query=-12.318059,-76.82419","Punta Hermosa, Lima")</f>
      </c>
      <c r="N154">
        <v>0.3</v>
      </c>
      <c r="O154">
        <v>100</v>
      </c>
      <c r="P154">
        <v>719077.4</v>
      </c>
      <c r="Q154" t="str">
        <v>117.97</v>
      </c>
      <c r="R154" t="str">
        <v/>
      </c>
      <c r="S154" t="str">
        <v/>
      </c>
      <c r="T154" t="str">
        <v/>
      </c>
      <c r="U154" t="str">
        <v/>
      </c>
    </row>
    <row r="155">
      <c r="A155" t="str">
        <v>154</v>
      </c>
      <c r="B155" t="str">
        <v>MASS BSF</v>
      </c>
      <c r="C155" t="str">
        <v>BXQ-847</v>
      </c>
      <c r="D155" t="str">
        <v>BXQ-847</v>
      </c>
      <c r="E155" t="str">
        <v/>
      </c>
      <c r="F155" t="str">
        <v>867162029843950</v>
      </c>
      <c r="G155" t="str">
        <v>TBD</v>
      </c>
      <c r="H155" t="str">
        <v/>
      </c>
      <c r="I155" t="str">
        <v>28/09/2026</v>
      </c>
      <c r="J155" t="str">
        <v>14:06:09</v>
      </c>
      <c r="K155">
        <v>-12.318112</v>
      </c>
      <c r="L155">
        <v>-76.82419</v>
      </c>
      <c r="M155">
        <f>HYPERLINK("https://www.google.com/maps/search/?api=1&amp;query=-12.318112,-76.82419","Punta Hermosa, Lima")</f>
      </c>
      <c r="N155">
        <v>0</v>
      </c>
      <c r="O155">
        <v>100</v>
      </c>
      <c r="P155">
        <v>719077.4</v>
      </c>
      <c r="Q155" t="str">
        <v>117.97</v>
      </c>
      <c r="R155" t="str">
        <v/>
      </c>
      <c r="S155" t="str">
        <v/>
      </c>
      <c r="T155" t="str">
        <v/>
      </c>
      <c r="U155" t="str">
        <v/>
      </c>
    </row>
    <row r="156">
      <c r="A156" t="str">
        <v>155</v>
      </c>
      <c r="B156" t="str">
        <v>MASS BSF</v>
      </c>
      <c r="C156" t="str">
        <v>BXQ-847</v>
      </c>
      <c r="D156" t="str">
        <v>BXQ-847</v>
      </c>
      <c r="E156" t="str">
        <v/>
      </c>
      <c r="F156" t="str">
        <v>867162029843950</v>
      </c>
      <c r="G156" t="str">
        <v>TBD</v>
      </c>
      <c r="H156" t="str">
        <v/>
      </c>
      <c r="I156" t="str">
        <v>28/09/2026</v>
      </c>
      <c r="J156" t="str">
        <v>14:07:09</v>
      </c>
      <c r="K156">
        <v>-12.318112</v>
      </c>
      <c r="L156">
        <v>-76.82419</v>
      </c>
      <c r="M156">
        <f>HYPERLINK("https://www.google.com/maps/search/?api=1&amp;query=-12.318112,-76.82419","Punta Hermosa, Lima")</f>
      </c>
      <c r="N156">
        <v>0</v>
      </c>
      <c r="O156">
        <v>100</v>
      </c>
      <c r="P156">
        <v>719077.4</v>
      </c>
      <c r="Q156" t="str">
        <v>117.97</v>
      </c>
      <c r="R156" t="str">
        <v/>
      </c>
      <c r="S156" t="str">
        <v/>
      </c>
      <c r="T156" t="str">
        <v/>
      </c>
      <c r="U156" t="str">
        <v/>
      </c>
    </row>
    <row r="157">
      <c r="A157" t="str">
        <v>156</v>
      </c>
      <c r="B157" t="str">
        <v>MASS BSF</v>
      </c>
      <c r="C157" t="str">
        <v>BXQ-847</v>
      </c>
      <c r="D157" t="str">
        <v>BXQ-847</v>
      </c>
      <c r="E157" t="str">
        <v/>
      </c>
      <c r="F157" t="str">
        <v>867162029843950</v>
      </c>
      <c r="G157" t="str">
        <v>TBD</v>
      </c>
      <c r="H157" t="str">
        <v/>
      </c>
      <c r="I157" t="str">
        <v>28/09/2026</v>
      </c>
      <c r="J157" t="str">
        <v>14:08:09</v>
      </c>
      <c r="K157">
        <v>-12.317395</v>
      </c>
      <c r="L157">
        <v>-76.82455</v>
      </c>
      <c r="M157">
        <f>HYPERLINK("https://www.google.com/maps/search/?api=1&amp;query=-12.317395,-76.82455","Punta Hermosa, Lima")</f>
      </c>
      <c r="N157">
        <v>8.3</v>
      </c>
      <c r="O157">
        <v>100</v>
      </c>
      <c r="P157">
        <v>719077.4</v>
      </c>
      <c r="Q157" t="str">
        <v>117.97</v>
      </c>
      <c r="R157" t="str">
        <v/>
      </c>
      <c r="S157" t="str">
        <v/>
      </c>
      <c r="T157" t="str">
        <v/>
      </c>
      <c r="U157" t="str">
        <v/>
      </c>
    </row>
    <row r="158">
      <c r="A158" t="str">
        <v>157</v>
      </c>
      <c r="B158" t="str">
        <v>MASS BSF</v>
      </c>
      <c r="C158" t="str">
        <v>BXQ-847</v>
      </c>
      <c r="D158" t="str">
        <v>BXQ-847</v>
      </c>
      <c r="E158" t="str">
        <v/>
      </c>
      <c r="F158" t="str">
        <v>867162029843950</v>
      </c>
      <c r="G158" t="str">
        <v>TBD</v>
      </c>
      <c r="H158" t="str">
        <v/>
      </c>
      <c r="I158" t="str">
        <v>28/09/2026</v>
      </c>
      <c r="J158" t="str">
        <v>14:09:09</v>
      </c>
      <c r="K158">
        <v>-12.316017</v>
      </c>
      <c r="L158">
        <v>-76.82542</v>
      </c>
      <c r="M158">
        <f>HYPERLINK("https://www.google.com/maps/search/?api=1&amp;query=-12.316017,-76.82542","Punta Hermosa, Lima")</f>
      </c>
      <c r="N158">
        <v>11.2</v>
      </c>
      <c r="O158">
        <v>100</v>
      </c>
      <c r="P158">
        <v>719077.6</v>
      </c>
      <c r="Q158" t="str">
        <v>117.97</v>
      </c>
      <c r="R158" t="str">
        <v/>
      </c>
      <c r="S158" t="str">
        <v/>
      </c>
      <c r="T158" t="str">
        <v/>
      </c>
      <c r="U158" t="str">
        <v/>
      </c>
    </row>
    <row r="159">
      <c r="A159" t="str">
        <v>158</v>
      </c>
      <c r="B159" t="str">
        <v>MASS BSF</v>
      </c>
      <c r="C159" t="str">
        <v>BXQ-847</v>
      </c>
      <c r="D159" t="str">
        <v>BXQ-847</v>
      </c>
      <c r="E159" t="str">
        <v/>
      </c>
      <c r="F159" t="str">
        <v>867162029843950</v>
      </c>
      <c r="G159" t="str">
        <v>TBD</v>
      </c>
      <c r="H159" t="str">
        <v/>
      </c>
      <c r="I159" t="str">
        <v>28/09/2026</v>
      </c>
      <c r="J159" t="str">
        <v>14:09:37</v>
      </c>
      <c r="K159">
        <v>-12.315317</v>
      </c>
      <c r="L159">
        <v>-76.82591</v>
      </c>
      <c r="M159">
        <f>HYPERLINK("https://www.google.com/maps/search/?api=1&amp;query=-12.315317,-76.82591","Punta Hermosa, Lima")</f>
      </c>
      <c r="N159">
        <v>8.9</v>
      </c>
      <c r="O159">
        <v>100</v>
      </c>
      <c r="P159">
        <v>719077.7</v>
      </c>
      <c r="Q159" t="str">
        <v>117.97</v>
      </c>
      <c r="R159" t="str">
        <v/>
      </c>
      <c r="S159" t="str">
        <v/>
      </c>
      <c r="T159" t="str">
        <v/>
      </c>
      <c r="U159" t="str">
        <v/>
      </c>
    </row>
    <row r="160">
      <c r="A160" t="str">
        <v>159</v>
      </c>
      <c r="B160" t="str">
        <v>MASS BSF</v>
      </c>
      <c r="C160" t="str">
        <v>BXQ-847</v>
      </c>
      <c r="D160" t="str">
        <v>BXQ-847</v>
      </c>
      <c r="E160" t="str">
        <v/>
      </c>
      <c r="F160" t="str">
        <v>867162029843950</v>
      </c>
      <c r="G160" t="str">
        <v>TBD</v>
      </c>
      <c r="H160" t="str">
        <v/>
      </c>
      <c r="I160" t="str">
        <v>28/09/2026</v>
      </c>
      <c r="J160" t="str">
        <v>14:09:45</v>
      </c>
      <c r="K160">
        <v>-12.315377</v>
      </c>
      <c r="L160">
        <v>-76.82616</v>
      </c>
      <c r="M160">
        <f>HYPERLINK("https://www.google.com/maps/search/?api=1&amp;query=-12.315377,-76.82616","Punta Hermosa, Lima")</f>
      </c>
      <c r="N160">
        <v>11.8</v>
      </c>
      <c r="O160">
        <v>100</v>
      </c>
      <c r="P160">
        <v>719077.7</v>
      </c>
      <c r="Q160" t="str">
        <v>117.97</v>
      </c>
      <c r="R160" t="str">
        <v/>
      </c>
      <c r="S160" t="str">
        <v/>
      </c>
      <c r="T160" t="str">
        <v/>
      </c>
      <c r="U160" t="str">
        <v/>
      </c>
    </row>
    <row r="161">
      <c r="A161" t="str">
        <v>160</v>
      </c>
      <c r="B161" t="str">
        <v>MASS BSF</v>
      </c>
      <c r="C161" t="str">
        <v>BXQ-847</v>
      </c>
      <c r="D161" t="str">
        <v>BXQ-847</v>
      </c>
      <c r="E161" t="str">
        <v/>
      </c>
      <c r="F161" t="str">
        <v>867162029843950</v>
      </c>
      <c r="G161" t="str">
        <v>TBD</v>
      </c>
      <c r="H161" t="str">
        <v/>
      </c>
      <c r="I161" t="str">
        <v>28/09/2026</v>
      </c>
      <c r="J161" t="str">
        <v>14:10:09</v>
      </c>
      <c r="K161">
        <v>-12.315722</v>
      </c>
      <c r="L161">
        <v>-76.82671</v>
      </c>
      <c r="M161">
        <f>HYPERLINK("https://www.google.com/maps/search/?api=1&amp;query=-12.315722,-76.82671","Punta Hermosa, Lima")</f>
      </c>
      <c r="N161">
        <v>11.6</v>
      </c>
      <c r="O161">
        <v>100</v>
      </c>
      <c r="P161">
        <v>719077.8</v>
      </c>
      <c r="Q161" t="str">
        <v>117.97</v>
      </c>
      <c r="R161" t="str">
        <v/>
      </c>
      <c r="S161" t="str">
        <v/>
      </c>
      <c r="T161" t="str">
        <v/>
      </c>
      <c r="U161" t="str">
        <v/>
      </c>
    </row>
    <row r="162">
      <c r="A162" t="str">
        <v>161</v>
      </c>
      <c r="B162" t="str">
        <v>MASS BSF</v>
      </c>
      <c r="C162" t="str">
        <v>BXQ-847</v>
      </c>
      <c r="D162" t="str">
        <v>BXQ-847</v>
      </c>
      <c r="E162" t="str">
        <v/>
      </c>
      <c r="F162" t="str">
        <v>867162029843950</v>
      </c>
      <c r="G162" t="str">
        <v>TBD</v>
      </c>
      <c r="H162" t="str">
        <v/>
      </c>
      <c r="I162" t="str">
        <v>28/09/2026</v>
      </c>
      <c r="J162" t="str">
        <v>14:11:09</v>
      </c>
      <c r="K162">
        <v>-12.316622</v>
      </c>
      <c r="L162">
        <v>-76.82822</v>
      </c>
      <c r="M162">
        <f>HYPERLINK("https://www.google.com/maps/search/?api=1&amp;query=-12.316622,-76.82822","Punta Hermosa, Lima")</f>
      </c>
      <c r="N162">
        <v>13.8</v>
      </c>
      <c r="O162">
        <v>100</v>
      </c>
      <c r="P162">
        <v>719078</v>
      </c>
      <c r="Q162" t="str">
        <v>117.97</v>
      </c>
      <c r="R162" t="str">
        <v/>
      </c>
      <c r="S162" t="str">
        <v/>
      </c>
      <c r="T162" t="str">
        <v/>
      </c>
      <c r="U162" t="str">
        <v/>
      </c>
    </row>
    <row r="163">
      <c r="A163" t="str">
        <v>162</v>
      </c>
      <c r="B163" t="str">
        <v>MASS BSF</v>
      </c>
      <c r="C163" t="str">
        <v>BXQ-847</v>
      </c>
      <c r="D163" t="str">
        <v>BXQ-847</v>
      </c>
      <c r="E163" t="str">
        <v/>
      </c>
      <c r="F163" t="str">
        <v>867162029843950</v>
      </c>
      <c r="G163" t="str">
        <v>TBD</v>
      </c>
      <c r="H163" t="str">
        <v/>
      </c>
      <c r="I163" t="str">
        <v>28/09/2026</v>
      </c>
      <c r="J163" t="str">
        <v>14:12:09</v>
      </c>
      <c r="K163">
        <v>-12.317089</v>
      </c>
      <c r="L163">
        <v>-76.82901</v>
      </c>
      <c r="M163">
        <f>HYPERLINK("https://www.google.com/maps/search/?api=1&amp;query=-12.317089,-76.82901","Punta Hermosa, Lima")</f>
      </c>
      <c r="N163">
        <v>0</v>
      </c>
      <c r="O163">
        <v>100</v>
      </c>
      <c r="P163">
        <v>719078.1</v>
      </c>
      <c r="Q163" t="str">
        <v>117.97</v>
      </c>
      <c r="R163" t="str">
        <v/>
      </c>
      <c r="S163" t="str">
        <v/>
      </c>
      <c r="T163" t="str">
        <v/>
      </c>
      <c r="U163" t="str">
        <v/>
      </c>
    </row>
    <row r="164">
      <c r="A164" t="str">
        <v>163</v>
      </c>
      <c r="B164" t="str">
        <v>MASS BSF</v>
      </c>
      <c r="C164" t="str">
        <v>BXQ-847</v>
      </c>
      <c r="D164" t="str">
        <v>BXQ-847</v>
      </c>
      <c r="E164" t="str">
        <v/>
      </c>
      <c r="F164" t="str">
        <v>867162029843950</v>
      </c>
      <c r="G164" t="str">
        <v>TBD</v>
      </c>
      <c r="H164" t="str">
        <v/>
      </c>
      <c r="I164" t="str">
        <v>28/09/2026</v>
      </c>
      <c r="J164" t="str">
        <v>14:13:09</v>
      </c>
      <c r="K164">
        <v>-12.317145</v>
      </c>
      <c r="L164">
        <v>-76.82909</v>
      </c>
      <c r="M164">
        <f>HYPERLINK("https://www.google.com/maps/search/?api=1&amp;query=-12.317145,-76.82909","Punta Hermosa, Lima")</f>
      </c>
      <c r="N164">
        <v>0</v>
      </c>
      <c r="O164">
        <v>100</v>
      </c>
      <c r="P164">
        <v>719078.1</v>
      </c>
      <c r="Q164" t="str">
        <v>117.97</v>
      </c>
      <c r="R164" t="str">
        <v/>
      </c>
      <c r="S164" t="str">
        <v/>
      </c>
      <c r="T164" t="str">
        <v/>
      </c>
      <c r="U164" t="str">
        <v/>
      </c>
    </row>
    <row r="165">
      <c r="A165" t="str">
        <v>164</v>
      </c>
      <c r="B165" t="str">
        <v>MASS BSF</v>
      </c>
      <c r="C165" t="str">
        <v>BXQ-847</v>
      </c>
      <c r="D165" t="str">
        <v>BXQ-847</v>
      </c>
      <c r="E165" t="str">
        <v/>
      </c>
      <c r="F165" t="str">
        <v>867162029843950</v>
      </c>
      <c r="G165" t="str">
        <v>TBD</v>
      </c>
      <c r="H165" t="str">
        <v/>
      </c>
      <c r="I165" t="str">
        <v>28/09/2026</v>
      </c>
      <c r="J165" t="str">
        <v>14:14:09</v>
      </c>
      <c r="K165">
        <v>-12.31735</v>
      </c>
      <c r="L165">
        <v>-76.82939</v>
      </c>
      <c r="M165">
        <f>HYPERLINK("https://www.google.com/maps/search/?api=1&amp;query=-12.31735,-76.82939","Punta Hermosa, Lima")</f>
      </c>
      <c r="N165">
        <v>0.8</v>
      </c>
      <c r="O165">
        <v>100</v>
      </c>
      <c r="P165">
        <v>719078.1</v>
      </c>
      <c r="Q165" t="str">
        <v>117.97</v>
      </c>
      <c r="R165" t="str">
        <v/>
      </c>
      <c r="S165" t="str">
        <v/>
      </c>
      <c r="T165" t="str">
        <v/>
      </c>
      <c r="U165" t="str">
        <v/>
      </c>
    </row>
    <row r="166">
      <c r="A166" t="str">
        <v>165</v>
      </c>
      <c r="B166" t="str">
        <v>MASS BSF</v>
      </c>
      <c r="C166" t="str">
        <v>BXQ-847</v>
      </c>
      <c r="D166" t="str">
        <v>BXQ-847</v>
      </c>
      <c r="E166" t="str">
        <v/>
      </c>
      <c r="F166" t="str">
        <v>867162029843950</v>
      </c>
      <c r="G166" t="str">
        <v>TBD</v>
      </c>
      <c r="H166" t="str">
        <v/>
      </c>
      <c r="I166" t="str">
        <v>28/09/2026</v>
      </c>
      <c r="J166" t="str">
        <v>14:15:01</v>
      </c>
      <c r="K166">
        <v>-12.317515</v>
      </c>
      <c r="L166">
        <v>-76.82991</v>
      </c>
      <c r="M166">
        <f>HYPERLINK("https://www.google.com/maps/search/?api=1&amp;query=-12.317515,-76.82991","Punta Hermosa, Lima")</f>
      </c>
      <c r="N166">
        <v>16.9</v>
      </c>
      <c r="O166">
        <v>100</v>
      </c>
      <c r="P166">
        <v>719078.2</v>
      </c>
      <c r="Q166" t="str">
        <v>117.97</v>
      </c>
      <c r="R166" t="str">
        <v/>
      </c>
      <c r="S166" t="str">
        <v/>
      </c>
      <c r="T166" t="str">
        <v/>
      </c>
      <c r="U166" t="str">
        <v/>
      </c>
    </row>
    <row r="167">
      <c r="A167" t="str">
        <v>166</v>
      </c>
      <c r="B167" t="str">
        <v>MASS BSF</v>
      </c>
      <c r="C167" t="str">
        <v>BXQ-847</v>
      </c>
      <c r="D167" t="str">
        <v>BXQ-847</v>
      </c>
      <c r="E167" t="str">
        <v/>
      </c>
      <c r="F167" t="str">
        <v>867162029843950</v>
      </c>
      <c r="G167" t="str">
        <v>TBD</v>
      </c>
      <c r="H167" t="str">
        <v/>
      </c>
      <c r="I167" t="str">
        <v>28/09/2026</v>
      </c>
      <c r="J167" t="str">
        <v>14:15:09</v>
      </c>
      <c r="K167">
        <v>-12.317429</v>
      </c>
      <c r="L167">
        <v>-76.83024</v>
      </c>
      <c r="M167">
        <f>HYPERLINK("https://www.google.com/maps/search/?api=1&amp;query=-12.317429,-76.83024","Carretera Panamericana Sur, Punta Hermosa, Lima")</f>
      </c>
      <c r="N167">
        <v>25.2</v>
      </c>
      <c r="O167">
        <v>100</v>
      </c>
      <c r="P167">
        <v>719078.3</v>
      </c>
      <c r="Q167" t="str">
        <v>117.97</v>
      </c>
      <c r="R167" t="str">
        <v/>
      </c>
      <c r="S167" t="str">
        <v/>
      </c>
      <c r="T167" t="str">
        <v/>
      </c>
      <c r="U167" t="str">
        <v/>
      </c>
    </row>
    <row r="168">
      <c r="A168" t="str">
        <v>167</v>
      </c>
      <c r="B168" t="str">
        <v>MASS BSF</v>
      </c>
      <c r="C168" t="str">
        <v>BXQ-847</v>
      </c>
      <c r="D168" t="str">
        <v>BXQ-847</v>
      </c>
      <c r="E168" t="str">
        <v/>
      </c>
      <c r="F168" t="str">
        <v>867162029843950</v>
      </c>
      <c r="G168" t="str">
        <v>TBD</v>
      </c>
      <c r="H168" t="str">
        <v/>
      </c>
      <c r="I168" t="str">
        <v>28/09/2026</v>
      </c>
      <c r="J168" t="str">
        <v>14:15:09</v>
      </c>
      <c r="K168">
        <v>-12.317429</v>
      </c>
      <c r="L168">
        <v>-76.83024</v>
      </c>
      <c r="M168">
        <f>HYPERLINK("https://www.google.com/maps/search/?api=1&amp;query=-12.317429,-76.83024","Carretera Panamericana Sur, Punta Hermosa, Lima")</f>
      </c>
      <c r="N168">
        <v>25.2</v>
      </c>
      <c r="O168">
        <v>100</v>
      </c>
      <c r="P168">
        <v>719078.3</v>
      </c>
      <c r="Q168" t="str">
        <v>117.97</v>
      </c>
      <c r="R168" t="str">
        <v>Salió de zona</v>
      </c>
      <c r="S168" t="str">
        <v>MASS BSF 1</v>
      </c>
      <c r="T168" t="str">
        <v xml:space="preserve"> </v>
      </c>
      <c r="U168" t="str">
        <v/>
      </c>
    </row>
    <row r="169">
      <c r="A169" t="str">
        <v>168</v>
      </c>
      <c r="B169" t="str">
        <v>MASS BSF</v>
      </c>
      <c r="C169" t="str">
        <v>BXQ-847</v>
      </c>
      <c r="D169" t="str">
        <v>BXQ-847</v>
      </c>
      <c r="E169" t="str">
        <v/>
      </c>
      <c r="F169" t="str">
        <v>867162029843950</v>
      </c>
      <c r="G169" t="str">
        <v>TBD</v>
      </c>
      <c r="H169" t="str">
        <v/>
      </c>
      <c r="I169" t="str">
        <v>28/09/2026</v>
      </c>
      <c r="J169" t="str">
        <v>14:15:18</v>
      </c>
      <c r="K169">
        <v>-12.316758</v>
      </c>
      <c r="L169">
        <v>-76.830894</v>
      </c>
      <c r="M169">
        <f>HYPERLINK("https://www.google.com/maps/search/?api=1&amp;query=-12.316758,-76.830894","Carretera Panamericana Sur, Punta Hermosa, Lima")</f>
      </c>
      <c r="N169">
        <v>23.4</v>
      </c>
      <c r="O169">
        <v>100</v>
      </c>
      <c r="P169">
        <v>719078.4</v>
      </c>
      <c r="Q169" t="str">
        <v>117.97</v>
      </c>
      <c r="R169" t="str">
        <v/>
      </c>
      <c r="S169" t="str">
        <v/>
      </c>
      <c r="T169" t="str">
        <v/>
      </c>
      <c r="U169" t="str">
        <v/>
      </c>
    </row>
    <row r="170">
      <c r="A170" t="str">
        <v>169</v>
      </c>
      <c r="B170" t="str">
        <v>MASS BSF</v>
      </c>
      <c r="C170" t="str">
        <v>BXQ-847</v>
      </c>
      <c r="D170" t="str">
        <v>BXQ-847</v>
      </c>
      <c r="E170" t="str">
        <v/>
      </c>
      <c r="F170" t="str">
        <v>867162029843950</v>
      </c>
      <c r="G170" t="str">
        <v>TBD</v>
      </c>
      <c r="H170" t="str">
        <v/>
      </c>
      <c r="I170" t="str">
        <v>28/09/2026</v>
      </c>
      <c r="J170" t="str">
        <v>14:16:09</v>
      </c>
      <c r="K170">
        <v>-12.310923</v>
      </c>
      <c r="L170">
        <v>-76.83489</v>
      </c>
      <c r="M170">
        <f>HYPERLINK("https://www.google.com/maps/search/?api=1&amp;query=-12.310923,-76.83489","Carretera Panamericana Sur, Punta Hermosa, Lima")</f>
      </c>
      <c r="N170">
        <v>74.6</v>
      </c>
      <c r="O170">
        <v>100</v>
      </c>
      <c r="P170">
        <v>719079.1</v>
      </c>
      <c r="Q170" t="str">
        <v>117.97</v>
      </c>
      <c r="R170" t="str">
        <v/>
      </c>
      <c r="S170" t="str">
        <v/>
      </c>
      <c r="T170" t="str">
        <v/>
      </c>
      <c r="U170" t="str">
        <v/>
      </c>
    </row>
    <row r="171">
      <c r="A171" t="str">
        <v>170</v>
      </c>
      <c r="B171" t="str">
        <v>MASS BSF</v>
      </c>
      <c r="C171" t="str">
        <v>BXQ-847</v>
      </c>
      <c r="D171" t="str">
        <v>BXQ-847</v>
      </c>
      <c r="E171" t="str">
        <v/>
      </c>
      <c r="F171" t="str">
        <v>867162029843950</v>
      </c>
      <c r="G171" t="str">
        <v>TBD</v>
      </c>
      <c r="H171" t="str">
        <v/>
      </c>
      <c r="I171" t="str">
        <v>28/09/2026</v>
      </c>
      <c r="J171" t="str">
        <v>14:17:09</v>
      </c>
      <c r="K171">
        <v>-12.302928</v>
      </c>
      <c r="L171">
        <v>-76.84259</v>
      </c>
      <c r="M171">
        <f>HYPERLINK("https://www.google.com/maps/search/?api=1&amp;query=-12.302928,-76.84259","Carretera Panamericana Sur, Lurín, Lima")</f>
      </c>
      <c r="N171">
        <v>78.5</v>
      </c>
      <c r="O171">
        <v>100</v>
      </c>
      <c r="P171">
        <v>719080.4</v>
      </c>
      <c r="Q171" t="str">
        <v>117.97</v>
      </c>
      <c r="R171" t="str">
        <v/>
      </c>
      <c r="S171" t="str">
        <v/>
      </c>
      <c r="T171" t="str">
        <v/>
      </c>
      <c r="U171" t="str">
        <v/>
      </c>
    </row>
    <row r="172">
      <c r="A172" t="str">
        <v>171</v>
      </c>
      <c r="B172" t="str">
        <v>MASS BSF</v>
      </c>
      <c r="C172" t="str">
        <v>BXQ-847</v>
      </c>
      <c r="D172" t="str">
        <v>BXQ-847</v>
      </c>
      <c r="E172" t="str">
        <v/>
      </c>
      <c r="F172" t="str">
        <v>867162029843950</v>
      </c>
      <c r="G172" t="str">
        <v>TBD</v>
      </c>
      <c r="H172" t="str">
        <v/>
      </c>
      <c r="I172" t="str">
        <v>28/09/2026</v>
      </c>
      <c r="J172" t="str">
        <v>14:18:09</v>
      </c>
      <c r="K172">
        <v>-12.298579</v>
      </c>
      <c r="L172">
        <v>-76.85219</v>
      </c>
      <c r="M172">
        <f>HYPERLINK("https://www.google.com/maps/search/?api=1&amp;query=-12.298579,-76.85219","Carretera Panamericana Sur, Lurín, Lima")</f>
      </c>
      <c r="N172">
        <v>74.7</v>
      </c>
      <c r="O172">
        <v>100</v>
      </c>
      <c r="P172">
        <v>719081.5</v>
      </c>
      <c r="Q172" t="str">
        <v>117.97</v>
      </c>
      <c r="R172" t="str">
        <v/>
      </c>
      <c r="S172" t="str">
        <v/>
      </c>
      <c r="T172" t="str">
        <v/>
      </c>
      <c r="U172" t="str">
        <v/>
      </c>
    </row>
    <row r="173">
      <c r="A173" t="str">
        <v>172</v>
      </c>
      <c r="B173" t="str">
        <v>MASS BSF</v>
      </c>
      <c r="C173" t="str">
        <v>BXQ-847</v>
      </c>
      <c r="D173" t="str">
        <v>BXQ-847</v>
      </c>
      <c r="E173" t="str">
        <v/>
      </c>
      <c r="F173" t="str">
        <v>867162029843950</v>
      </c>
      <c r="G173" t="str">
        <v>TBD</v>
      </c>
      <c r="H173" t="str">
        <v/>
      </c>
      <c r="I173" t="str">
        <v>28/09/2026</v>
      </c>
      <c r="J173" t="str">
        <v>14:18:19</v>
      </c>
      <c r="K173">
        <v>-12.297585</v>
      </c>
      <c r="L173">
        <v>-76.854416</v>
      </c>
      <c r="M173">
        <f>HYPERLINK("https://www.google.com/maps/search/?api=1&amp;query=-12.297585,-76.854416","Carretera Panamericana Sur, Lurín, Lima")</f>
      </c>
      <c r="N173">
        <v>81.9</v>
      </c>
      <c r="O173">
        <v>100</v>
      </c>
      <c r="P173">
        <v>719081.8</v>
      </c>
      <c r="Q173" t="str">
        <v>117.97</v>
      </c>
      <c r="R173" t="str">
        <v>Excedió el límite de velocidad</v>
      </c>
      <c r="S173" t="str">
        <v/>
      </c>
      <c r="T173" t="str">
        <v/>
      </c>
      <c r="U173" t="str">
        <v/>
      </c>
    </row>
    <row r="174">
      <c r="A174" t="str">
        <v>173</v>
      </c>
      <c r="B174" t="str">
        <v>MASS BSF</v>
      </c>
      <c r="C174" t="str">
        <v>BXQ-847</v>
      </c>
      <c r="D174" t="str">
        <v>BXQ-847</v>
      </c>
      <c r="E174" t="str">
        <v/>
      </c>
      <c r="F174" t="str">
        <v>867162029843950</v>
      </c>
      <c r="G174" t="str">
        <v>TBD</v>
      </c>
      <c r="H174" t="str">
        <v/>
      </c>
      <c r="I174" t="str">
        <v>28/09/2026</v>
      </c>
      <c r="J174" t="str">
        <v>14:19:09</v>
      </c>
      <c r="K174">
        <v>-12.292447</v>
      </c>
      <c r="L174">
        <v>-76.86356</v>
      </c>
      <c r="M174">
        <f>HYPERLINK("https://www.google.com/maps/search/?api=1&amp;query=-12.292447,-76.86356","Carretera Panamericana Sur, Lurín, Lima")</f>
      </c>
      <c r="N174">
        <v>79</v>
      </c>
      <c r="O174">
        <v>100</v>
      </c>
      <c r="P174">
        <v>719082.9</v>
      </c>
      <c r="Q174" t="str">
        <v>117.97</v>
      </c>
      <c r="R174" t="str">
        <v/>
      </c>
      <c r="S174" t="str">
        <v/>
      </c>
      <c r="T174" t="str">
        <v/>
      </c>
      <c r="U174" t="str">
        <v/>
      </c>
    </row>
    <row r="175">
      <c r="A175" t="str">
        <v>174</v>
      </c>
      <c r="B175" t="str">
        <v>MASS BSF</v>
      </c>
      <c r="C175" t="str">
        <v>BXQ-847</v>
      </c>
      <c r="D175" t="str">
        <v>BXQ-847</v>
      </c>
      <c r="E175" t="str">
        <v/>
      </c>
      <c r="F175" t="str">
        <v>867162029843950</v>
      </c>
      <c r="G175" t="str">
        <v>TBD</v>
      </c>
      <c r="H175" t="str">
        <v/>
      </c>
      <c r="I175" t="str">
        <v>28/09/2026</v>
      </c>
      <c r="J175" t="str">
        <v>14:19:43</v>
      </c>
      <c r="K175">
        <v>-12.288596</v>
      </c>
      <c r="L175">
        <v>-76.86983</v>
      </c>
      <c r="M175">
        <f>HYPERLINK("https://www.google.com/maps/search/?api=1&amp;query=-12.288596,-76.86983","Carretera Panamericana Sur, Lurín, Lima")</f>
      </c>
      <c r="N175">
        <v>84.4</v>
      </c>
      <c r="O175">
        <v>100</v>
      </c>
      <c r="P175">
        <v>719083.8</v>
      </c>
      <c r="Q175" t="str">
        <v>117.97</v>
      </c>
      <c r="R175" t="str">
        <v>Excedió el límite de velocidad</v>
      </c>
      <c r="S175" t="str">
        <v/>
      </c>
      <c r="T175" t="str">
        <v/>
      </c>
      <c r="U175" t="str">
        <v/>
      </c>
    </row>
    <row r="176">
      <c r="A176" t="str">
        <v>175</v>
      </c>
      <c r="B176" t="str">
        <v>MASS BSF</v>
      </c>
      <c r="C176" t="str">
        <v>BXQ-847</v>
      </c>
      <c r="D176" t="str">
        <v>BXQ-847</v>
      </c>
      <c r="E176" t="str">
        <v/>
      </c>
      <c r="F176" t="str">
        <v>867162029843950</v>
      </c>
      <c r="G176" t="str">
        <v>TBD</v>
      </c>
      <c r="H176" t="str">
        <v/>
      </c>
      <c r="I176" t="str">
        <v>28/09/2026</v>
      </c>
      <c r="J176" t="str">
        <v>14:20:09</v>
      </c>
      <c r="K176">
        <v>-12.285754</v>
      </c>
      <c r="L176">
        <v>-76.87436</v>
      </c>
      <c r="M176">
        <f>HYPERLINK("https://www.google.com/maps/search/?api=1&amp;query=-12.285754,-76.87436","Carretera Panamericana Sur, Lurín, Lima")</f>
      </c>
      <c r="N176">
        <v>90.2</v>
      </c>
      <c r="O176">
        <v>100</v>
      </c>
      <c r="P176">
        <v>719084.3</v>
      </c>
      <c r="Q176" t="str">
        <v>117.97</v>
      </c>
      <c r="R176" t="str">
        <v/>
      </c>
      <c r="S176" t="str">
        <v/>
      </c>
      <c r="T176" t="str">
        <v/>
      </c>
      <c r="U176" t="str">
        <v/>
      </c>
    </row>
    <row r="177">
      <c r="A177" t="str">
        <v>176</v>
      </c>
      <c r="B177" t="str">
        <v>MASS BSF</v>
      </c>
      <c r="C177" t="str">
        <v>BXQ-847</v>
      </c>
      <c r="D177" t="str">
        <v>BXQ-847</v>
      </c>
      <c r="E177" t="str">
        <v/>
      </c>
      <c r="F177" t="str">
        <v>867162029843950</v>
      </c>
      <c r="G177" t="str">
        <v>TBD</v>
      </c>
      <c r="H177" t="str">
        <v/>
      </c>
      <c r="I177" t="str">
        <v>28/09/2026</v>
      </c>
      <c r="J177" t="str">
        <v>14:21:09</v>
      </c>
      <c r="K177">
        <v>-12.278835</v>
      </c>
      <c r="L177">
        <v>-76.88541</v>
      </c>
      <c r="M177">
        <f>HYPERLINK("https://www.google.com/maps/search/?api=1&amp;query=-12.278835,-76.88541","Carretera Panamericana Sur, Lurín, Lima")</f>
      </c>
      <c r="N177">
        <v>80.1</v>
      </c>
      <c r="O177">
        <v>100</v>
      </c>
      <c r="P177">
        <v>719085.8</v>
      </c>
      <c r="Q177" t="str">
        <v>117.97</v>
      </c>
      <c r="R177" t="str">
        <v/>
      </c>
      <c r="S177" t="str">
        <v/>
      </c>
      <c r="T177" t="str">
        <v/>
      </c>
      <c r="U177" t="str">
        <v/>
      </c>
    </row>
    <row r="178">
      <c r="A178" t="str">
        <v>177</v>
      </c>
      <c r="B178" t="str">
        <v>MASS BSF</v>
      </c>
      <c r="C178" t="str">
        <v>BXQ-847</v>
      </c>
      <c r="D178" t="str">
        <v>BXQ-847</v>
      </c>
      <c r="E178" t="str">
        <v/>
      </c>
      <c r="F178" t="str">
        <v>867162029843950</v>
      </c>
      <c r="G178" t="str">
        <v>TBD</v>
      </c>
      <c r="H178" t="str">
        <v/>
      </c>
      <c r="I178" t="str">
        <v>28/09/2026</v>
      </c>
      <c r="J178" t="str">
        <v>14:22:09</v>
      </c>
      <c r="K178">
        <v>-12.271998</v>
      </c>
      <c r="L178">
        <v>-76.89627</v>
      </c>
      <c r="M178">
        <f>HYPERLINK("https://www.google.com/maps/search/?api=1&amp;query=-12.271998,-76.89627","Carretera Panamericana Sur, Lurín, Lima")</f>
      </c>
      <c r="N178">
        <v>90</v>
      </c>
      <c r="O178">
        <v>100</v>
      </c>
      <c r="P178">
        <v>719087.2</v>
      </c>
      <c r="Q178" t="str">
        <v>117.97</v>
      </c>
      <c r="R178" t="str">
        <v/>
      </c>
      <c r="S178" t="str">
        <v/>
      </c>
      <c r="T178" t="str">
        <v/>
      </c>
      <c r="U178" t="str">
        <v/>
      </c>
    </row>
    <row r="179">
      <c r="A179" t="str">
        <v>178</v>
      </c>
      <c r="B179" t="str">
        <v>MASS BSF</v>
      </c>
      <c r="C179" t="str">
        <v>BXQ-847</v>
      </c>
      <c r="D179" t="str">
        <v>BXQ-847</v>
      </c>
      <c r="E179" t="str">
        <v/>
      </c>
      <c r="F179" t="str">
        <v>867162029843950</v>
      </c>
      <c r="G179" t="str">
        <v>TBD</v>
      </c>
      <c r="H179" t="str">
        <v/>
      </c>
      <c r="I179" t="str">
        <v>28/09/2026</v>
      </c>
      <c r="J179" t="str">
        <v>14:23:09</v>
      </c>
      <c r="K179">
        <v>-12.265002</v>
      </c>
      <c r="L179">
        <v>-76.90741</v>
      </c>
      <c r="M179">
        <f>HYPERLINK("https://www.google.com/maps/search/?api=1&amp;query=-12.265002,-76.90741","Carretera Panamericana Sur, Lurín, Lima")</f>
      </c>
      <c r="N179">
        <v>84.4</v>
      </c>
      <c r="O179">
        <v>100</v>
      </c>
      <c r="P179">
        <v>719088.6</v>
      </c>
      <c r="Q179" t="str">
        <v>117.97</v>
      </c>
      <c r="R179" t="str">
        <v/>
      </c>
      <c r="S179" t="str">
        <v/>
      </c>
      <c r="T179" t="str">
        <v/>
      </c>
      <c r="U179" t="str">
        <v/>
      </c>
    </row>
    <row r="180">
      <c r="A180" t="str">
        <v>179</v>
      </c>
      <c r="B180" t="str">
        <v>MASS BSF</v>
      </c>
      <c r="C180" t="str">
        <v>BXQ-847</v>
      </c>
      <c r="D180" t="str">
        <v>BXQ-847</v>
      </c>
      <c r="E180" t="str">
        <v/>
      </c>
      <c r="F180" t="str">
        <v>867162029843950</v>
      </c>
      <c r="G180" t="str">
        <v>TBD</v>
      </c>
      <c r="H180" t="str">
        <v/>
      </c>
      <c r="I180" t="str">
        <v>28/09/2026</v>
      </c>
      <c r="J180" t="str">
        <v>14:24:09</v>
      </c>
      <c r="K180">
        <v>-12.258088</v>
      </c>
      <c r="L180">
        <v>-76.918335</v>
      </c>
      <c r="M180">
        <f>HYPERLINK("https://www.google.com/maps/search/?api=1&amp;query=-12.258088,-76.918335","Carretera Panamericana Sur, Lurín, Lima")</f>
      </c>
      <c r="N180">
        <v>76.7</v>
      </c>
      <c r="O180">
        <v>100</v>
      </c>
      <c r="P180">
        <v>719090</v>
      </c>
      <c r="Q180" t="str">
        <v>117.97</v>
      </c>
      <c r="R180" t="str">
        <v/>
      </c>
      <c r="S180" t="str">
        <v/>
      </c>
      <c r="T180" t="str">
        <v/>
      </c>
      <c r="U180" t="str">
        <v/>
      </c>
    </row>
    <row r="181">
      <c r="A181" t="str">
        <v>180</v>
      </c>
      <c r="B181" t="str">
        <v>MASS BSF</v>
      </c>
      <c r="C181" t="str">
        <v>BXQ-847</v>
      </c>
      <c r="D181" t="str">
        <v>BXQ-847</v>
      </c>
      <c r="E181" t="str">
        <v/>
      </c>
      <c r="F181" t="str">
        <v>867162029843950</v>
      </c>
      <c r="G181" t="str">
        <v>TBD</v>
      </c>
      <c r="H181" t="str">
        <v/>
      </c>
      <c r="I181" t="str">
        <v>28/09/2026</v>
      </c>
      <c r="J181" t="str">
        <v>14:24:34</v>
      </c>
      <c r="K181">
        <v>-12.25557</v>
      </c>
      <c r="L181">
        <v>-76.920906</v>
      </c>
      <c r="M181">
        <f>HYPERLINK("https://www.google.com/maps/search/?api=1&amp;query=-12.25557,-76.920906","Lurín, Lima")</f>
      </c>
      <c r="N181">
        <v>34.8</v>
      </c>
      <c r="O181">
        <v>100</v>
      </c>
      <c r="P181">
        <v>719090.4</v>
      </c>
      <c r="Q181" t="str">
        <v>117.97</v>
      </c>
      <c r="R181" t="str">
        <v/>
      </c>
      <c r="S181" t="str">
        <v/>
      </c>
      <c r="T181" t="str">
        <v/>
      </c>
      <c r="U181" t="str">
        <v/>
      </c>
    </row>
    <row r="182">
      <c r="A182" t="str">
        <v>181</v>
      </c>
      <c r="B182" t="str">
        <v>MASS BSF</v>
      </c>
      <c r="C182" t="str">
        <v>BXQ-847</v>
      </c>
      <c r="D182" t="str">
        <v>BXQ-847</v>
      </c>
      <c r="E182" t="str">
        <v/>
      </c>
      <c r="F182" t="str">
        <v>867162029843950</v>
      </c>
      <c r="G182" t="str">
        <v>TBD</v>
      </c>
      <c r="H182" t="str">
        <v/>
      </c>
      <c r="I182" t="str">
        <v>28/09/2026</v>
      </c>
      <c r="J182" t="str">
        <v>14:24:49</v>
      </c>
      <c r="K182">
        <v>-12.254589</v>
      </c>
      <c r="L182">
        <v>-76.92042</v>
      </c>
      <c r="M182">
        <f>HYPERLINK("https://www.google.com/maps/search/?api=1&amp;query=-12.254589,-76.92042","Lurín, Lima")</f>
      </c>
      <c r="N182">
        <v>20.4</v>
      </c>
      <c r="O182">
        <v>100</v>
      </c>
      <c r="P182">
        <v>719090.5</v>
      </c>
      <c r="Q182" t="str">
        <v>117.97</v>
      </c>
      <c r="R182" t="str">
        <v/>
      </c>
      <c r="S182" t="str">
        <v/>
      </c>
      <c r="T182" t="str">
        <v/>
      </c>
      <c r="U182" t="str">
        <v/>
      </c>
    </row>
    <row r="183">
      <c r="A183" t="str">
        <v>182</v>
      </c>
      <c r="B183" t="str">
        <v>MASS BSF</v>
      </c>
      <c r="C183" t="str">
        <v>BXQ-847</v>
      </c>
      <c r="D183" t="str">
        <v>BXQ-847</v>
      </c>
      <c r="E183" t="str">
        <v/>
      </c>
      <c r="F183" t="str">
        <v>867162029843950</v>
      </c>
      <c r="G183" t="str">
        <v>TBD</v>
      </c>
      <c r="H183" t="str">
        <v/>
      </c>
      <c r="I183" t="str">
        <v>28/09/2026</v>
      </c>
      <c r="J183" t="str">
        <v>14:24:58</v>
      </c>
      <c r="K183">
        <v>-12.254341</v>
      </c>
      <c r="L183">
        <v>-76.920204</v>
      </c>
      <c r="M183">
        <f>HYPERLINK("https://www.google.com/maps/search/?api=1&amp;query=-12.254341,-76.920204","Antigua Panamericana Sur, Lurín, Lima")</f>
      </c>
      <c r="N183">
        <v>14.6</v>
      </c>
      <c r="O183">
        <v>100</v>
      </c>
      <c r="P183">
        <v>719090.6</v>
      </c>
      <c r="Q183" t="str">
        <v>117.97</v>
      </c>
      <c r="R183" t="str">
        <v/>
      </c>
      <c r="S183" t="str">
        <v/>
      </c>
      <c r="T183" t="str">
        <v/>
      </c>
      <c r="U183" t="str">
        <v/>
      </c>
    </row>
    <row r="184">
      <c r="A184" t="str">
        <v>183</v>
      </c>
      <c r="B184" t="str">
        <v>MASS BSF</v>
      </c>
      <c r="C184" t="str">
        <v>BXQ-847</v>
      </c>
      <c r="D184" t="str">
        <v>BXQ-847</v>
      </c>
      <c r="E184" t="str">
        <v/>
      </c>
      <c r="F184" t="str">
        <v>867162029843950</v>
      </c>
      <c r="G184" t="str">
        <v>TBD</v>
      </c>
      <c r="H184" t="str">
        <v/>
      </c>
      <c r="I184" t="str">
        <v>28/09/2026</v>
      </c>
      <c r="J184" t="str">
        <v>14:25:03</v>
      </c>
      <c r="K184">
        <v>-12.254192</v>
      </c>
      <c r="L184">
        <v>-76.92036</v>
      </c>
      <c r="M184">
        <f>HYPERLINK("https://www.google.com/maps/search/?api=1&amp;query=-12.254192,-76.92036","Antigua Panamericana Sur, Lurín, Lima")</f>
      </c>
      <c r="N184">
        <v>18.5</v>
      </c>
      <c r="O184">
        <v>100</v>
      </c>
      <c r="P184">
        <v>719090.6</v>
      </c>
      <c r="Q184" t="str">
        <v>117.97</v>
      </c>
      <c r="R184" t="str">
        <v/>
      </c>
      <c r="S184" t="str">
        <v/>
      </c>
      <c r="T184" t="str">
        <v/>
      </c>
      <c r="U184" t="str">
        <v/>
      </c>
    </row>
    <row r="185">
      <c r="A185" t="str">
        <v>184</v>
      </c>
      <c r="B185" t="str">
        <v>MASS BSF</v>
      </c>
      <c r="C185" t="str">
        <v>BXQ-847</v>
      </c>
      <c r="D185" t="str">
        <v>BXQ-847</v>
      </c>
      <c r="E185" t="str">
        <v/>
      </c>
      <c r="F185" t="str">
        <v>867162029843950</v>
      </c>
      <c r="G185" t="str">
        <v>TBD</v>
      </c>
      <c r="H185" t="str">
        <v/>
      </c>
      <c r="I185" t="str">
        <v>28/09/2026</v>
      </c>
      <c r="J185" t="str">
        <v>14:25:09</v>
      </c>
      <c r="K185">
        <v>-12.254167</v>
      </c>
      <c r="L185">
        <v>-76.92053</v>
      </c>
      <c r="M185">
        <f>HYPERLINK("https://www.google.com/maps/search/?api=1&amp;query=-12.254167,-76.92053","Antigua Panamericana Sur, Lurín, Lima")</f>
      </c>
      <c r="N185">
        <v>27.2</v>
      </c>
      <c r="O185">
        <v>100</v>
      </c>
      <c r="P185">
        <v>719090.6</v>
      </c>
      <c r="Q185" t="str">
        <v>117.97</v>
      </c>
      <c r="R185" t="str">
        <v/>
      </c>
      <c r="S185" t="str">
        <v/>
      </c>
      <c r="T185" t="str">
        <v/>
      </c>
      <c r="U185" t="str">
        <v/>
      </c>
    </row>
    <row r="186">
      <c r="A186" t="str">
        <v>185</v>
      </c>
      <c r="B186" t="str">
        <v>MASS BSF</v>
      </c>
      <c r="C186" t="str">
        <v>BXQ-847</v>
      </c>
      <c r="D186" t="str">
        <v>BXQ-847</v>
      </c>
      <c r="E186" t="str">
        <v/>
      </c>
      <c r="F186" t="str">
        <v>867162029843950</v>
      </c>
      <c r="G186" t="str">
        <v>TBD</v>
      </c>
      <c r="H186" t="str">
        <v/>
      </c>
      <c r="I186" t="str">
        <v>28/09/2026</v>
      </c>
      <c r="J186" t="str">
        <v>14:26:09</v>
      </c>
      <c r="K186">
        <v>-12.253459</v>
      </c>
      <c r="L186">
        <v>-76.925575</v>
      </c>
      <c r="M186">
        <f>HYPERLINK("https://www.google.com/maps/search/?api=1&amp;query=-12.253459,-76.925575","Antigua Panamericana Sur, Lurín, Lima")</f>
      </c>
      <c r="N186">
        <v>38.2</v>
      </c>
      <c r="O186">
        <v>100</v>
      </c>
      <c r="P186">
        <v>719091.2</v>
      </c>
      <c r="Q186" t="str">
        <v>117.97</v>
      </c>
      <c r="R186" t="str">
        <v/>
      </c>
      <c r="S186" t="str">
        <v/>
      </c>
      <c r="T186" t="str">
        <v/>
      </c>
      <c r="U186" t="str">
        <v/>
      </c>
    </row>
    <row r="187">
      <c r="A187" t="str">
        <v>186</v>
      </c>
      <c r="B187" t="str">
        <v>MASS BSF</v>
      </c>
      <c r="C187" t="str">
        <v>BXQ-847</v>
      </c>
      <c r="D187" t="str">
        <v>BXQ-847</v>
      </c>
      <c r="E187" t="str">
        <v/>
      </c>
      <c r="F187" t="str">
        <v>867162029843950</v>
      </c>
      <c r="G187" t="str">
        <v>TBD</v>
      </c>
      <c r="H187" t="str">
        <v/>
      </c>
      <c r="I187" t="str">
        <v>28/09/2026</v>
      </c>
      <c r="J187" t="str">
        <v>14:27:09</v>
      </c>
      <c r="K187">
        <v>-12.249778</v>
      </c>
      <c r="L187">
        <v>-76.930855</v>
      </c>
      <c r="M187">
        <f>HYPERLINK("https://www.google.com/maps/search/?api=1&amp;query=-12.249778,-76.930855","Antigua Panamericana Sur, Villa El Salvador, Lima")</f>
      </c>
      <c r="N187">
        <v>30.3</v>
      </c>
      <c r="O187">
        <v>100</v>
      </c>
      <c r="P187">
        <v>719091.9</v>
      </c>
      <c r="Q187" t="str">
        <v>117.97</v>
      </c>
      <c r="R187" t="str">
        <v/>
      </c>
      <c r="S187" t="str">
        <v/>
      </c>
      <c r="T187" t="str">
        <v/>
      </c>
      <c r="U187" t="str">
        <v/>
      </c>
    </row>
    <row r="188">
      <c r="A188" t="str">
        <v>187</v>
      </c>
      <c r="B188" t="str">
        <v>MASS BSF</v>
      </c>
      <c r="C188" t="str">
        <v>BXQ-847</v>
      </c>
      <c r="D188" t="str">
        <v>BXQ-847</v>
      </c>
      <c r="E188" t="str">
        <v/>
      </c>
      <c r="F188" t="str">
        <v>867162029843950</v>
      </c>
      <c r="G188" t="str">
        <v>TBD</v>
      </c>
      <c r="H188" t="str">
        <v/>
      </c>
      <c r="I188" t="str">
        <v>28/09/2026</v>
      </c>
      <c r="J188" t="str">
        <v>14:28:09</v>
      </c>
      <c r="K188">
        <v>-12.246801</v>
      </c>
      <c r="L188">
        <v>-76.93485</v>
      </c>
      <c r="M188">
        <f>HYPERLINK("https://www.google.com/maps/search/?api=1&amp;query=-12.246801,-76.93485","Antigua Panamericana Sur, Villa El Salvador, Lima")</f>
      </c>
      <c r="N188">
        <v>33</v>
      </c>
      <c r="O188">
        <v>100</v>
      </c>
      <c r="P188">
        <v>719092.5</v>
      </c>
      <c r="Q188" t="str">
        <v>117.97</v>
      </c>
      <c r="R188" t="str">
        <v/>
      </c>
      <c r="S188" t="str">
        <v/>
      </c>
      <c r="T188" t="str">
        <v/>
      </c>
      <c r="U188" t="str">
        <v/>
      </c>
    </row>
    <row r="189">
      <c r="A189" t="str">
        <v>188</v>
      </c>
      <c r="B189" t="str">
        <v>MASS BSF</v>
      </c>
      <c r="C189" t="str">
        <v>BXQ-847</v>
      </c>
      <c r="D189" t="str">
        <v>BXQ-847</v>
      </c>
      <c r="E189" t="str">
        <v/>
      </c>
      <c r="F189" t="str">
        <v>867162029843950</v>
      </c>
      <c r="G189" t="str">
        <v>TBD</v>
      </c>
      <c r="H189" t="str">
        <v/>
      </c>
      <c r="I189" t="str">
        <v>28/09/2026</v>
      </c>
      <c r="J189" t="str">
        <v>14:29:09</v>
      </c>
      <c r="K189">
        <v>-12.244329</v>
      </c>
      <c r="L189">
        <v>-76.939674</v>
      </c>
      <c r="M189">
        <f>HYPERLINK("https://www.google.com/maps/search/?api=1&amp;query=-12.244329,-76.939674","Antigua Panamericana Sur, Villa El Salvador, Lima")</f>
      </c>
      <c r="N189">
        <v>53.8</v>
      </c>
      <c r="O189">
        <v>100</v>
      </c>
      <c r="P189">
        <v>719093</v>
      </c>
      <c r="Q189" t="str">
        <v>117.97</v>
      </c>
      <c r="R189" t="str">
        <v/>
      </c>
      <c r="S189" t="str">
        <v/>
      </c>
      <c r="T189" t="str">
        <v/>
      </c>
      <c r="U189" t="str">
        <v/>
      </c>
    </row>
    <row r="190">
      <c r="A190" t="str">
        <v>189</v>
      </c>
      <c r="B190" t="str">
        <v>MASS BSF</v>
      </c>
      <c r="C190" t="str">
        <v>BXQ-847</v>
      </c>
      <c r="D190" t="str">
        <v>BXQ-847</v>
      </c>
      <c r="E190" t="str">
        <v/>
      </c>
      <c r="F190" t="str">
        <v>867162029843950</v>
      </c>
      <c r="G190" t="str">
        <v>TBD</v>
      </c>
      <c r="H190" t="str">
        <v/>
      </c>
      <c r="I190" t="str">
        <v>28/09/2026</v>
      </c>
      <c r="J190" t="str">
        <v>14:30:09</v>
      </c>
      <c r="K190">
        <v>-12.242003</v>
      </c>
      <c r="L190">
        <v>-76.94406</v>
      </c>
      <c r="M190">
        <f>HYPERLINK("https://www.google.com/maps/search/?api=1&amp;query=-12.242003,-76.94406","Antigua Panamericana Sur, Villa El Salvador, Lima")</f>
      </c>
      <c r="N190">
        <v>18.9</v>
      </c>
      <c r="O190">
        <v>100</v>
      </c>
      <c r="P190">
        <v>719093.6</v>
      </c>
      <c r="Q190" t="str">
        <v>117.97</v>
      </c>
      <c r="R190" t="str">
        <v/>
      </c>
      <c r="S190" t="str">
        <v/>
      </c>
      <c r="T190" t="str">
        <v/>
      </c>
      <c r="U190" t="str">
        <v/>
      </c>
    </row>
    <row r="191">
      <c r="A191" t="str">
        <v>190</v>
      </c>
      <c r="B191" t="str">
        <v>MASS BSF</v>
      </c>
      <c r="C191" t="str">
        <v>BXQ-847</v>
      </c>
      <c r="D191" t="str">
        <v>BXQ-847</v>
      </c>
      <c r="E191" t="str">
        <v/>
      </c>
      <c r="F191" t="str">
        <v>867162029843950</v>
      </c>
      <c r="G191" t="str">
        <v>TBD</v>
      </c>
      <c r="H191" t="str">
        <v/>
      </c>
      <c r="I191" t="str">
        <v>28/09/2026</v>
      </c>
      <c r="J191" t="str">
        <v>14:31:09</v>
      </c>
      <c r="K191">
        <v>-12.238672</v>
      </c>
      <c r="L191">
        <v>-76.95073</v>
      </c>
      <c r="M191">
        <f>HYPERLINK("https://www.google.com/maps/search/?api=1&amp;query=-12.238672,-76.95073","Antigua Panamericana Sur, Villa El Salvador, Lima")</f>
      </c>
      <c r="N191">
        <v>52.3</v>
      </c>
      <c r="O191">
        <v>100</v>
      </c>
      <c r="P191">
        <v>719094.4</v>
      </c>
      <c r="Q191" t="str">
        <v>117.97</v>
      </c>
      <c r="R191" t="str">
        <v/>
      </c>
      <c r="S191" t="str">
        <v/>
      </c>
      <c r="T191" t="str">
        <v/>
      </c>
      <c r="U191" t="str">
        <v/>
      </c>
    </row>
    <row r="192">
      <c r="A192" t="str">
        <v>191</v>
      </c>
      <c r="B192" t="str">
        <v>MASS BSF</v>
      </c>
      <c r="C192" t="str">
        <v>BXQ-847</v>
      </c>
      <c r="D192" t="str">
        <v>BXQ-847</v>
      </c>
      <c r="E192" t="str">
        <v/>
      </c>
      <c r="F192" t="str">
        <v>867162029843950</v>
      </c>
      <c r="G192" t="str">
        <v>TBD</v>
      </c>
      <c r="H192" t="str">
        <v/>
      </c>
      <c r="I192" t="str">
        <v>28/09/2026</v>
      </c>
      <c r="J192" t="str">
        <v>14:32:09</v>
      </c>
      <c r="K192">
        <v>-12.235817</v>
      </c>
      <c r="L192">
        <v>-76.95613</v>
      </c>
      <c r="M192">
        <f>HYPERLINK("https://www.google.com/maps/search/?api=1&amp;query=-12.235817,-76.95613","Antigua Panamericana Sur, Villa El Salvador, Lima")</f>
      </c>
      <c r="N192">
        <v>43.7</v>
      </c>
      <c r="O192">
        <v>100</v>
      </c>
      <c r="P192">
        <v>719095.1</v>
      </c>
      <c r="Q192" t="str">
        <v>117.97</v>
      </c>
      <c r="R192" t="str">
        <v/>
      </c>
      <c r="S192" t="str">
        <v/>
      </c>
      <c r="T192" t="str">
        <v/>
      </c>
      <c r="U192" t="str">
        <v/>
      </c>
    </row>
    <row r="193">
      <c r="A193" t="str">
        <v>192</v>
      </c>
      <c r="B193" t="str">
        <v>MASS BSF</v>
      </c>
      <c r="C193" t="str">
        <v>BXQ-847</v>
      </c>
      <c r="D193" t="str">
        <v>BXQ-847</v>
      </c>
      <c r="E193" t="str">
        <v/>
      </c>
      <c r="F193" t="str">
        <v>867162029843950</v>
      </c>
      <c r="G193" t="str">
        <v>TBD</v>
      </c>
      <c r="H193" t="str">
        <v/>
      </c>
      <c r="I193" t="str">
        <v>28/09/2026</v>
      </c>
      <c r="J193" t="str">
        <v>14:33:09</v>
      </c>
      <c r="K193">
        <v>-12.232996</v>
      </c>
      <c r="L193">
        <v>-76.96163</v>
      </c>
      <c r="M193">
        <f>HYPERLINK("https://www.google.com/maps/search/?api=1&amp;query=-12.232996,-76.96163","Antigua Panamericana Sur, Villa El Salvador, Lima")</f>
      </c>
      <c r="N193">
        <v>41.1</v>
      </c>
      <c r="O193">
        <v>100</v>
      </c>
      <c r="P193">
        <v>719095.7</v>
      </c>
      <c r="Q193" t="str">
        <v>117.97</v>
      </c>
      <c r="R193" t="str">
        <v/>
      </c>
      <c r="S193" t="str">
        <v/>
      </c>
      <c r="T193" t="str">
        <v/>
      </c>
      <c r="U193" t="str">
        <v/>
      </c>
    </row>
    <row r="194">
      <c r="A194" t="str">
        <v>193</v>
      </c>
      <c r="B194" t="str">
        <v>MASS BSF</v>
      </c>
      <c r="C194" t="str">
        <v>BXQ-847</v>
      </c>
      <c r="D194" t="str">
        <v>BXQ-847</v>
      </c>
      <c r="E194" t="str">
        <v/>
      </c>
      <c r="F194" t="str">
        <v>867162029843950</v>
      </c>
      <c r="G194" t="str">
        <v>TBD</v>
      </c>
      <c r="H194" t="str">
        <v/>
      </c>
      <c r="I194" t="str">
        <v>28/09/2026</v>
      </c>
      <c r="J194" t="str">
        <v>14:34:09</v>
      </c>
      <c r="K194">
        <v>-12.230102</v>
      </c>
      <c r="L194">
        <v>-76.96668</v>
      </c>
      <c r="M194">
        <f>HYPERLINK("https://www.google.com/maps/search/?api=1&amp;query=-12.230102,-76.96668","Antigua Panamericana Sur, Villa El Salvador, Lima")</f>
      </c>
      <c r="N194">
        <v>35.7</v>
      </c>
      <c r="O194">
        <v>100</v>
      </c>
      <c r="P194">
        <v>719096.4</v>
      </c>
      <c r="Q194" t="str">
        <v>117.97</v>
      </c>
      <c r="R194" t="str">
        <v/>
      </c>
      <c r="S194" t="str">
        <v/>
      </c>
      <c r="T194" t="str">
        <v/>
      </c>
      <c r="U194" t="str">
        <v/>
      </c>
    </row>
    <row r="195">
      <c r="A195" t="str">
        <v>194</v>
      </c>
      <c r="B195" t="str">
        <v>MASS BSF</v>
      </c>
      <c r="C195" t="str">
        <v>BXQ-847</v>
      </c>
      <c r="D195" t="str">
        <v>BXQ-847</v>
      </c>
      <c r="E195" t="str">
        <v/>
      </c>
      <c r="F195" t="str">
        <v>867162029843950</v>
      </c>
      <c r="G195" t="str">
        <v>TBD</v>
      </c>
      <c r="H195" t="str">
        <v/>
      </c>
      <c r="I195" t="str">
        <v>28/09/2026</v>
      </c>
      <c r="J195" t="str">
        <v>14:34:16</v>
      </c>
      <c r="K195">
        <v>-12.229549</v>
      </c>
      <c r="L195">
        <v>-76.967285</v>
      </c>
      <c r="M195">
        <f>HYPERLINK("https://www.google.com/maps/search/?api=1&amp;query=-12.229549,-76.967285","Antigua Panamericana Sur, Villa El Salvador, Lima")</f>
      </c>
      <c r="N195">
        <v>33.6</v>
      </c>
      <c r="O195">
        <v>100</v>
      </c>
      <c r="P195">
        <v>719096.5</v>
      </c>
      <c r="Q195" t="str">
        <v>117.97</v>
      </c>
      <c r="R195" t="str">
        <v/>
      </c>
      <c r="S195" t="str">
        <v/>
      </c>
      <c r="T195" t="str">
        <v/>
      </c>
      <c r="U195" t="str">
        <v/>
      </c>
    </row>
    <row r="196">
      <c r="A196" t="str">
        <v>195</v>
      </c>
      <c r="B196" t="str">
        <v>MASS BSF</v>
      </c>
      <c r="C196" t="str">
        <v>BXQ-847</v>
      </c>
      <c r="D196" t="str">
        <v>BXQ-847</v>
      </c>
      <c r="E196" t="str">
        <v/>
      </c>
      <c r="F196" t="str">
        <v>867162029843950</v>
      </c>
      <c r="G196" t="str">
        <v>TBD</v>
      </c>
      <c r="H196" t="str">
        <v/>
      </c>
      <c r="I196" t="str">
        <v>28/09/2026</v>
      </c>
      <c r="J196" t="str">
        <v>14:35:09</v>
      </c>
      <c r="K196">
        <v>-12.2266</v>
      </c>
      <c r="L196">
        <v>-76.97006</v>
      </c>
      <c r="M196">
        <f>HYPERLINK("https://www.google.com/maps/search/?api=1&amp;query=-12.2266,-76.97006","Antigua Panamericana Sur, Villa El Salvador, Lima")</f>
      </c>
      <c r="N196">
        <v>41.4</v>
      </c>
      <c r="O196">
        <v>100</v>
      </c>
      <c r="P196">
        <v>719096.9</v>
      </c>
      <c r="Q196" t="str">
        <v>117.97</v>
      </c>
      <c r="R196" t="str">
        <v/>
      </c>
      <c r="S196" t="str">
        <v/>
      </c>
      <c r="T196" t="str">
        <v/>
      </c>
      <c r="U196" t="str">
        <v/>
      </c>
    </row>
    <row r="197">
      <c r="A197" t="str">
        <v>196</v>
      </c>
      <c r="B197" t="str">
        <v>MASS BSF</v>
      </c>
      <c r="C197" t="str">
        <v>BXQ-847</v>
      </c>
      <c r="D197" t="str">
        <v>BXQ-847</v>
      </c>
      <c r="E197" t="str">
        <v/>
      </c>
      <c r="F197" t="str">
        <v>867162029843950</v>
      </c>
      <c r="G197" t="str">
        <v>TBD</v>
      </c>
      <c r="H197" t="str">
        <v/>
      </c>
      <c r="I197" t="str">
        <v>28/09/2026</v>
      </c>
      <c r="J197" t="str">
        <v>14:36:09</v>
      </c>
      <c r="K197">
        <v>-12.223004</v>
      </c>
      <c r="L197">
        <v>-76.973694</v>
      </c>
      <c r="M197">
        <f>HYPERLINK("https://www.google.com/maps/search/?api=1&amp;query=-12.223004,-76.973694","Antigua Panamericana Sur, Villa El Salvador, Lima")</f>
      </c>
      <c r="N197">
        <v>40.4</v>
      </c>
      <c r="O197">
        <v>100</v>
      </c>
      <c r="P197">
        <v>719097.5</v>
      </c>
      <c r="Q197" t="str">
        <v>117.97</v>
      </c>
      <c r="R197" t="str">
        <v/>
      </c>
      <c r="S197" t="str">
        <v/>
      </c>
      <c r="T197" t="str">
        <v/>
      </c>
      <c r="U197" t="str">
        <v/>
      </c>
    </row>
    <row r="198">
      <c r="A198" t="str">
        <v>197</v>
      </c>
      <c r="B198" t="str">
        <v>MASS BSF</v>
      </c>
      <c r="C198" t="str">
        <v>BXQ-847</v>
      </c>
      <c r="D198" t="str">
        <v>BXQ-847</v>
      </c>
      <c r="E198" t="str">
        <v/>
      </c>
      <c r="F198" t="str">
        <v>867162029843950</v>
      </c>
      <c r="G198" t="str">
        <v>TBD</v>
      </c>
      <c r="H198" t="str">
        <v/>
      </c>
      <c r="I198" t="str">
        <v>28/09/2026</v>
      </c>
      <c r="J198" t="str">
        <v>14:36:21</v>
      </c>
      <c r="K198">
        <v>-12.222216</v>
      </c>
      <c r="L198">
        <v>-76.974335</v>
      </c>
      <c r="M198">
        <f>HYPERLINK("https://www.google.com/maps/search/?api=1&amp;query=-12.222216,-76.974335","Avenida El Sol, Villa El Salvador, Lima")</f>
      </c>
      <c r="N198">
        <v>12.5</v>
      </c>
      <c r="O198">
        <v>100</v>
      </c>
      <c r="P198">
        <v>719097.6</v>
      </c>
      <c r="Q198" t="str">
        <v>117.97</v>
      </c>
      <c r="R198" t="str">
        <v/>
      </c>
      <c r="S198" t="str">
        <v/>
      </c>
      <c r="T198" t="str">
        <v/>
      </c>
      <c r="U198" t="str">
        <v/>
      </c>
    </row>
    <row r="199">
      <c r="A199" t="str">
        <v>198</v>
      </c>
      <c r="B199" t="str">
        <v>MASS BSF</v>
      </c>
      <c r="C199" t="str">
        <v>BXQ-847</v>
      </c>
      <c r="D199" t="str">
        <v>BXQ-847</v>
      </c>
      <c r="E199" t="str">
        <v/>
      </c>
      <c r="F199" t="str">
        <v>867162029843950</v>
      </c>
      <c r="G199" t="str">
        <v>TBD</v>
      </c>
      <c r="H199" t="str">
        <v/>
      </c>
      <c r="I199" t="str">
        <v>28/09/2026</v>
      </c>
      <c r="J199" t="str">
        <v>14:36:51</v>
      </c>
      <c r="K199">
        <v>-12.220913</v>
      </c>
      <c r="L199">
        <v>-76.97301</v>
      </c>
      <c r="M199">
        <f>HYPERLINK("https://www.google.com/maps/search/?api=1&amp;query=-12.220913,-76.97301","Avenida El Sol, Villa El Salvador, Lima")</f>
      </c>
      <c r="N199">
        <v>27.6</v>
      </c>
      <c r="O199">
        <v>100</v>
      </c>
      <c r="P199">
        <v>719097.8</v>
      </c>
      <c r="Q199" t="str">
        <v>117.97</v>
      </c>
      <c r="R199" t="str">
        <v/>
      </c>
      <c r="S199" t="str">
        <v/>
      </c>
      <c r="T199" t="str">
        <v/>
      </c>
      <c r="U199" t="str">
        <v/>
      </c>
    </row>
    <row r="200">
      <c r="A200" t="str">
        <v>199</v>
      </c>
      <c r="B200" t="str">
        <v>MASS BSF</v>
      </c>
      <c r="C200" t="str">
        <v>BXQ-847</v>
      </c>
      <c r="D200" t="str">
        <v>BXQ-847</v>
      </c>
      <c r="E200" t="str">
        <v/>
      </c>
      <c r="F200" t="str">
        <v>867162029843950</v>
      </c>
      <c r="G200" t="str">
        <v>TBD</v>
      </c>
      <c r="H200" t="str">
        <v/>
      </c>
      <c r="I200" t="str">
        <v>28/09/2026</v>
      </c>
      <c r="J200" t="str">
        <v>14:37:09</v>
      </c>
      <c r="K200">
        <v>-12.220119</v>
      </c>
      <c r="L200">
        <v>-76.97217</v>
      </c>
      <c r="M200">
        <f>HYPERLINK("https://www.google.com/maps/search/?api=1&amp;query=-12.220119,-76.97217","Avenida El Sol, Villa El Salvador, Lima")</f>
      </c>
      <c r="N200">
        <v>30.3</v>
      </c>
      <c r="O200">
        <v>100</v>
      </c>
      <c r="P200">
        <v>719097.9</v>
      </c>
      <c r="Q200" t="str">
        <v>117.97</v>
      </c>
      <c r="R200" t="str">
        <v/>
      </c>
      <c r="S200" t="str">
        <v/>
      </c>
      <c r="T200" t="str">
        <v/>
      </c>
      <c r="U200" t="str">
        <v/>
      </c>
    </row>
    <row r="201">
      <c r="A201" t="str">
        <v>200</v>
      </c>
      <c r="B201" t="str">
        <v>MASS BSF</v>
      </c>
      <c r="C201" t="str">
        <v>BXQ-847</v>
      </c>
      <c r="D201" t="str">
        <v>BXQ-847</v>
      </c>
      <c r="E201" t="str">
        <v/>
      </c>
      <c r="F201" t="str">
        <v>867162029843950</v>
      </c>
      <c r="G201" t="str">
        <v>TBD</v>
      </c>
      <c r="H201" t="str">
        <v/>
      </c>
      <c r="I201" t="str">
        <v>28/09/2026</v>
      </c>
      <c r="J201" t="str">
        <v>14:38:09</v>
      </c>
      <c r="K201">
        <v>-12.217889</v>
      </c>
      <c r="L201">
        <v>-76.969826</v>
      </c>
      <c r="M201">
        <f>HYPERLINK("https://www.google.com/maps/search/?api=1&amp;query=-12.217889,-76.969826","Avenida El Sol, Villa El Salvador, Lima")</f>
      </c>
      <c r="N201">
        <v>0</v>
      </c>
      <c r="O201">
        <v>100</v>
      </c>
      <c r="P201">
        <v>719098.3</v>
      </c>
      <c r="Q201" t="str">
        <v>117.97</v>
      </c>
      <c r="R201" t="str">
        <v/>
      </c>
      <c r="S201" t="str">
        <v/>
      </c>
      <c r="T201" t="str">
        <v/>
      </c>
      <c r="U201" t="str">
        <v/>
      </c>
    </row>
    <row r="202">
      <c r="A202" t="str">
        <v>201</v>
      </c>
      <c r="B202" t="str">
        <v>MASS BSF</v>
      </c>
      <c r="C202" t="str">
        <v>BXQ-847</v>
      </c>
      <c r="D202" t="str">
        <v>BXQ-847</v>
      </c>
      <c r="E202" t="str">
        <v/>
      </c>
      <c r="F202" t="str">
        <v>867162029843950</v>
      </c>
      <c r="G202" t="str">
        <v>TBD</v>
      </c>
      <c r="H202" t="str">
        <v/>
      </c>
      <c r="I202" t="str">
        <v>28/09/2026</v>
      </c>
      <c r="J202" t="str">
        <v>14:39:09</v>
      </c>
      <c r="K202">
        <v>-12.21644</v>
      </c>
      <c r="L202">
        <v>-76.96821</v>
      </c>
      <c r="M202">
        <f>HYPERLINK("https://www.google.com/maps/search/?api=1&amp;query=-12.21644,-76.96821","Avenida El Sol, Villa El Salvador, Lima")</f>
      </c>
      <c r="N202">
        <v>34.3</v>
      </c>
      <c r="O202">
        <v>100</v>
      </c>
      <c r="P202">
        <v>719098.5</v>
      </c>
      <c r="Q202" t="str">
        <v>117.97</v>
      </c>
      <c r="R202" t="str">
        <v/>
      </c>
      <c r="S202" t="str">
        <v/>
      </c>
      <c r="T202" t="str">
        <v/>
      </c>
      <c r="U202" t="str">
        <v/>
      </c>
    </row>
    <row r="203">
      <c r="A203" t="str">
        <v>202</v>
      </c>
      <c r="B203" t="str">
        <v>MASS BSF</v>
      </c>
      <c r="C203" t="str">
        <v>BXQ-847</v>
      </c>
      <c r="D203" t="str">
        <v>BXQ-847</v>
      </c>
      <c r="E203" t="str">
        <v/>
      </c>
      <c r="F203" t="str">
        <v>867162029843950</v>
      </c>
      <c r="G203" t="str">
        <v>TBD</v>
      </c>
      <c r="H203" t="str">
        <v/>
      </c>
      <c r="I203" t="str">
        <v>28/09/2026</v>
      </c>
      <c r="J203" t="str">
        <v>14:40:09</v>
      </c>
      <c r="K203">
        <v>-12.212368</v>
      </c>
      <c r="L203">
        <v>-76.964</v>
      </c>
      <c r="M203">
        <f>HYPERLINK("https://www.google.com/maps/search/?api=1&amp;query=-12.212368,-76.964","Avenida El Sol, Villa El Salvador, Lima")</f>
      </c>
      <c r="N203">
        <v>12.9</v>
      </c>
      <c r="O203">
        <v>100</v>
      </c>
      <c r="P203">
        <v>719099.2</v>
      </c>
      <c r="Q203" t="str">
        <v>117.97</v>
      </c>
      <c r="R203" t="str">
        <v/>
      </c>
      <c r="S203" t="str">
        <v/>
      </c>
      <c r="T203" t="str">
        <v/>
      </c>
      <c r="U203" t="str">
        <v/>
      </c>
    </row>
    <row r="204">
      <c r="A204" t="str">
        <v>203</v>
      </c>
      <c r="B204" t="str">
        <v>MASS BSF</v>
      </c>
      <c r="C204" t="str">
        <v>BXQ-847</v>
      </c>
      <c r="D204" t="str">
        <v>BXQ-847</v>
      </c>
      <c r="E204" t="str">
        <v/>
      </c>
      <c r="F204" t="str">
        <v>867162029843950</v>
      </c>
      <c r="G204" t="str">
        <v>TBD</v>
      </c>
      <c r="H204" t="str">
        <v/>
      </c>
      <c r="I204" t="str">
        <v>28/09/2026</v>
      </c>
      <c r="J204" t="str">
        <v>14:40:46</v>
      </c>
      <c r="K204">
        <v>-12.211282</v>
      </c>
      <c r="L204">
        <v>-76.962</v>
      </c>
      <c r="M204">
        <f>HYPERLINK("https://www.google.com/maps/search/?api=1&amp;query=-12.211282,-76.962","Calle 1, Villa El Salvador, Lima")</f>
      </c>
      <c r="N204">
        <v>8.1</v>
      </c>
      <c r="O204">
        <v>100</v>
      </c>
      <c r="P204">
        <v>719099.4</v>
      </c>
      <c r="Q204" t="str">
        <v>117.97</v>
      </c>
      <c r="R204" t="str">
        <v/>
      </c>
      <c r="S204" t="str">
        <v/>
      </c>
      <c r="T204" t="str">
        <v/>
      </c>
      <c r="U204" t="str">
        <v/>
      </c>
    </row>
    <row r="205">
      <c r="A205" t="str">
        <v>204</v>
      </c>
      <c r="B205" t="str">
        <v>MASS BSF</v>
      </c>
      <c r="C205" t="str">
        <v>BXQ-847</v>
      </c>
      <c r="D205" t="str">
        <v>BXQ-847</v>
      </c>
      <c r="E205" t="str">
        <v/>
      </c>
      <c r="F205" t="str">
        <v>867162029843950</v>
      </c>
      <c r="G205" t="str">
        <v>TBD</v>
      </c>
      <c r="H205" t="str">
        <v/>
      </c>
      <c r="I205" t="str">
        <v>28/09/2026</v>
      </c>
      <c r="J205" t="str">
        <v>14:41:09</v>
      </c>
      <c r="K205">
        <v>-12.211307</v>
      </c>
      <c r="L205">
        <v>-76.96196</v>
      </c>
      <c r="M205">
        <f>HYPERLINK("https://www.google.com/maps/search/?api=1&amp;query=-12.211307,-76.96196","Calle 1, Villa El Salvador, Lima")</f>
      </c>
      <c r="N205">
        <v>0</v>
      </c>
      <c r="O205">
        <v>100</v>
      </c>
      <c r="P205">
        <v>719099.4</v>
      </c>
      <c r="Q205" t="str">
        <v>117.97</v>
      </c>
      <c r="R205" t="str">
        <v/>
      </c>
      <c r="S205" t="str">
        <v/>
      </c>
      <c r="T205" t="str">
        <v/>
      </c>
      <c r="U205" t="str">
        <v/>
      </c>
    </row>
    <row r="206">
      <c r="A206" t="str">
        <v>205</v>
      </c>
      <c r="B206" t="str">
        <v>MASS BSF</v>
      </c>
      <c r="C206" t="str">
        <v>BXQ-847</v>
      </c>
      <c r="D206" t="str">
        <v>BXQ-847</v>
      </c>
      <c r="E206" t="str">
        <v/>
      </c>
      <c r="F206" t="str">
        <v>867162029843950</v>
      </c>
      <c r="G206" t="str">
        <v>TBD</v>
      </c>
      <c r="H206" t="str">
        <v/>
      </c>
      <c r="I206" t="str">
        <v>28/09/2026</v>
      </c>
      <c r="J206" t="str">
        <v>14:41:22</v>
      </c>
      <c r="K206">
        <v>-12.211331</v>
      </c>
      <c r="L206">
        <v>-76.961945</v>
      </c>
      <c r="M206">
        <f>HYPERLINK("https://www.google.com/maps/search/?api=1&amp;query=-12.211331,-76.961945","Calle 1, Villa El Salvador, Lima")</f>
      </c>
      <c r="N206">
        <v>7.1</v>
      </c>
      <c r="O206">
        <v>100</v>
      </c>
      <c r="P206">
        <v>719099.4</v>
      </c>
      <c r="Q206" t="str">
        <v>117.97</v>
      </c>
      <c r="R206" t="str">
        <v/>
      </c>
      <c r="S206" t="str">
        <v/>
      </c>
      <c r="T206" t="str">
        <v/>
      </c>
      <c r="U206" t="str">
        <v/>
      </c>
    </row>
    <row r="207">
      <c r="A207" t="str">
        <v>206</v>
      </c>
      <c r="B207" t="str">
        <v>MASS BSF</v>
      </c>
      <c r="C207" t="str">
        <v>BXQ-847</v>
      </c>
      <c r="D207" t="str">
        <v>BXQ-847</v>
      </c>
      <c r="E207" t="str">
        <v/>
      </c>
      <c r="F207" t="str">
        <v>867162029843950</v>
      </c>
      <c r="G207" t="str">
        <v>TBD</v>
      </c>
      <c r="H207" t="str">
        <v/>
      </c>
      <c r="I207" t="str">
        <v>28/09/2026</v>
      </c>
      <c r="J207" t="str">
        <v>14:42:09</v>
      </c>
      <c r="K207">
        <v>-12.212121</v>
      </c>
      <c r="L207">
        <v>-76.9614</v>
      </c>
      <c r="M207">
        <f>HYPERLINK("https://www.google.com/maps/search/?api=1&amp;query=-12.212121,-76.9614","Calle 1, Villa El Salvador, Lima")</f>
      </c>
      <c r="N207">
        <v>5.5</v>
      </c>
      <c r="O207">
        <v>100</v>
      </c>
      <c r="P207">
        <v>719099.5</v>
      </c>
      <c r="Q207" t="str">
        <v>117.97</v>
      </c>
      <c r="R207" t="str">
        <v/>
      </c>
      <c r="S207" t="str">
        <v/>
      </c>
      <c r="T207" t="str">
        <v/>
      </c>
      <c r="U207" t="str">
        <v/>
      </c>
    </row>
    <row r="208">
      <c r="A208" t="str">
        <v>207</v>
      </c>
      <c r="B208" t="str">
        <v>MASS BSF</v>
      </c>
      <c r="C208" t="str">
        <v>BXQ-847</v>
      </c>
      <c r="D208" t="str">
        <v>BXQ-847</v>
      </c>
      <c r="E208" t="str">
        <v/>
      </c>
      <c r="F208" t="str">
        <v>867162029843950</v>
      </c>
      <c r="G208" t="str">
        <v>TBD</v>
      </c>
      <c r="H208" t="str">
        <v/>
      </c>
      <c r="I208" t="str">
        <v>28/09/2026</v>
      </c>
      <c r="J208" t="str">
        <v>14:43:09</v>
      </c>
      <c r="K208">
        <v>-12.212858</v>
      </c>
      <c r="L208">
        <v>-76.96091</v>
      </c>
      <c r="M208">
        <f>HYPERLINK("https://www.google.com/maps/search/?api=1&amp;query=-12.212858,-76.96091","Calle 1, Villa El Salvador, Lima")</f>
      </c>
      <c r="N208">
        <v>5.8</v>
      </c>
      <c r="O208">
        <v>100</v>
      </c>
      <c r="P208">
        <v>719099.6</v>
      </c>
      <c r="Q208" t="str">
        <v>117.97</v>
      </c>
      <c r="R208" t="str">
        <v/>
      </c>
      <c r="S208" t="str">
        <v/>
      </c>
      <c r="T208" t="str">
        <v/>
      </c>
      <c r="U208" t="str">
        <v/>
      </c>
    </row>
    <row r="209">
      <c r="A209" t="str">
        <v>208</v>
      </c>
      <c r="B209" t="str">
        <v>MASS BSF</v>
      </c>
      <c r="C209" t="str">
        <v>BXQ-847</v>
      </c>
      <c r="D209" t="str">
        <v>BXQ-847</v>
      </c>
      <c r="E209" t="str">
        <v/>
      </c>
      <c r="F209" t="str">
        <v>867162029843950</v>
      </c>
      <c r="G209" t="str">
        <v>TBD</v>
      </c>
      <c r="H209" t="str">
        <v/>
      </c>
      <c r="I209" t="str">
        <v>28/09/2026</v>
      </c>
      <c r="J209" t="str">
        <v>14:44:10</v>
      </c>
      <c r="K209">
        <v>-12.213584</v>
      </c>
      <c r="L209">
        <v>-76.96045</v>
      </c>
      <c r="M209">
        <f>HYPERLINK("https://www.google.com/maps/search/?api=1&amp;query=-12.213584,-76.96045","Avenida Villa del Mar, Villa El Salvador, Lima")</f>
      </c>
      <c r="N209">
        <v>5.4</v>
      </c>
      <c r="O209">
        <v>100</v>
      </c>
      <c r="P209">
        <v>719099.7</v>
      </c>
      <c r="Q209" t="str">
        <v>117.97</v>
      </c>
      <c r="R209" t="str">
        <v/>
      </c>
      <c r="S209" t="str">
        <v/>
      </c>
      <c r="T209" t="str">
        <v/>
      </c>
      <c r="U209" t="str">
        <v/>
      </c>
    </row>
    <row r="210">
      <c r="A210" t="str">
        <v>209</v>
      </c>
      <c r="B210" t="str">
        <v>MASS BSF</v>
      </c>
      <c r="C210" t="str">
        <v>BXQ-847</v>
      </c>
      <c r="D210" t="str">
        <v>BXQ-847</v>
      </c>
      <c r="E210" t="str">
        <v/>
      </c>
      <c r="F210" t="str">
        <v>867162029843950</v>
      </c>
      <c r="G210" t="str">
        <v>TBD</v>
      </c>
      <c r="H210" t="str">
        <v/>
      </c>
      <c r="I210" t="str">
        <v>28/09/2026</v>
      </c>
      <c r="J210" t="str">
        <v>14:44:13</v>
      </c>
      <c r="K210">
        <v>-12.213558</v>
      </c>
      <c r="L210">
        <v>-76.96037</v>
      </c>
      <c r="M210">
        <f>HYPERLINK("https://www.google.com/maps/search/?api=1&amp;query=-12.213558,-76.96037","Avenida Villa del Mar, Villa El Salvador, Lima")</f>
      </c>
      <c r="N210">
        <v>5.1</v>
      </c>
      <c r="O210">
        <v>100</v>
      </c>
      <c r="P210">
        <v>719099.7</v>
      </c>
      <c r="Q210" t="str">
        <v>117.97</v>
      </c>
      <c r="R210" t="str">
        <v/>
      </c>
      <c r="S210" t="str">
        <v/>
      </c>
      <c r="T210" t="str">
        <v/>
      </c>
      <c r="U210" t="str">
        <v/>
      </c>
    </row>
    <row r="211">
      <c r="A211" t="str">
        <v>210</v>
      </c>
      <c r="B211" t="str">
        <v>MASS BSF</v>
      </c>
      <c r="C211" t="str">
        <v>BXQ-847</v>
      </c>
      <c r="D211" t="str">
        <v>BXQ-847</v>
      </c>
      <c r="E211" t="str">
        <v/>
      </c>
      <c r="F211" t="str">
        <v>867162029843950</v>
      </c>
      <c r="G211" t="str">
        <v>TBD</v>
      </c>
      <c r="H211" t="str">
        <v/>
      </c>
      <c r="I211" t="str">
        <v>28/09/2026</v>
      </c>
      <c r="J211" t="str">
        <v>14:45:10</v>
      </c>
      <c r="K211">
        <v>-12.21301</v>
      </c>
      <c r="L211">
        <v>-76.959526</v>
      </c>
      <c r="M211">
        <f>HYPERLINK("https://www.google.com/maps/search/?api=1&amp;query=-12.21301,-76.959526","Avenida Villa del Mar, Villa El Salvador, Lima")</f>
      </c>
      <c r="N211">
        <v>8.6</v>
      </c>
      <c r="O211">
        <v>100</v>
      </c>
      <c r="P211">
        <v>719099.9</v>
      </c>
      <c r="Q211" t="str">
        <v>117.97</v>
      </c>
      <c r="R211" t="str">
        <v/>
      </c>
      <c r="S211" t="str">
        <v/>
      </c>
      <c r="T211" t="str">
        <v/>
      </c>
      <c r="U211" t="str">
        <v/>
      </c>
    </row>
    <row r="212">
      <c r="A212" t="str">
        <v>211</v>
      </c>
      <c r="B212" t="str">
        <v>MASS BSF</v>
      </c>
      <c r="C212" t="str">
        <v>BXQ-847</v>
      </c>
      <c r="D212" t="str">
        <v>BXQ-847</v>
      </c>
      <c r="E212" t="str">
        <v/>
      </c>
      <c r="F212" t="str">
        <v>867162029843950</v>
      </c>
      <c r="G212" t="str">
        <v>TBD</v>
      </c>
      <c r="H212" t="str">
        <v/>
      </c>
      <c r="I212" t="str">
        <v>28/09/2026</v>
      </c>
      <c r="J212" t="str">
        <v>14:45:10</v>
      </c>
      <c r="K212">
        <v>-12.21301</v>
      </c>
      <c r="L212">
        <v>-76.959526</v>
      </c>
      <c r="M212">
        <f>HYPERLINK("https://www.google.com/maps/search/?api=1&amp;query=-12.21301,-76.959526","Avenida Villa del Mar, Villa El Salvador, Lima")</f>
      </c>
      <c r="N212">
        <v>8.6</v>
      </c>
      <c r="O212">
        <v>100</v>
      </c>
      <c r="P212">
        <v>719099.9</v>
      </c>
      <c r="Q212" t="str">
        <v>117.97</v>
      </c>
      <c r="R212" t="str">
        <v>Llegó a la zona</v>
      </c>
      <c r="S212" t="str">
        <v>BASE-OSLOGISTICS</v>
      </c>
      <c r="T212" t="str">
        <v xml:space="preserve"> </v>
      </c>
      <c r="U212" t="str">
        <v/>
      </c>
    </row>
    <row r="213">
      <c r="A213" t="str">
        <v>212</v>
      </c>
      <c r="B213" t="str">
        <v>MASS BSF</v>
      </c>
      <c r="C213" t="str">
        <v>BXQ-847</v>
      </c>
      <c r="D213" t="str">
        <v>BXQ-847</v>
      </c>
      <c r="E213" t="str">
        <v/>
      </c>
      <c r="F213" t="str">
        <v>867162029843950</v>
      </c>
      <c r="G213" t="str">
        <v>TBD</v>
      </c>
      <c r="H213" t="str">
        <v/>
      </c>
      <c r="I213" t="str">
        <v>28/09/2026</v>
      </c>
      <c r="J213" t="str">
        <v>14:45:22</v>
      </c>
      <c r="K213">
        <v>-12.212876</v>
      </c>
      <c r="L213">
        <v>-76.95925</v>
      </c>
      <c r="M213">
        <f>HYPERLINK("https://www.google.com/maps/search/?api=1&amp;query=-12.212876,-76.95925","Avenida Villa del Mar, Villa El Salvador, Lima")</f>
      </c>
      <c r="N213">
        <v>8</v>
      </c>
      <c r="O213">
        <v>100</v>
      </c>
      <c r="P213">
        <v>719099.9</v>
      </c>
      <c r="Q213" t="str">
        <v>117.97</v>
      </c>
      <c r="R213" t="str">
        <v/>
      </c>
      <c r="S213" t="str">
        <v/>
      </c>
      <c r="T213" t="str">
        <v/>
      </c>
      <c r="U213" t="str">
        <v/>
      </c>
    </row>
    <row r="214">
      <c r="A214" t="str">
        <v>213</v>
      </c>
      <c r="B214" t="str">
        <v>MASS BSF</v>
      </c>
      <c r="C214" t="str">
        <v>BXQ-847</v>
      </c>
      <c r="D214" t="str">
        <v>BXQ-847</v>
      </c>
      <c r="E214" t="str">
        <v/>
      </c>
      <c r="F214" t="str">
        <v>867162029843950</v>
      </c>
      <c r="G214" t="str">
        <v>TBD</v>
      </c>
      <c r="H214" t="str">
        <v/>
      </c>
      <c r="I214" t="str">
        <v>28/09/2026</v>
      </c>
      <c r="J214" t="str">
        <v>14:46:10</v>
      </c>
      <c r="K214">
        <v>-12.2129</v>
      </c>
      <c r="L214">
        <v>-76.959206</v>
      </c>
      <c r="M214">
        <f>HYPERLINK("https://www.google.com/maps/search/?api=1&amp;query=-12.2129,-76.959206","Avenida Villa del Mar, Villa El Salvador, Lima")</f>
      </c>
      <c r="N214">
        <v>0</v>
      </c>
      <c r="O214">
        <v>100</v>
      </c>
      <c r="P214">
        <v>719099.9</v>
      </c>
      <c r="Q214" t="str">
        <v>117.97</v>
      </c>
      <c r="R214" t="str">
        <v/>
      </c>
      <c r="S214" t="str">
        <v/>
      </c>
      <c r="T214" t="str">
        <v/>
      </c>
      <c r="U214" t="str">
        <v/>
      </c>
    </row>
    <row r="215">
      <c r="A215" t="str">
        <v>214</v>
      </c>
      <c r="B215" t="str">
        <v>MASS BSF</v>
      </c>
      <c r="C215" t="str">
        <v>BXQ-847</v>
      </c>
      <c r="D215" t="str">
        <v>BXQ-847</v>
      </c>
      <c r="E215" t="str">
        <v/>
      </c>
      <c r="F215" t="str">
        <v>867162029843950</v>
      </c>
      <c r="G215" t="str">
        <v>TBD</v>
      </c>
      <c r="H215" t="str">
        <v/>
      </c>
      <c r="I215" t="str">
        <v>28/09/2026</v>
      </c>
      <c r="J215" t="str">
        <v>14:47:10</v>
      </c>
      <c r="K215">
        <v>-12.2129</v>
      </c>
      <c r="L215">
        <v>-76.959206</v>
      </c>
      <c r="M215">
        <f>HYPERLINK("https://www.google.com/maps/search/?api=1&amp;query=-12.2129,-76.959206","Avenida Villa del Mar, Villa El Salvador, Lima")</f>
      </c>
      <c r="N215">
        <v>0</v>
      </c>
      <c r="O215">
        <v>100</v>
      </c>
      <c r="P215">
        <v>719099.9</v>
      </c>
      <c r="Q215" t="str">
        <v>117.97</v>
      </c>
      <c r="R215" t="str">
        <v/>
      </c>
      <c r="S215" t="str">
        <v/>
      </c>
      <c r="T215" t="str">
        <v/>
      </c>
      <c r="U215" t="str">
        <v/>
      </c>
    </row>
    <row r="216">
      <c r="A216" t="str">
        <v>215</v>
      </c>
      <c r="B216" t="str">
        <v>MASS BSF</v>
      </c>
      <c r="C216" t="str">
        <v>BXQ-847</v>
      </c>
      <c r="D216" t="str">
        <v>BXQ-847</v>
      </c>
      <c r="E216" t="str">
        <v/>
      </c>
      <c r="F216" t="str">
        <v>867162029843950</v>
      </c>
      <c r="G216" t="str">
        <v>TBD</v>
      </c>
      <c r="H216" t="str">
        <v/>
      </c>
      <c r="I216" t="str">
        <v>28/09/2026</v>
      </c>
      <c r="J216" t="str">
        <v>14:47:40</v>
      </c>
      <c r="K216">
        <v>-12.21296</v>
      </c>
      <c r="L216">
        <v>-76.95906</v>
      </c>
      <c r="M216">
        <f>HYPERLINK("https://www.google.com/maps/search/?api=1&amp;query=-12.21296,-76.95906","Avenida Villa del Mar, Villa El Salvador, Lima")</f>
      </c>
      <c r="N216">
        <v>6.9</v>
      </c>
      <c r="O216">
        <v>100</v>
      </c>
      <c r="P216">
        <v>719099.9</v>
      </c>
      <c r="Q216" t="str">
        <v>117.97</v>
      </c>
      <c r="R216" t="str">
        <v/>
      </c>
      <c r="S216" t="str">
        <v/>
      </c>
      <c r="T216" t="str">
        <v/>
      </c>
      <c r="U216" t="str">
        <v/>
      </c>
    </row>
    <row r="217">
      <c r="A217" t="str">
        <v>216</v>
      </c>
      <c r="B217" t="str">
        <v>MASS BSF</v>
      </c>
      <c r="C217" t="str">
        <v>BXQ-847</v>
      </c>
      <c r="D217" t="str">
        <v>BXQ-847</v>
      </c>
      <c r="E217" t="str">
        <v/>
      </c>
      <c r="F217" t="str">
        <v>867162029843950</v>
      </c>
      <c r="G217" t="str">
        <v>TBD</v>
      </c>
      <c r="H217" t="str">
        <v/>
      </c>
      <c r="I217" t="str">
        <v>28/09/2026</v>
      </c>
      <c r="J217" t="str">
        <v>14:47:58</v>
      </c>
      <c r="K217">
        <v>-12.21296</v>
      </c>
      <c r="L217">
        <v>-76.95906</v>
      </c>
      <c r="M217">
        <f>HYPERLINK("https://www.google.com/maps/search/?api=1&amp;query=-12.21296,-76.95906","Avenida Villa del Mar, Villa El Salvador, Lima")</f>
      </c>
      <c r="N217">
        <v>6.9</v>
      </c>
      <c r="O217">
        <v>100</v>
      </c>
      <c r="P217">
        <v>719099.9</v>
      </c>
      <c r="Q217" t="str">
        <v>117.97</v>
      </c>
      <c r="R217" t="str">
        <v>Vehículo apagado</v>
      </c>
      <c r="S217" t="str">
        <v/>
      </c>
      <c r="T217" t="str">
        <v/>
      </c>
      <c r="U217" t="str">
        <v/>
      </c>
    </row>
    <row r="218">
      <c r="A218" t="str">
        <v>217</v>
      </c>
      <c r="B218" t="str">
        <v>MASS BSF</v>
      </c>
      <c r="C218" t="str">
        <v>BXQ-847</v>
      </c>
      <c r="D218" t="str">
        <v>BXQ-847</v>
      </c>
      <c r="E218" t="str">
        <v/>
      </c>
      <c r="F218" t="str">
        <v>867162029843950</v>
      </c>
      <c r="G218" t="str">
        <v>TBD</v>
      </c>
      <c r="H218" t="str">
        <v/>
      </c>
      <c r="I218" t="str">
        <v>28/09/2026</v>
      </c>
      <c r="J218" t="str">
        <v>14:48:00</v>
      </c>
      <c r="K218">
        <v>-12.21296</v>
      </c>
      <c r="L218">
        <v>-76.95906</v>
      </c>
      <c r="M218">
        <f>HYPERLINK("https://www.google.com/maps/search/?api=1&amp;query=-12.21296,-76.95906","Avenida Villa del Mar, Villa El Salvador, Lima")</f>
      </c>
      <c r="N218">
        <v>0</v>
      </c>
      <c r="O218">
        <v>100</v>
      </c>
      <c r="P218">
        <v>719099.9</v>
      </c>
      <c r="Q218" t="str">
        <v>117.97</v>
      </c>
      <c r="R218" t="str">
        <v>Vehículo encendido</v>
      </c>
      <c r="S218" t="str">
        <v/>
      </c>
      <c r="T218" t="str">
        <v/>
      </c>
      <c r="U218" t="str">
        <v/>
      </c>
    </row>
    <row r="219">
      <c r="A219" t="str">
        <v>218</v>
      </c>
      <c r="B219" t="str">
        <v>MASS BSF</v>
      </c>
      <c r="C219" t="str">
        <v>BXQ-847</v>
      </c>
      <c r="D219" t="str">
        <v>BXQ-847</v>
      </c>
      <c r="E219" t="str">
        <v/>
      </c>
      <c r="F219" t="str">
        <v>867162029843950</v>
      </c>
      <c r="G219" t="str">
        <v>TBD</v>
      </c>
      <c r="H219" t="str">
        <v/>
      </c>
      <c r="I219" t="str">
        <v>28/09/2026</v>
      </c>
      <c r="J219" t="str">
        <v>14:48:00</v>
      </c>
      <c r="K219">
        <v>-12.21291</v>
      </c>
      <c r="L219">
        <v>-76.95889</v>
      </c>
      <c r="M219">
        <f>HYPERLINK("https://www.google.com/maps/search/?api=1&amp;query=-12.21291,-76.95889","Avenida Villa del Mar, Villa El Salvador, Lima")</f>
      </c>
      <c r="N219">
        <v>0</v>
      </c>
      <c r="O219">
        <v>100</v>
      </c>
      <c r="P219">
        <v>719099.9</v>
      </c>
      <c r="Q219" t="str">
        <v>117.97</v>
      </c>
      <c r="R219" t="str">
        <v/>
      </c>
      <c r="S219" t="str">
        <v/>
      </c>
      <c r="T219" t="str">
        <v/>
      </c>
      <c r="U219" t="str">
        <v/>
      </c>
    </row>
    <row r="220">
      <c r="A220" t="str">
        <v>219</v>
      </c>
      <c r="B220" t="str">
        <v>MASS BSF</v>
      </c>
      <c r="C220" t="str">
        <v>BXQ-847</v>
      </c>
      <c r="D220" t="str">
        <v>BXQ-847</v>
      </c>
      <c r="E220" t="str">
        <v/>
      </c>
      <c r="F220" t="str">
        <v>867162029843950</v>
      </c>
      <c r="G220" t="str">
        <v>TBD</v>
      </c>
      <c r="H220" t="str">
        <v/>
      </c>
      <c r="I220" t="str">
        <v>28/09/2026</v>
      </c>
      <c r="J220" t="str">
        <v>14:49:02</v>
      </c>
      <c r="K220">
        <v>-12.21291</v>
      </c>
      <c r="L220">
        <v>-76.95889</v>
      </c>
      <c r="M220">
        <f>HYPERLINK("https://www.google.com/maps/search/?api=1&amp;query=-12.21291,-76.95889","Avenida Villa del Mar, Villa El Salvador, Lima")</f>
      </c>
      <c r="N220">
        <v>0</v>
      </c>
      <c r="O220">
        <v>100</v>
      </c>
      <c r="P220">
        <v>719099.9</v>
      </c>
      <c r="Q220" t="str">
        <v>117.97</v>
      </c>
      <c r="R220" t="str">
        <v>Vehículo apagado</v>
      </c>
      <c r="S220" t="str">
        <v/>
      </c>
      <c r="T220" t="str">
        <v/>
      </c>
      <c r="U220" t="str">
        <v/>
      </c>
    </row>
    <row r="221">
      <c r="A221" t="str">
        <v>220</v>
      </c>
      <c r="B221" t="str">
        <v>MASS BSF</v>
      </c>
      <c r="C221" t="str">
        <v>BXQ-847</v>
      </c>
      <c r="D221" t="str">
        <v>BXQ-847</v>
      </c>
      <c r="E221" t="str">
        <v/>
      </c>
      <c r="F221" t="str">
        <v>867162029843950</v>
      </c>
      <c r="G221" t="str">
        <v>TBD</v>
      </c>
      <c r="H221" t="str">
        <v/>
      </c>
      <c r="I221" t="str">
        <v>28/09/2026</v>
      </c>
      <c r="J221" t="str">
        <v>14:49:06</v>
      </c>
      <c r="K221">
        <v>-12.21291</v>
      </c>
      <c r="L221">
        <v>-76.95889</v>
      </c>
      <c r="M221">
        <f>HYPERLINK("https://www.google.com/maps/search/?api=1&amp;query=-12.21291,-76.95889","Avenida Villa del Mar, Villa El Salvador, Lima")</f>
      </c>
      <c r="N221">
        <v>0</v>
      </c>
      <c r="O221">
        <v>100</v>
      </c>
      <c r="P221">
        <v>719099.9</v>
      </c>
      <c r="Q221" t="str">
        <v>117.97</v>
      </c>
      <c r="R221" t="str">
        <v/>
      </c>
      <c r="S221" t="str">
        <v/>
      </c>
      <c r="T221" t="str">
        <v/>
      </c>
      <c r="U221" t="str">
        <v/>
      </c>
    </row>
    <row r="222">
      <c r="A222" t="str">
        <v>221</v>
      </c>
      <c r="B222" t="str">
        <v>MASS BSF</v>
      </c>
      <c r="C222" t="str">
        <v>BXQ-847</v>
      </c>
      <c r="D222" t="str">
        <v>BXQ-847</v>
      </c>
      <c r="E222" t="str">
        <v/>
      </c>
      <c r="F222" t="str">
        <v>867162029843950</v>
      </c>
      <c r="G222" t="str">
        <v>TBD</v>
      </c>
      <c r="H222" t="str">
        <v/>
      </c>
      <c r="I222" t="str">
        <v>28/09/2026</v>
      </c>
      <c r="J222" t="str">
        <v>14:49:40</v>
      </c>
      <c r="K222">
        <v>-12.21291</v>
      </c>
      <c r="L222">
        <v>-76.95889</v>
      </c>
      <c r="M222">
        <f>HYPERLINK("https://www.google.com/maps/search/?api=1&amp;query=-12.21291,-76.95889","Avenida Villa del Mar, Villa El Salvador, Lima")</f>
      </c>
      <c r="N222">
        <v>0</v>
      </c>
      <c r="O222">
        <v>100</v>
      </c>
      <c r="P222">
        <v>719099.9</v>
      </c>
      <c r="Q222" t="str">
        <v>117.97</v>
      </c>
      <c r="R222" t="str">
        <v>Vehículo encendido</v>
      </c>
      <c r="S222" t="str">
        <v/>
      </c>
      <c r="T222" t="str">
        <v/>
      </c>
      <c r="U222" t="str">
        <v/>
      </c>
    </row>
    <row r="223">
      <c r="A223" t="str">
        <v>222</v>
      </c>
      <c r="B223" t="str">
        <v>MASS BSF</v>
      </c>
      <c r="C223" t="str">
        <v>BXQ-847</v>
      </c>
      <c r="D223" t="str">
        <v>BXQ-847</v>
      </c>
      <c r="E223" t="str">
        <v/>
      </c>
      <c r="F223" t="str">
        <v>867162029843950</v>
      </c>
      <c r="G223" t="str">
        <v>TBD</v>
      </c>
      <c r="H223" t="str">
        <v/>
      </c>
      <c r="I223" t="str">
        <v>28/09/2026</v>
      </c>
      <c r="J223" t="str">
        <v>14:49:48</v>
      </c>
      <c r="K223">
        <v>-12.212954</v>
      </c>
      <c r="L223">
        <v>-76.95876</v>
      </c>
      <c r="M223">
        <f>HYPERLINK("https://www.google.com/maps/search/?api=1&amp;query=-12.212954,-76.95876","Villa El Salvador, Lima")</f>
      </c>
      <c r="N223">
        <v>0.1</v>
      </c>
      <c r="O223">
        <v>100</v>
      </c>
      <c r="P223">
        <v>719099.9</v>
      </c>
      <c r="Q223" t="str">
        <v>117.97</v>
      </c>
      <c r="R223" t="str">
        <v/>
      </c>
      <c r="S223" t="str">
        <v/>
      </c>
      <c r="T223" t="str">
        <v/>
      </c>
      <c r="U223" t="str">
        <v/>
      </c>
    </row>
    <row r="224">
      <c r="A224" t="str">
        <v>223</v>
      </c>
      <c r="B224" t="str">
        <v>MASS BSF</v>
      </c>
      <c r="C224" t="str">
        <v>BXQ-847</v>
      </c>
      <c r="D224" t="str">
        <v>BXQ-847</v>
      </c>
      <c r="E224" t="str">
        <v/>
      </c>
      <c r="F224" t="str">
        <v>867162029843950</v>
      </c>
      <c r="G224" t="str">
        <v>TBD</v>
      </c>
      <c r="H224" t="str">
        <v/>
      </c>
      <c r="I224" t="str">
        <v>28/09/2026</v>
      </c>
      <c r="J224" t="str">
        <v>14:49:50</v>
      </c>
      <c r="K224">
        <v>-12.212951</v>
      </c>
      <c r="L224">
        <v>-76.95874</v>
      </c>
      <c r="M224">
        <f>HYPERLINK("https://www.google.com/maps/search/?api=1&amp;query=-12.212951,-76.95874","Villa El Salvador, Lima")</f>
      </c>
      <c r="N224">
        <v>0</v>
      </c>
      <c r="O224">
        <v>100</v>
      </c>
      <c r="P224">
        <v>719099.9</v>
      </c>
      <c r="Q224" t="str">
        <v>117.97</v>
      </c>
      <c r="R224" t="str">
        <v>Vehículo apagado</v>
      </c>
      <c r="S224" t="str">
        <v/>
      </c>
      <c r="T224" t="str">
        <v/>
      </c>
      <c r="U224" t="str">
        <v/>
      </c>
    </row>
    <row r="225">
      <c r="A225" t="str">
        <v>224</v>
      </c>
      <c r="B225" t="str">
        <v>MASS BSF</v>
      </c>
      <c r="C225" t="str">
        <v>BXQ-847</v>
      </c>
      <c r="D225" t="str">
        <v>BXQ-847</v>
      </c>
      <c r="E225" t="str">
        <v/>
      </c>
      <c r="F225" t="str">
        <v>867162029843950</v>
      </c>
      <c r="G225" t="str">
        <v>TBD</v>
      </c>
      <c r="H225" t="str">
        <v/>
      </c>
      <c r="I225" t="str">
        <v>28/09/2026</v>
      </c>
      <c r="J225" t="str">
        <v>14:49:52</v>
      </c>
      <c r="K225">
        <v>-12.212951</v>
      </c>
      <c r="L225">
        <v>-76.95874</v>
      </c>
      <c r="M225">
        <f>HYPERLINK("https://www.google.com/maps/search/?api=1&amp;query=-12.212951,-76.95874","Villa El Salvador, Lima")</f>
      </c>
      <c r="N225">
        <v>0</v>
      </c>
      <c r="O225">
        <v>100</v>
      </c>
      <c r="P225">
        <v>719099.9</v>
      </c>
      <c r="Q225" t="str">
        <v>117.97</v>
      </c>
      <c r="R225" t="str">
        <v/>
      </c>
      <c r="S225" t="str">
        <v/>
      </c>
      <c r="T225" t="str">
        <v/>
      </c>
      <c r="U225" t="str">
        <v/>
      </c>
    </row>
    <row r="226">
      <c r="A226" t="str">
        <v>225</v>
      </c>
      <c r="B226" t="str">
        <v>MASS BSF</v>
      </c>
      <c r="C226" t="str">
        <v>BXQ-847</v>
      </c>
      <c r="D226" t="str">
        <v>BXQ-847</v>
      </c>
      <c r="E226" t="str">
        <v/>
      </c>
      <c r="F226" t="str">
        <v>867162029843950</v>
      </c>
      <c r="G226" t="str">
        <v>TBD</v>
      </c>
      <c r="H226" t="str">
        <v/>
      </c>
      <c r="I226" t="str">
        <v>28/09/2026</v>
      </c>
      <c r="J226" t="str">
        <v>15:19:53</v>
      </c>
      <c r="K226">
        <v>-12.212951</v>
      </c>
      <c r="L226">
        <v>-76.95874</v>
      </c>
      <c r="M226">
        <f>HYPERLINK("https://www.google.com/maps/search/?api=1&amp;query=-12.212951,-76.95874","Villa El Salvador, Lima")</f>
      </c>
      <c r="N226">
        <v>0</v>
      </c>
      <c r="O226">
        <v>100</v>
      </c>
      <c r="P226">
        <v>719099.9</v>
      </c>
      <c r="Q226" t="str">
        <v>117.95</v>
      </c>
      <c r="R226" t="str">
        <v/>
      </c>
      <c r="S226" t="str">
        <v/>
      </c>
      <c r="T226" t="str">
        <v/>
      </c>
      <c r="U226" t="str">
        <v/>
      </c>
    </row>
    <row r="227">
      <c r="A227" t="str">
        <v>226</v>
      </c>
      <c r="B227" t="str">
        <v>MASS BSF</v>
      </c>
      <c r="C227" t="str">
        <v>BXQ-847</v>
      </c>
      <c r="D227" t="str">
        <v>BXQ-847</v>
      </c>
      <c r="E227" t="str">
        <v/>
      </c>
      <c r="F227" t="str">
        <v>867162029843950</v>
      </c>
      <c r="G227" t="str">
        <v>TBD</v>
      </c>
      <c r="H227" t="str">
        <v/>
      </c>
      <c r="I227" t="str">
        <v>28/09/2026</v>
      </c>
      <c r="J227" t="str">
        <v>15:49:58</v>
      </c>
      <c r="K227">
        <v>-12.212951</v>
      </c>
      <c r="L227">
        <v>-76.95874</v>
      </c>
      <c r="M227">
        <f>HYPERLINK("https://www.google.com/maps/search/?api=1&amp;query=-12.212951,-76.95874","Villa El Salvador, Lima")</f>
      </c>
      <c r="N227">
        <v>0</v>
      </c>
      <c r="O227">
        <v>100</v>
      </c>
      <c r="P227">
        <v>719099.9</v>
      </c>
      <c r="Q227" t="str">
        <v>117.95</v>
      </c>
      <c r="R227" t="str">
        <v/>
      </c>
      <c r="S227" t="str">
        <v/>
      </c>
      <c r="T227" t="str">
        <v/>
      </c>
      <c r="U227" t="str">
        <v/>
      </c>
    </row>
    <row r="228">
      <c r="A228" t="str">
        <v>227</v>
      </c>
      <c r="B228" t="str">
        <v>MASS BSF</v>
      </c>
      <c r="C228" t="str">
        <v>BXQ-847</v>
      </c>
      <c r="D228" t="str">
        <v>BXQ-847</v>
      </c>
      <c r="E228" t="str">
        <v/>
      </c>
      <c r="F228" t="str">
        <v>867162029843950</v>
      </c>
      <c r="G228" t="str">
        <v>TBD</v>
      </c>
      <c r="H228" t="str">
        <v/>
      </c>
      <c r="I228" t="str">
        <v>28/09/2026</v>
      </c>
      <c r="J228" t="str">
        <v>16:20:03</v>
      </c>
      <c r="K228">
        <v>-12.212951</v>
      </c>
      <c r="L228">
        <v>-76.95874</v>
      </c>
      <c r="M228">
        <f>HYPERLINK("https://www.google.com/maps/search/?api=1&amp;query=-12.212951,-76.95874","Villa El Salvador, Lima")</f>
      </c>
      <c r="N228">
        <v>0</v>
      </c>
      <c r="O228">
        <v>100</v>
      </c>
      <c r="P228">
        <v>719099.9</v>
      </c>
      <c r="Q228" t="str">
        <v>117.95</v>
      </c>
      <c r="R228" t="str">
        <v/>
      </c>
      <c r="S228" t="str">
        <v/>
      </c>
      <c r="T228" t="str">
        <v/>
      </c>
      <c r="U228" t="str">
        <v/>
      </c>
    </row>
    <row r="229">
      <c r="A229" t="str">
        <v>228</v>
      </c>
      <c r="B229" t="str">
        <v>MASS BSF</v>
      </c>
      <c r="C229" t="str">
        <v>BXQ-847</v>
      </c>
      <c r="D229" t="str">
        <v>BXQ-847</v>
      </c>
      <c r="E229" t="str">
        <v/>
      </c>
      <c r="F229" t="str">
        <v>867162029843950</v>
      </c>
      <c r="G229" t="str">
        <v>TBD</v>
      </c>
      <c r="H229" t="str">
        <v/>
      </c>
      <c r="I229" t="str">
        <v>28/09/2026</v>
      </c>
      <c r="J229" t="str">
        <v>16:50:08</v>
      </c>
      <c r="K229">
        <v>-12.212951</v>
      </c>
      <c r="L229">
        <v>-76.95874</v>
      </c>
      <c r="M229">
        <f>HYPERLINK("https://www.google.com/maps/search/?api=1&amp;query=-12.212951,-76.95874","Villa El Salvador, Lima")</f>
      </c>
      <c r="N229">
        <v>0</v>
      </c>
      <c r="O229">
        <v>100</v>
      </c>
      <c r="P229">
        <v>719099.9</v>
      </c>
      <c r="Q229" t="str">
        <v>117.95</v>
      </c>
      <c r="R229" t="str">
        <v/>
      </c>
      <c r="S229" t="str">
        <v/>
      </c>
      <c r="T229" t="str">
        <v/>
      </c>
      <c r="U229" t="str">
        <v/>
      </c>
    </row>
    <row r="230">
      <c r="A230" t="str">
        <v>229</v>
      </c>
      <c r="B230" t="str">
        <v>MASS BSF</v>
      </c>
      <c r="C230" t="str">
        <v>BXQ-847</v>
      </c>
      <c r="D230" t="str">
        <v>BXQ-847</v>
      </c>
      <c r="E230" t="str">
        <v/>
      </c>
      <c r="F230" t="str">
        <v>867162029843950</v>
      </c>
      <c r="G230" t="str">
        <v>TBD</v>
      </c>
      <c r="H230" t="str">
        <v/>
      </c>
      <c r="I230" t="str">
        <v>28/09/2026</v>
      </c>
      <c r="J230" t="str">
        <v>17:20:12</v>
      </c>
      <c r="K230">
        <v>-12.212951</v>
      </c>
      <c r="L230">
        <v>-76.95874</v>
      </c>
      <c r="M230">
        <f>HYPERLINK("https://www.google.com/maps/search/?api=1&amp;query=-12.212951,-76.95874","Villa El Salvador, Lima")</f>
      </c>
      <c r="N230">
        <v>0</v>
      </c>
      <c r="O230">
        <v>100</v>
      </c>
      <c r="P230">
        <v>719099.9</v>
      </c>
      <c r="Q230" t="str">
        <v>117.95</v>
      </c>
      <c r="R230" t="str">
        <v/>
      </c>
      <c r="S230" t="str">
        <v/>
      </c>
      <c r="T230" t="str">
        <v/>
      </c>
      <c r="U230" t="str">
        <v/>
      </c>
    </row>
    <row r="231">
      <c r="A231" t="str">
        <v>230</v>
      </c>
      <c r="B231" t="str">
        <v>MASS BSF</v>
      </c>
      <c r="C231" t="str">
        <v>BXQ-847</v>
      </c>
      <c r="D231" t="str">
        <v>BXQ-847</v>
      </c>
      <c r="E231" t="str">
        <v/>
      </c>
      <c r="F231" t="str">
        <v>867162029843950</v>
      </c>
      <c r="G231" t="str">
        <v>TBD</v>
      </c>
      <c r="H231" t="str">
        <v/>
      </c>
      <c r="I231" t="str">
        <v>28/09/2026</v>
      </c>
      <c r="J231" t="str">
        <v>17:50:17</v>
      </c>
      <c r="K231">
        <v>-12.212951</v>
      </c>
      <c r="L231">
        <v>-76.95874</v>
      </c>
      <c r="M231">
        <f>HYPERLINK("https://www.google.com/maps/search/?api=1&amp;query=-12.212951,-76.95874","Villa El Salvador, Lima")</f>
      </c>
      <c r="N231">
        <v>0</v>
      </c>
      <c r="O231">
        <v>100</v>
      </c>
      <c r="P231">
        <v>719099.9</v>
      </c>
      <c r="Q231" t="str">
        <v>117.95</v>
      </c>
      <c r="R231" t="str">
        <v/>
      </c>
      <c r="S231" t="str">
        <v/>
      </c>
      <c r="T231" t="str">
        <v/>
      </c>
      <c r="U231" t="str">
        <v/>
      </c>
    </row>
    <row r="232">
      <c r="A232" t="str">
        <v>231</v>
      </c>
      <c r="B232" t="str">
        <v>MASS BSF</v>
      </c>
      <c r="C232" t="str">
        <v>BXQ-847</v>
      </c>
      <c r="D232" t="str">
        <v>BXQ-847</v>
      </c>
      <c r="E232" t="str">
        <v/>
      </c>
      <c r="F232" t="str">
        <v>867162029843950</v>
      </c>
      <c r="G232" t="str">
        <v>TBD</v>
      </c>
      <c r="H232" t="str">
        <v/>
      </c>
      <c r="I232" t="str">
        <v>28/09/2026</v>
      </c>
      <c r="J232" t="str">
        <v>18:20:22</v>
      </c>
      <c r="K232">
        <v>-12.212951</v>
      </c>
      <c r="L232">
        <v>-76.95874</v>
      </c>
      <c r="M232">
        <f>HYPERLINK("https://www.google.com/maps/search/?api=1&amp;query=-12.212951,-76.95874","Villa El Salvador, Lima")</f>
      </c>
      <c r="N232">
        <v>0</v>
      </c>
      <c r="O232">
        <v>100</v>
      </c>
      <c r="P232">
        <v>719099.9</v>
      </c>
      <c r="Q232" t="str">
        <v>117.95</v>
      </c>
      <c r="R232" t="str">
        <v/>
      </c>
      <c r="S232" t="str">
        <v/>
      </c>
      <c r="T232" t="str">
        <v/>
      </c>
      <c r="U232" t="str">
        <v/>
      </c>
    </row>
    <row r="233">
      <c r="A233" t="str">
        <v>232</v>
      </c>
      <c r="B233" t="str">
        <v>MASS BSF</v>
      </c>
      <c r="C233" t="str">
        <v>BXQ-847</v>
      </c>
      <c r="D233" t="str">
        <v>BXQ-847</v>
      </c>
      <c r="E233" t="str">
        <v/>
      </c>
      <c r="F233" t="str">
        <v>867162029843950</v>
      </c>
      <c r="G233" t="str">
        <v>TBD</v>
      </c>
      <c r="H233" t="str">
        <v/>
      </c>
      <c r="I233" t="str">
        <v>28/09/2026</v>
      </c>
      <c r="J233" t="str">
        <v>18:50:27</v>
      </c>
      <c r="K233">
        <v>-12.212951</v>
      </c>
      <c r="L233">
        <v>-76.95874</v>
      </c>
      <c r="M233">
        <f>HYPERLINK("https://www.google.com/maps/search/?api=1&amp;query=-12.212951,-76.95874","Villa El Salvador, Lima")</f>
      </c>
      <c r="N233">
        <v>0</v>
      </c>
      <c r="O233">
        <v>100</v>
      </c>
      <c r="P233">
        <v>719099.9</v>
      </c>
      <c r="Q233" t="str">
        <v>117.95</v>
      </c>
      <c r="R233" t="str">
        <v/>
      </c>
      <c r="S233" t="str">
        <v/>
      </c>
      <c r="T233" t="str">
        <v/>
      </c>
      <c r="U233" t="str">
        <v/>
      </c>
    </row>
    <row r="234">
      <c r="A234" t="str">
        <v>233</v>
      </c>
      <c r="B234" t="str">
        <v>MASS BSF</v>
      </c>
      <c r="C234" t="str">
        <v>BXQ-847</v>
      </c>
      <c r="D234" t="str">
        <v>BXQ-847</v>
      </c>
      <c r="E234" t="str">
        <v/>
      </c>
      <c r="F234" t="str">
        <v>867162029843950</v>
      </c>
      <c r="G234" t="str">
        <v>TBD</v>
      </c>
      <c r="H234" t="str">
        <v/>
      </c>
      <c r="I234" t="str">
        <v>28/09/2026</v>
      </c>
      <c r="J234" t="str">
        <v>19:20:31</v>
      </c>
      <c r="K234">
        <v>-12.212951</v>
      </c>
      <c r="L234">
        <v>-76.95874</v>
      </c>
      <c r="M234">
        <f>HYPERLINK("https://www.google.com/maps/search/?api=1&amp;query=-12.212951,-76.95874","Villa El Salvador, Lima")</f>
      </c>
      <c r="N234">
        <v>0</v>
      </c>
      <c r="O234">
        <v>100</v>
      </c>
      <c r="P234">
        <v>719099.9</v>
      </c>
      <c r="Q234" t="str">
        <v>117.95</v>
      </c>
      <c r="R234" t="str">
        <v/>
      </c>
      <c r="S234" t="str">
        <v/>
      </c>
      <c r="T234" t="str">
        <v/>
      </c>
      <c r="U234" t="str">
        <v/>
      </c>
    </row>
    <row r="235">
      <c r="A235" t="str">
        <v>234</v>
      </c>
      <c r="B235" t="str">
        <v>MASS BSF</v>
      </c>
      <c r="C235" t="str">
        <v>BXQ-847</v>
      </c>
      <c r="D235" t="str">
        <v>BXQ-847</v>
      </c>
      <c r="E235" t="str">
        <v/>
      </c>
      <c r="F235" t="str">
        <v>867162029843950</v>
      </c>
      <c r="G235" t="str">
        <v>TBD</v>
      </c>
      <c r="H235" t="str">
        <v/>
      </c>
      <c r="I235" t="str">
        <v>28/09/2026</v>
      </c>
      <c r="J235" t="str">
        <v>19:50:36</v>
      </c>
      <c r="K235">
        <v>-12.212951</v>
      </c>
      <c r="L235">
        <v>-76.95874</v>
      </c>
      <c r="M235">
        <f>HYPERLINK("https://www.google.com/maps/search/?api=1&amp;query=-12.212951,-76.95874","Villa El Salvador, Lima")</f>
      </c>
      <c r="N235">
        <v>0</v>
      </c>
      <c r="O235">
        <v>100</v>
      </c>
      <c r="P235">
        <v>719099.9</v>
      </c>
      <c r="Q235" t="str">
        <v>117.95</v>
      </c>
      <c r="R235" t="str">
        <v/>
      </c>
      <c r="S235" t="str">
        <v/>
      </c>
      <c r="T235" t="str">
        <v/>
      </c>
      <c r="U235" t="str">
        <v/>
      </c>
    </row>
    <row r="236">
      <c r="A236" t="str">
        <v>235</v>
      </c>
      <c r="B236" t="str">
        <v>MASS BSF</v>
      </c>
      <c r="C236" t="str">
        <v>BXQ-847</v>
      </c>
      <c r="D236" t="str">
        <v>BXQ-847</v>
      </c>
      <c r="E236" t="str">
        <v/>
      </c>
      <c r="F236" t="str">
        <v>867162029843950</v>
      </c>
      <c r="G236" t="str">
        <v>TBD</v>
      </c>
      <c r="H236" t="str">
        <v/>
      </c>
      <c r="I236" t="str">
        <v>28/09/2026</v>
      </c>
      <c r="J236" t="str">
        <v>20:20:41</v>
      </c>
      <c r="K236">
        <v>-12.212951</v>
      </c>
      <c r="L236">
        <v>-76.95874</v>
      </c>
      <c r="M236">
        <f>HYPERLINK("https://www.google.com/maps/search/?api=1&amp;query=-12.212951,-76.95874","Villa El Salvador, Lima")</f>
      </c>
      <c r="N236">
        <v>0</v>
      </c>
      <c r="O236">
        <v>100</v>
      </c>
      <c r="P236">
        <v>719099.9</v>
      </c>
      <c r="Q236" t="str">
        <v>117.95</v>
      </c>
      <c r="R236" t="str">
        <v/>
      </c>
      <c r="S236" t="str">
        <v/>
      </c>
      <c r="T236" t="str">
        <v/>
      </c>
      <c r="U236" t="str">
        <v/>
      </c>
    </row>
    <row r="237">
      <c r="A237" t="str">
        <v>236</v>
      </c>
      <c r="B237" t="str">
        <v>MASS BSF</v>
      </c>
      <c r="C237" t="str">
        <v>BXQ-847</v>
      </c>
      <c r="D237" t="str">
        <v>BXQ-847</v>
      </c>
      <c r="E237" t="str">
        <v/>
      </c>
      <c r="F237" t="str">
        <v>867162029843950</v>
      </c>
      <c r="G237" t="str">
        <v>TBD</v>
      </c>
      <c r="H237" t="str">
        <v/>
      </c>
      <c r="I237" t="str">
        <v>28/09/2026</v>
      </c>
      <c r="J237" t="str">
        <v>20:50:43</v>
      </c>
      <c r="K237">
        <v>-12.212951</v>
      </c>
      <c r="L237">
        <v>-76.95874</v>
      </c>
      <c r="M237">
        <f>HYPERLINK("https://www.google.com/maps/search/?api=1&amp;query=-12.212951,-76.95874","Villa El Salvador, Lima")</f>
      </c>
      <c r="N237">
        <v>0</v>
      </c>
      <c r="O237">
        <v>100</v>
      </c>
      <c r="P237">
        <v>719099.9</v>
      </c>
      <c r="Q237" t="str">
        <v>117.95</v>
      </c>
      <c r="R237" t="str">
        <v/>
      </c>
      <c r="S237" t="str">
        <v/>
      </c>
      <c r="T237" t="str">
        <v/>
      </c>
      <c r="U237" t="str">
        <v/>
      </c>
    </row>
    <row r="238">
      <c r="A238" t="str">
        <v>237</v>
      </c>
      <c r="B238" t="str">
        <v>MASS BSF</v>
      </c>
      <c r="C238" t="str">
        <v>BXQ-847</v>
      </c>
      <c r="D238" t="str">
        <v>BXQ-847</v>
      </c>
      <c r="E238" t="str">
        <v/>
      </c>
      <c r="F238" t="str">
        <v>867162029843950</v>
      </c>
      <c r="G238" t="str">
        <v>TBD</v>
      </c>
      <c r="H238" t="str">
        <v/>
      </c>
      <c r="I238" t="str">
        <v>28/09/2026</v>
      </c>
      <c r="J238" t="str">
        <v>21:01:13</v>
      </c>
      <c r="K238">
        <v>-12.212929</v>
      </c>
      <c r="L238">
        <v>-76.95875</v>
      </c>
      <c r="M238">
        <f>HYPERLINK("https://www.google.com/maps/search/?api=1&amp;query=-12.212929,-76.95875","Villa El Salvador, Lima")</f>
      </c>
      <c r="N238">
        <v>0</v>
      </c>
      <c r="O238">
        <v>100</v>
      </c>
      <c r="P238">
        <v>719099.9</v>
      </c>
      <c r="Q238" t="str">
        <v>117.95</v>
      </c>
      <c r="R238" t="str">
        <v/>
      </c>
      <c r="S238" t="str">
        <v/>
      </c>
      <c r="T238" t="str">
        <v/>
      </c>
      <c r="U238" t="str">
        <v/>
      </c>
    </row>
    <row r="239">
      <c r="A239" t="str">
        <v>238</v>
      </c>
      <c r="B239" t="str">
        <v>MASS BSF</v>
      </c>
      <c r="C239" t="str">
        <v>BXQ-847</v>
      </c>
      <c r="D239" t="str">
        <v>BXQ-847</v>
      </c>
      <c r="E239" t="str">
        <v/>
      </c>
      <c r="F239" t="str">
        <v>867162029843950</v>
      </c>
      <c r="G239" t="str">
        <v>TBD</v>
      </c>
      <c r="H239" t="str">
        <v/>
      </c>
      <c r="I239" t="str">
        <v>28/09/2026</v>
      </c>
      <c r="J239" t="str">
        <v>21:01:13</v>
      </c>
      <c r="K239">
        <v>-12.212929</v>
      </c>
      <c r="L239">
        <v>-76.95875</v>
      </c>
      <c r="M239">
        <f>HYPERLINK("https://www.google.com/maps/search/?api=1&amp;query=-12.212929,-76.95875","Villa El Salvador, Lima")</f>
      </c>
      <c r="N239">
        <v>0</v>
      </c>
      <c r="O239">
        <v>100</v>
      </c>
      <c r="P239">
        <v>719099.9</v>
      </c>
      <c r="Q239" t="str">
        <v>117.95</v>
      </c>
      <c r="R239" t="str">
        <v/>
      </c>
      <c r="S239" t="str">
        <v/>
      </c>
      <c r="T239" t="str">
        <v/>
      </c>
      <c r="U239" t="str">
        <v/>
      </c>
    </row>
    <row r="240">
      <c r="A240" t="str">
        <v>239</v>
      </c>
      <c r="B240" t="str">
        <v>MASS BSF</v>
      </c>
      <c r="C240" t="str">
        <v>BXQ-847</v>
      </c>
      <c r="D240" t="str">
        <v>BXQ-847</v>
      </c>
      <c r="E240" t="str">
        <v/>
      </c>
      <c r="F240" t="str">
        <v>867162029843950</v>
      </c>
      <c r="G240" t="str">
        <v>TBD</v>
      </c>
      <c r="H240" t="str">
        <v/>
      </c>
      <c r="I240" t="str">
        <v>28/09/2026</v>
      </c>
      <c r="J240" t="str">
        <v>21:31:14</v>
      </c>
      <c r="K240">
        <v>-12.212929</v>
      </c>
      <c r="L240">
        <v>-76.95875</v>
      </c>
      <c r="M240">
        <f>HYPERLINK("https://www.google.com/maps/search/?api=1&amp;query=-12.212929,-76.95875","Villa El Salvador, Lima")</f>
      </c>
      <c r="N240">
        <v>0</v>
      </c>
      <c r="O240">
        <v>100</v>
      </c>
      <c r="P240">
        <v>719099.9</v>
      </c>
      <c r="Q240" t="str">
        <v>117.95</v>
      </c>
      <c r="R240" t="str">
        <v/>
      </c>
      <c r="S240" t="str">
        <v/>
      </c>
      <c r="T240" t="str">
        <v/>
      </c>
      <c r="U240" t="str">
        <v/>
      </c>
    </row>
    <row r="241">
      <c r="A241" t="str">
        <v>240</v>
      </c>
      <c r="B241" t="str">
        <v>MASS BSF</v>
      </c>
      <c r="C241" t="str">
        <v>BXQ-847</v>
      </c>
      <c r="D241" t="str">
        <v>BXQ-847</v>
      </c>
      <c r="E241" t="str">
        <v/>
      </c>
      <c r="F241" t="str">
        <v>867162029843950</v>
      </c>
      <c r="G241" t="str">
        <v>TBD</v>
      </c>
      <c r="H241" t="str">
        <v/>
      </c>
      <c r="I241" t="str">
        <v>28/09/2026</v>
      </c>
      <c r="J241" t="str">
        <v>22:01:19</v>
      </c>
      <c r="K241">
        <v>-12.212929</v>
      </c>
      <c r="L241">
        <v>-76.95875</v>
      </c>
      <c r="M241">
        <f>HYPERLINK("https://www.google.com/maps/search/?api=1&amp;query=-12.212929,-76.95875","Villa El Salvador, Lima")</f>
      </c>
      <c r="N241">
        <v>0</v>
      </c>
      <c r="O241">
        <v>100</v>
      </c>
      <c r="P241">
        <v>719099.9</v>
      </c>
      <c r="Q241" t="str">
        <v>117.95</v>
      </c>
      <c r="R241" t="str">
        <v/>
      </c>
      <c r="S241" t="str">
        <v/>
      </c>
      <c r="T241" t="str">
        <v/>
      </c>
      <c r="U241" t="str">
        <v/>
      </c>
    </row>
    <row r="242">
      <c r="A242" t="str">
        <v>241</v>
      </c>
      <c r="B242" t="str">
        <v>MASS BSF</v>
      </c>
      <c r="C242" t="str">
        <v>BXQ-847</v>
      </c>
      <c r="D242" t="str">
        <v>BXQ-847</v>
      </c>
      <c r="E242" t="str">
        <v/>
      </c>
      <c r="F242" t="str">
        <v>867162029843950</v>
      </c>
      <c r="G242" t="str">
        <v>TBD</v>
      </c>
      <c r="H242" t="str">
        <v/>
      </c>
      <c r="I242" t="str">
        <v>28/09/2026</v>
      </c>
      <c r="J242" t="str">
        <v>22:31:24</v>
      </c>
      <c r="K242">
        <v>-12.212929</v>
      </c>
      <c r="L242">
        <v>-76.95875</v>
      </c>
      <c r="M242">
        <f>HYPERLINK("https://www.google.com/maps/search/?api=1&amp;query=-12.212929,-76.95875","Villa El Salvador, Lima")</f>
      </c>
      <c r="N242">
        <v>0</v>
      </c>
      <c r="O242">
        <v>100</v>
      </c>
      <c r="P242">
        <v>719099.9</v>
      </c>
      <c r="Q242" t="str">
        <v>117.95</v>
      </c>
      <c r="R242" t="str">
        <v/>
      </c>
      <c r="S242" t="str">
        <v/>
      </c>
      <c r="T242" t="str">
        <v/>
      </c>
      <c r="U242" t="str">
        <v/>
      </c>
    </row>
    <row r="243">
      <c r="A243" t="str">
        <v>242</v>
      </c>
      <c r="B243" t="str">
        <v>MASS BSF</v>
      </c>
      <c r="C243" t="str">
        <v>BXQ-847</v>
      </c>
      <c r="D243" t="str">
        <v>BXQ-847</v>
      </c>
      <c r="E243" t="str">
        <v/>
      </c>
      <c r="F243" t="str">
        <v>867162029843950</v>
      </c>
      <c r="G243" t="str">
        <v>TBD</v>
      </c>
      <c r="H243" t="str">
        <v/>
      </c>
      <c r="I243" t="str">
        <v>28/09/2026</v>
      </c>
      <c r="J243" t="str">
        <v>23:01:28</v>
      </c>
      <c r="K243">
        <v>-12.212929</v>
      </c>
      <c r="L243">
        <v>-76.95875</v>
      </c>
      <c r="M243">
        <f>HYPERLINK("https://www.google.com/maps/search/?api=1&amp;query=-12.212929,-76.95875","Villa El Salvador, Lima")</f>
      </c>
      <c r="N243">
        <v>0</v>
      </c>
      <c r="O243">
        <v>100</v>
      </c>
      <c r="P243">
        <v>719099.9</v>
      </c>
      <c r="Q243" t="str">
        <v>117.95</v>
      </c>
      <c r="R243" t="str">
        <v/>
      </c>
      <c r="S243" t="str">
        <v/>
      </c>
      <c r="T243" t="str">
        <v/>
      </c>
      <c r="U243" t="str">
        <v/>
      </c>
    </row>
    <row r="244">
      <c r="A244" t="str">
        <v>243</v>
      </c>
      <c r="B244" t="str">
        <v>MASS BSF</v>
      </c>
      <c r="C244" t="str">
        <v>BXQ-847</v>
      </c>
      <c r="D244" t="str">
        <v>BXQ-847</v>
      </c>
      <c r="E244" t="str">
        <v/>
      </c>
      <c r="F244" t="str">
        <v>867162029843950</v>
      </c>
      <c r="G244" t="str">
        <v>TBD</v>
      </c>
      <c r="H244" t="str">
        <v/>
      </c>
      <c r="I244" t="str">
        <v>28/09/2026</v>
      </c>
      <c r="J244" t="str">
        <v>23:31:33</v>
      </c>
      <c r="K244">
        <v>-12.212929</v>
      </c>
      <c r="L244">
        <v>-76.95875</v>
      </c>
      <c r="M244">
        <f>HYPERLINK("https://www.google.com/maps/search/?api=1&amp;query=-12.212929,-76.95875","Villa El Salvador, Lima")</f>
      </c>
      <c r="N244">
        <v>0</v>
      </c>
      <c r="O244">
        <v>100</v>
      </c>
      <c r="P244">
        <v>719099.9</v>
      </c>
      <c r="Q244" t="str">
        <v>117.95</v>
      </c>
      <c r="R244" t="str">
        <v/>
      </c>
      <c r="S244" t="str">
        <v/>
      </c>
      <c r="T244" t="str">
        <v/>
      </c>
      <c r="U244" t="str">
        <v/>
      </c>
    </row>
  </sheetData>
  <ignoredErrors>
    <ignoredError numberStoredAsText="1" sqref="A1:U2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Location World</dc:creator>
  <dc:subject>Report History</dc:subject>
  <dc:title>Report History</dc:title>
</cp:coreProperties>
</file>