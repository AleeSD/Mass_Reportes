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8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Velocidad (Km/h)</v>
      </c>
      <c r="O1" t="str">
        <v>% Batería</v>
      </c>
      <c r="P1" t="str">
        <v>Odómetro (Km)</v>
      </c>
      <c r="Q1" t="str">
        <v>Horómetro (Hrs)</v>
      </c>
      <c r="R1" t="str">
        <v>Alerta</v>
      </c>
      <c r="S1" t="str">
        <v>Zona/Marca</v>
      </c>
      <c r="T1" t="str">
        <v>Conductor</v>
      </c>
      <c r="U1" t="str">
        <v>Notas</v>
      </c>
    </row>
    <row r="2">
      <c r="A2" t="str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>28/09/2026</v>
      </c>
      <c r="J2" t="str">
        <v>00:03:00</v>
      </c>
      <c r="K2">
        <v>-12.170493</v>
      </c>
      <c r="L2">
        <v>-76.92907</v>
      </c>
      <c r="M2">
        <f>HYPERLINK("https://www.google.com/maps/search/?api=1&amp;query=-12.170493,-76.92907","Avenida 28 de Julio, Villa María del Triunfo, Lima")</f>
      </c>
      <c r="N2">
        <v>0</v>
      </c>
      <c r="O2">
        <v>14</v>
      </c>
      <c r="P2">
        <v>295597.15</v>
      </c>
      <c r="Q2" t="str">
        <v>129.75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>28/09/2026</v>
      </c>
      <c r="J3" t="str">
        <v>00:13:00</v>
      </c>
      <c r="K3">
        <v>-12.170493</v>
      </c>
      <c r="L3">
        <v>-76.92907</v>
      </c>
      <c r="M3">
        <f>HYPERLINK("https://www.google.com/maps/search/?api=1&amp;query=-12.170493,-76.92907","Avenida 28 de Julio, Villa María del Triunfo, Lima")</f>
      </c>
      <c r="N3">
        <v>0</v>
      </c>
      <c r="O3">
        <v>14</v>
      </c>
      <c r="P3">
        <v>295597.15</v>
      </c>
      <c r="Q3" t="str">
        <v>129.75</v>
      </c>
      <c r="R3" t="str">
        <v/>
      </c>
      <c r="S3" t="str">
        <v/>
      </c>
      <c r="T3" t="str">
        <v/>
      </c>
      <c r="U3" t="str">
        <v/>
      </c>
    </row>
    <row r="4">
      <c r="A4" t="str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>28/09/2026</v>
      </c>
      <c r="J4" t="str">
        <v>00:23:00</v>
      </c>
      <c r="K4">
        <v>-12.170493</v>
      </c>
      <c r="L4">
        <v>-76.92907</v>
      </c>
      <c r="M4">
        <f>HYPERLINK("https://www.google.com/maps/search/?api=1&amp;query=-12.170493,-76.92907","Avenida 28 de Julio, Villa María del Triunfo, Lima")</f>
      </c>
      <c r="N4">
        <v>0</v>
      </c>
      <c r="O4">
        <v>14</v>
      </c>
      <c r="P4">
        <v>295597.15</v>
      </c>
      <c r="Q4" t="str">
        <v>129.75</v>
      </c>
      <c r="R4" t="str">
        <v/>
      </c>
      <c r="S4" t="str">
        <v/>
      </c>
      <c r="T4" t="str">
        <v/>
      </c>
      <c r="U4" t="str">
        <v/>
      </c>
    </row>
    <row r="5">
      <c r="A5" t="str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>28/09/2026</v>
      </c>
      <c r="J5" t="str">
        <v>00:33:00</v>
      </c>
      <c r="K5">
        <v>-12.170493</v>
      </c>
      <c r="L5">
        <v>-76.92907</v>
      </c>
      <c r="M5">
        <f>HYPERLINK("https://www.google.com/maps/search/?api=1&amp;query=-12.170493,-76.92907","Avenida 28 de Julio, Villa María del Triunfo, Lima")</f>
      </c>
      <c r="N5">
        <v>0</v>
      </c>
      <c r="O5">
        <v>14</v>
      </c>
      <c r="P5">
        <v>295597.15</v>
      </c>
      <c r="Q5" t="str">
        <v>129.75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>28/09/2026</v>
      </c>
      <c r="J6" t="str">
        <v>00:43:00</v>
      </c>
      <c r="K6">
        <v>-12.170493</v>
      </c>
      <c r="L6">
        <v>-76.92907</v>
      </c>
      <c r="M6">
        <f>HYPERLINK("https://www.google.com/maps/search/?api=1&amp;query=-12.170493,-76.92907","Avenida 28 de Julio, Villa María del Triunfo, Lima")</f>
      </c>
      <c r="N6">
        <v>0</v>
      </c>
      <c r="O6">
        <v>14</v>
      </c>
      <c r="P6">
        <v>295597.15</v>
      </c>
      <c r="Q6" t="str">
        <v>129.75</v>
      </c>
      <c r="R6" t="str">
        <v/>
      </c>
      <c r="S6" t="str">
        <v/>
      </c>
      <c r="T6" t="str">
        <v/>
      </c>
      <c r="U6" t="str">
        <v/>
      </c>
    </row>
    <row r="7">
      <c r="A7" t="str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>28/09/2026</v>
      </c>
      <c r="J7" t="str">
        <v>00:53:00</v>
      </c>
      <c r="K7">
        <v>-12.170493</v>
      </c>
      <c r="L7">
        <v>-76.92907</v>
      </c>
      <c r="M7">
        <f>HYPERLINK("https://www.google.com/maps/search/?api=1&amp;query=-12.170493,-76.92907","Avenida 28 de Julio, Villa María del Triunfo, Lima")</f>
      </c>
      <c r="N7">
        <v>0</v>
      </c>
      <c r="O7">
        <v>14</v>
      </c>
      <c r="P7">
        <v>295597.15</v>
      </c>
      <c r="Q7" t="str">
        <v>129.75</v>
      </c>
      <c r="R7" t="str">
        <v/>
      </c>
      <c r="S7" t="str">
        <v/>
      </c>
      <c r="T7" t="str">
        <v/>
      </c>
      <c r="U7" t="str">
        <v/>
      </c>
    </row>
    <row r="8">
      <c r="A8" t="str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>28/09/2026</v>
      </c>
      <c r="J8" t="str">
        <v>01:03:00</v>
      </c>
      <c r="K8">
        <v>-12.170493</v>
      </c>
      <c r="L8">
        <v>-76.92907</v>
      </c>
      <c r="M8">
        <f>HYPERLINK("https://www.google.com/maps/search/?api=1&amp;query=-12.170493,-76.92907","Avenida 28 de Julio, Villa María del Triunfo, Lima")</f>
      </c>
      <c r="N8">
        <v>0</v>
      </c>
      <c r="O8">
        <v>0</v>
      </c>
      <c r="P8">
        <v>295597.15</v>
      </c>
      <c r="Q8" t="str">
        <v>129.75</v>
      </c>
      <c r="R8" t="str">
        <v/>
      </c>
      <c r="S8" t="str">
        <v/>
      </c>
      <c r="T8" t="str">
        <v/>
      </c>
      <c r="U8" t="str">
        <v/>
      </c>
    </row>
    <row r="9">
      <c r="A9" t="str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>28/09/2026</v>
      </c>
      <c r="J9" t="str">
        <v>01:13:00</v>
      </c>
      <c r="K9">
        <v>-12.170493</v>
      </c>
      <c r="L9">
        <v>-76.92907</v>
      </c>
      <c r="M9">
        <f>HYPERLINK("https://www.google.com/maps/search/?api=1&amp;query=-12.170493,-76.92907","Avenida 28 de Julio, Villa María del Triunfo, Lima")</f>
      </c>
      <c r="N9">
        <v>0</v>
      </c>
      <c r="O9">
        <v>0</v>
      </c>
      <c r="P9">
        <v>295597.15</v>
      </c>
      <c r="Q9" t="str">
        <v>129.75</v>
      </c>
      <c r="R9" t="str">
        <v/>
      </c>
      <c r="S9" t="str">
        <v/>
      </c>
      <c r="T9" t="str">
        <v/>
      </c>
      <c r="U9" t="str">
        <v/>
      </c>
    </row>
    <row r="10">
      <c r="A10" t="str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>28/09/2026</v>
      </c>
      <c r="J10" t="str">
        <v>01:23:00</v>
      </c>
      <c r="K10">
        <v>-12.170493</v>
      </c>
      <c r="L10">
        <v>-76.92907</v>
      </c>
      <c r="M10">
        <f>HYPERLINK("https://www.google.com/maps/search/?api=1&amp;query=-12.170493,-76.92907","Avenida 28 de Julio, Villa María del Triunfo, Lima")</f>
      </c>
      <c r="N10">
        <v>0</v>
      </c>
      <c r="O10">
        <v>0</v>
      </c>
      <c r="P10">
        <v>295597.15</v>
      </c>
      <c r="Q10" t="str">
        <v>129.75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>28/09/2026</v>
      </c>
      <c r="J11" t="str">
        <v>01:33:00</v>
      </c>
      <c r="K11">
        <v>-12.170493</v>
      </c>
      <c r="L11">
        <v>-76.92907</v>
      </c>
      <c r="M11">
        <f>HYPERLINK("https://www.google.com/maps/search/?api=1&amp;query=-12.170493,-76.92907","Avenida 28 de Julio, Villa María del Triunfo, Lima")</f>
      </c>
      <c r="N11">
        <v>0</v>
      </c>
      <c r="O11">
        <v>0</v>
      </c>
      <c r="P11">
        <v>295597.15</v>
      </c>
      <c r="Q11" t="str">
        <v>129.75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>28/09/2026</v>
      </c>
      <c r="J12" t="str">
        <v>05:34:47</v>
      </c>
      <c r="K12">
        <v>-12.170493</v>
      </c>
      <c r="L12">
        <v>-76.92907</v>
      </c>
      <c r="M12">
        <f>HYPERLINK("https://www.google.com/maps/search/?api=1&amp;query=-12.170493,-76.92907","Avenida 28 de Julio, Villa María del Triunfo, Lima")</f>
      </c>
      <c r="N12">
        <v>0</v>
      </c>
      <c r="O12">
        <v>0</v>
      </c>
      <c r="P12">
        <v>295597.15</v>
      </c>
      <c r="Q12" t="str">
        <v>129.75</v>
      </c>
      <c r="R12" t="str">
        <v>Vehículo encendido</v>
      </c>
      <c r="S12" t="str">
        <v/>
      </c>
      <c r="T12" t="str">
        <v/>
      </c>
      <c r="U12" t="str">
        <v/>
      </c>
    </row>
    <row r="13">
      <c r="A13" t="str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>28/09/2026</v>
      </c>
      <c r="J13" t="str">
        <v>05:35:20</v>
      </c>
      <c r="K13">
        <v>-12.17048</v>
      </c>
      <c r="L13">
        <v>-76.92907</v>
      </c>
      <c r="M13">
        <f>HYPERLINK("https://www.google.com/maps/search/?api=1&amp;query=-12.17048,-76.92907","Avenida 28 de Julio, Villa María del Triunfo, Lima")</f>
      </c>
      <c r="N13">
        <v>0</v>
      </c>
      <c r="O13">
        <v>0</v>
      </c>
      <c r="P13">
        <v>295597.15</v>
      </c>
      <c r="Q13" t="str">
        <v>129.75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>28/09/2026</v>
      </c>
      <c r="J14" t="str">
        <v>05:35:47</v>
      </c>
      <c r="K14">
        <v>-12.170485</v>
      </c>
      <c r="L14">
        <v>-76.92909</v>
      </c>
      <c r="M14">
        <f>HYPERLINK("https://www.google.com/maps/search/?api=1&amp;query=-12.170485,-76.92909","Avenida 28 de Julio, Villa María del Triunfo, Lima")</f>
      </c>
      <c r="N14">
        <v>0</v>
      </c>
      <c r="O14">
        <v>0</v>
      </c>
      <c r="P14">
        <v>295597.15</v>
      </c>
      <c r="Q14" t="str">
        <v>129.75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>28/09/2026</v>
      </c>
      <c r="J15" t="str">
        <v>05:36:23</v>
      </c>
      <c r="K15">
        <v>-12.170485</v>
      </c>
      <c r="L15">
        <v>-76.92909</v>
      </c>
      <c r="M15">
        <f>HYPERLINK("https://www.google.com/maps/search/?api=1&amp;query=-12.170485,-76.92909","Avenida 28 de Julio, Villa María del Triunfo, Lima")</f>
      </c>
      <c r="N15">
        <v>0</v>
      </c>
      <c r="O15">
        <v>22</v>
      </c>
      <c r="P15">
        <v>295597.15</v>
      </c>
      <c r="Q15" t="str">
        <v>129.75</v>
      </c>
      <c r="R15" t="str">
        <v>Encendido o Entró en cobertura</v>
      </c>
      <c r="S15" t="str">
        <v/>
      </c>
      <c r="T15" t="str">
        <v/>
      </c>
      <c r="U15" t="str">
        <v/>
      </c>
    </row>
    <row r="16">
      <c r="A16" t="str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>28/09/2026</v>
      </c>
      <c r="J16" t="str">
        <v>05:36:47</v>
      </c>
      <c r="K16">
        <v>-12.170486</v>
      </c>
      <c r="L16">
        <v>-76.929115</v>
      </c>
      <c r="M16">
        <f>HYPERLINK("https://www.google.com/maps/search/?api=1&amp;query=-12.170486,-76.929115","Avenida 28 de Julio, Villa María del Triunfo, Lima")</f>
      </c>
      <c r="N16">
        <v>0</v>
      </c>
      <c r="O16">
        <v>22</v>
      </c>
      <c r="P16">
        <v>295597.15</v>
      </c>
      <c r="Q16" t="str">
        <v>129.75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>28/09/2026</v>
      </c>
      <c r="J17" t="str">
        <v>05:37:47</v>
      </c>
      <c r="K17">
        <v>-12.17049</v>
      </c>
      <c r="L17">
        <v>-76.929115</v>
      </c>
      <c r="M17">
        <f>HYPERLINK("https://www.google.com/maps/search/?api=1&amp;query=-12.17049,-76.929115","Avenida 28 de Julio, Villa María del Triunfo, Lima")</f>
      </c>
      <c r="N17">
        <v>0</v>
      </c>
      <c r="O17">
        <v>22</v>
      </c>
      <c r="P17">
        <v>295597.15</v>
      </c>
      <c r="Q17" t="str">
        <v>129.75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>28/09/2026</v>
      </c>
      <c r="J18" t="str">
        <v>05:38:20</v>
      </c>
      <c r="K18">
        <v>-12.170491</v>
      </c>
      <c r="L18">
        <v>-76.92912</v>
      </c>
      <c r="M18">
        <f>HYPERLINK("https://www.google.com/maps/search/?api=1&amp;query=-12.170491,-76.92912","Avenida 28 de Julio, Villa María del Triunfo, Lima")</f>
      </c>
      <c r="N18">
        <v>0</v>
      </c>
      <c r="O18">
        <v>29</v>
      </c>
      <c r="P18">
        <v>295597.15</v>
      </c>
      <c r="Q18" t="str">
        <v>129.75</v>
      </c>
      <c r="R18" t="str">
        <v>Inicio de ralentí</v>
      </c>
      <c r="S18" t="str">
        <v/>
      </c>
      <c r="T18" t="str">
        <v/>
      </c>
      <c r="U18" t="str">
        <v/>
      </c>
    </row>
    <row r="19">
      <c r="A19" t="str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>28/09/2026</v>
      </c>
      <c r="J19" t="str">
        <v>05:38:47</v>
      </c>
      <c r="K19">
        <v>-12.170504</v>
      </c>
      <c r="L19">
        <v>-76.92917</v>
      </c>
      <c r="M19">
        <f>HYPERLINK("https://www.google.com/maps/search/?api=1&amp;query=-12.170504,-76.92917","Avenida 28 de Julio, Villa María del Triunfo, Lima")</f>
      </c>
      <c r="N19">
        <v>0</v>
      </c>
      <c r="O19">
        <v>29</v>
      </c>
      <c r="P19">
        <v>295597.15</v>
      </c>
      <c r="Q19" t="str">
        <v>129.75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>28/09/2026</v>
      </c>
      <c r="J20" t="str">
        <v>05:38:57</v>
      </c>
      <c r="K20">
        <v>-12.170535</v>
      </c>
      <c r="L20">
        <v>-76.929184</v>
      </c>
      <c r="M20">
        <f>HYPERLINK("https://www.google.com/maps/search/?api=1&amp;query=-12.170535,-76.929184","Avenida 28 de Julio, Villa María del Triunfo, Lima")</f>
      </c>
      <c r="N20">
        <v>0</v>
      </c>
      <c r="O20">
        <v>29</v>
      </c>
      <c r="P20">
        <v>295597.15</v>
      </c>
      <c r="Q20" t="str">
        <v>129.75</v>
      </c>
      <c r="R20" t="str">
        <v>Se movio</v>
      </c>
      <c r="S20" t="str">
        <v/>
      </c>
      <c r="T20" t="str">
        <v/>
      </c>
      <c r="U20" t="str">
        <v/>
      </c>
    </row>
    <row r="21">
      <c r="A21" t="str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>28/09/2026</v>
      </c>
      <c r="J21" t="str">
        <v>05:39:47</v>
      </c>
      <c r="K21">
        <v>-12.170468</v>
      </c>
      <c r="L21">
        <v>-76.92904</v>
      </c>
      <c r="M21">
        <f>HYPERLINK("https://www.google.com/maps/search/?api=1&amp;query=-12.170468,-76.92904","Avenida 28 de Julio, Villa María del Triunfo, Lima")</f>
      </c>
      <c r="N21">
        <v>0</v>
      </c>
      <c r="O21">
        <v>29</v>
      </c>
      <c r="P21">
        <v>295597.15</v>
      </c>
      <c r="Q21" t="str">
        <v>129.75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>28/09/2026</v>
      </c>
      <c r="J22" t="str">
        <v>05:39:58</v>
      </c>
      <c r="K22">
        <v>-12.170468</v>
      </c>
      <c r="L22">
        <v>-76.92905</v>
      </c>
      <c r="M22">
        <f>HYPERLINK("https://www.google.com/maps/search/?api=1&amp;query=-12.170468,-76.92905","Avenida 28 de Julio, Villa María del Triunfo, Lima")</f>
      </c>
      <c r="N22">
        <v>0</v>
      </c>
      <c r="O22">
        <v>29</v>
      </c>
      <c r="P22">
        <v>295597.15</v>
      </c>
      <c r="Q22" t="str">
        <v>129.83</v>
      </c>
      <c r="R22" t="str">
        <v>Vehículo apagado</v>
      </c>
      <c r="S22" t="str">
        <v/>
      </c>
      <c r="T22" t="str">
        <v/>
      </c>
      <c r="U22" t="str">
        <v/>
      </c>
    </row>
    <row r="23">
      <c r="A23" t="str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>28/09/2026</v>
      </c>
      <c r="J23" t="str">
        <v>05:39:58</v>
      </c>
      <c r="K23">
        <v>-12.170468</v>
      </c>
      <c r="L23">
        <v>-76.92905</v>
      </c>
      <c r="M23">
        <f>HYPERLINK("https://www.google.com/maps/search/?api=1&amp;query=-12.170468,-76.92905","Avenida 28 de Julio, Villa María del Triunfo, Lima")</f>
      </c>
      <c r="N23">
        <v>0</v>
      </c>
      <c r="O23">
        <v>29</v>
      </c>
      <c r="P23">
        <v>295597.15</v>
      </c>
      <c r="Q23" t="str">
        <v>129.75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>28/09/2026</v>
      </c>
      <c r="J24" t="str">
        <v>05:39:58</v>
      </c>
      <c r="K24">
        <v>-12.170468</v>
      </c>
      <c r="L24">
        <v>-76.92905</v>
      </c>
      <c r="M24">
        <f>HYPERLINK("https://www.google.com/maps/search/?api=1&amp;query=-12.170468,-76.92905","Avenida 28 de Julio, Villa María del Triunfo, Lima")</f>
      </c>
      <c r="N24">
        <v>0</v>
      </c>
      <c r="O24">
        <v>29</v>
      </c>
      <c r="P24">
        <v>295597.15</v>
      </c>
      <c r="Q24" t="str">
        <v>129.75</v>
      </c>
      <c r="R24" t="str">
        <v>Fin de ralentí</v>
      </c>
      <c r="S24" t="str">
        <v/>
      </c>
      <c r="T24" t="str">
        <v/>
      </c>
      <c r="U24" t="str">
        <v/>
      </c>
    </row>
    <row r="25">
      <c r="A25" t="str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>28/09/2026</v>
      </c>
      <c r="J25" t="str">
        <v>05:49:58</v>
      </c>
      <c r="K25">
        <v>-12.170488</v>
      </c>
      <c r="L25">
        <v>-76.929</v>
      </c>
      <c r="M25">
        <f>HYPERLINK("https://www.google.com/maps/search/?api=1&amp;query=-12.170488,-76.929","Avenida 28 de Julio, Villa María del Triunfo, Lima")</f>
      </c>
      <c r="N25">
        <v>0</v>
      </c>
      <c r="O25">
        <v>29</v>
      </c>
      <c r="P25">
        <v>295597.15</v>
      </c>
      <c r="Q25" t="str">
        <v>129.83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>28/09/2026</v>
      </c>
      <c r="J26" t="str">
        <v>05:59:58</v>
      </c>
      <c r="K26">
        <v>-12.170488</v>
      </c>
      <c r="L26">
        <v>-76.929</v>
      </c>
      <c r="M26">
        <f>HYPERLINK("https://www.google.com/maps/search/?api=1&amp;query=-12.170488,-76.929","Avenida 28 de Julio, Villa María del Triunfo, Lima")</f>
      </c>
      <c r="N26">
        <v>0</v>
      </c>
      <c r="O26">
        <v>5</v>
      </c>
      <c r="P26">
        <v>295597.15</v>
      </c>
      <c r="Q26" t="str">
        <v>129.83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>28/09/2026</v>
      </c>
      <c r="J27" t="str">
        <v>06:09:58</v>
      </c>
      <c r="K27">
        <v>-12.170488</v>
      </c>
      <c r="L27">
        <v>-76.929</v>
      </c>
      <c r="M27">
        <f>HYPERLINK("https://www.google.com/maps/search/?api=1&amp;query=-12.170488,-76.929","Avenida 28 de Julio, Villa María del Triunfo, Lima")</f>
      </c>
      <c r="N27">
        <v>0</v>
      </c>
      <c r="O27">
        <v>5</v>
      </c>
      <c r="P27">
        <v>295597.15</v>
      </c>
      <c r="Q27" t="str">
        <v>129.83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>28/09/2026</v>
      </c>
      <c r="J28" t="str">
        <v>06:19:58</v>
      </c>
      <c r="K28">
        <v>-12.170488</v>
      </c>
      <c r="L28">
        <v>-76.929</v>
      </c>
      <c r="M28">
        <f>HYPERLINK("https://www.google.com/maps/search/?api=1&amp;query=-12.170488,-76.929","Avenida 28 de Julio, Villa María del Triunfo, Lima")</f>
      </c>
      <c r="N28">
        <v>0</v>
      </c>
      <c r="O28">
        <v>6</v>
      </c>
      <c r="P28">
        <v>295597.15</v>
      </c>
      <c r="Q28" t="str">
        <v>129.83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>28/09/2026</v>
      </c>
      <c r="J29" t="str">
        <v>06:29:58</v>
      </c>
      <c r="K29">
        <v>-12.170488</v>
      </c>
      <c r="L29">
        <v>-76.929</v>
      </c>
      <c r="M29">
        <f>HYPERLINK("https://www.google.com/maps/search/?api=1&amp;query=-12.170488,-76.929","Avenida 28 de Julio, Villa María del Triunfo, Lima")</f>
      </c>
      <c r="N29">
        <v>0</v>
      </c>
      <c r="O29">
        <v>3</v>
      </c>
      <c r="P29">
        <v>295597.15</v>
      </c>
      <c r="Q29" t="str">
        <v>129.83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>28/09/2026</v>
      </c>
      <c r="J30" t="str">
        <v>06:39:58</v>
      </c>
      <c r="K30">
        <v>-12.170488</v>
      </c>
      <c r="L30">
        <v>-76.929</v>
      </c>
      <c r="M30">
        <f>HYPERLINK("https://www.google.com/maps/search/?api=1&amp;query=-12.170488,-76.929","Avenida 28 de Julio, Villa María del Triunfo, Lima")</f>
      </c>
      <c r="N30">
        <v>0</v>
      </c>
      <c r="O30">
        <v>6</v>
      </c>
      <c r="P30">
        <v>295597.15</v>
      </c>
      <c r="Q30" t="str">
        <v>129.83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>28/09/2026</v>
      </c>
      <c r="J31" t="str">
        <v>06:47:24</v>
      </c>
      <c r="K31">
        <v>-12.170473</v>
      </c>
      <c r="L31">
        <v>-76.92901</v>
      </c>
      <c r="M31">
        <f>HYPERLINK("https://www.google.com/maps/search/?api=1&amp;query=-12.170473,-76.92901","Avenida 28 de Julio, Villa María del Triunfo, Lima")</f>
      </c>
      <c r="N31">
        <v>0</v>
      </c>
      <c r="O31">
        <v>7</v>
      </c>
      <c r="P31">
        <v>295597.15</v>
      </c>
      <c r="Q31" t="str">
        <v>129.83</v>
      </c>
      <c r="R31" t="str">
        <v>Vehículo encendido</v>
      </c>
      <c r="S31" t="str">
        <v/>
      </c>
      <c r="T31" t="str">
        <v/>
      </c>
      <c r="U31" t="str">
        <v/>
      </c>
    </row>
    <row r="32">
      <c r="A32" t="str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>28/09/2026</v>
      </c>
      <c r="J32" t="str">
        <v>06:47:49</v>
      </c>
      <c r="K32">
        <v>-12.17048</v>
      </c>
      <c r="L32">
        <v>-76.92901</v>
      </c>
      <c r="M32">
        <f>HYPERLINK("https://www.google.com/maps/search/?api=1&amp;query=-12.17048,-76.92901","Avenida 28 de Julio, Villa María del Triunfo, Lima")</f>
      </c>
      <c r="N32">
        <v>0</v>
      </c>
      <c r="O32">
        <v>7</v>
      </c>
      <c r="P32">
        <v>295597.15</v>
      </c>
      <c r="Q32" t="str">
        <v>129.83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>28/09/2026</v>
      </c>
      <c r="J33" t="str">
        <v>06:48:24</v>
      </c>
      <c r="K33">
        <v>-12.170491</v>
      </c>
      <c r="L33">
        <v>-76.92901</v>
      </c>
      <c r="M33">
        <f>HYPERLINK("https://www.google.com/maps/search/?api=1&amp;query=-12.170491,-76.92901","Avenida 28 de Julio, Villa María del Triunfo, Lima")</f>
      </c>
      <c r="N33">
        <v>0</v>
      </c>
      <c r="O33">
        <v>7</v>
      </c>
      <c r="P33">
        <v>295597.15</v>
      </c>
      <c r="Q33" t="str">
        <v>129.83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>28/09/2026</v>
      </c>
      <c r="J34" t="str">
        <v>06:49:24</v>
      </c>
      <c r="K34">
        <v>-12.170495</v>
      </c>
      <c r="L34">
        <v>-76.929016</v>
      </c>
      <c r="M34">
        <f>HYPERLINK("https://www.google.com/maps/search/?api=1&amp;query=-12.170495,-76.929016","Avenida 28 de Julio, Villa María del Triunfo, Lima")</f>
      </c>
      <c r="N34">
        <v>0</v>
      </c>
      <c r="O34">
        <v>7</v>
      </c>
      <c r="P34">
        <v>295597.15</v>
      </c>
      <c r="Q34" t="str">
        <v>129.83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>28/09/2026</v>
      </c>
      <c r="J35" t="str">
        <v>06:50:24</v>
      </c>
      <c r="K35">
        <v>-12.170486</v>
      </c>
      <c r="L35">
        <v>-76.929</v>
      </c>
      <c r="M35">
        <f>HYPERLINK("https://www.google.com/maps/search/?api=1&amp;query=-12.170486,-76.929","Avenida 28 de Julio, Villa María del Triunfo, Lima")</f>
      </c>
      <c r="N35">
        <v>0</v>
      </c>
      <c r="O35">
        <v>25</v>
      </c>
      <c r="P35">
        <v>295597.2</v>
      </c>
      <c r="Q35" t="str">
        <v>129.83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>28/09/2026</v>
      </c>
      <c r="J36" t="str">
        <v>06:50:49</v>
      </c>
      <c r="K36">
        <v>-12.170486</v>
      </c>
      <c r="L36">
        <v>-76.92901</v>
      </c>
      <c r="M36">
        <f>HYPERLINK("https://www.google.com/maps/search/?api=1&amp;query=-12.170486,-76.92901","Avenida 28 de Julio, Villa María del Triunfo, Lima")</f>
      </c>
      <c r="N36">
        <v>0</v>
      </c>
      <c r="O36">
        <v>25</v>
      </c>
      <c r="P36">
        <v>295597.2</v>
      </c>
      <c r="Q36" t="str">
        <v>129.83</v>
      </c>
      <c r="R36" t="str">
        <v>Inicio de ralentí</v>
      </c>
      <c r="S36" t="str">
        <v/>
      </c>
      <c r="T36" t="str">
        <v/>
      </c>
      <c r="U36" t="str">
        <v/>
      </c>
    </row>
    <row r="37">
      <c r="A37" t="str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>28/09/2026</v>
      </c>
      <c r="J37" t="str">
        <v>06:51:24</v>
      </c>
      <c r="K37">
        <v>-12.170506</v>
      </c>
      <c r="L37">
        <v>-76.92901</v>
      </c>
      <c r="M37">
        <f>HYPERLINK("https://www.google.com/maps/search/?api=1&amp;query=-12.170506,-76.92901","Avenida 28 de Julio, Villa María del Triunfo, Lima")</f>
      </c>
      <c r="N37">
        <v>0</v>
      </c>
      <c r="O37">
        <v>25</v>
      </c>
      <c r="P37">
        <v>295597.2</v>
      </c>
      <c r="Q37" t="str">
        <v>129.83</v>
      </c>
      <c r="R37" t="str">
        <v/>
      </c>
      <c r="S37" t="str">
        <v/>
      </c>
      <c r="T37" t="str">
        <v/>
      </c>
      <c r="U37" t="str">
        <v/>
      </c>
    </row>
    <row r="38">
      <c r="A38" t="str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>28/09/2026</v>
      </c>
      <c r="J38" t="str">
        <v>06:52:24</v>
      </c>
      <c r="K38">
        <v>-12.1705</v>
      </c>
      <c r="L38">
        <v>-76.929</v>
      </c>
      <c r="M38">
        <f>HYPERLINK("https://www.google.com/maps/search/?api=1&amp;query=-12.1705,-76.929","Avenida 28 de Julio, Villa María del Triunfo, Lima")</f>
      </c>
      <c r="N38">
        <v>0</v>
      </c>
      <c r="O38">
        <v>29</v>
      </c>
      <c r="P38">
        <v>295597.2</v>
      </c>
      <c r="Q38" t="str">
        <v>129.83</v>
      </c>
      <c r="R38" t="str">
        <v/>
      </c>
      <c r="S38" t="str">
        <v/>
      </c>
      <c r="T38" t="str">
        <v/>
      </c>
      <c r="U38" t="str">
        <v/>
      </c>
    </row>
    <row r="39">
      <c r="A39" t="str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>28/09/2026</v>
      </c>
      <c r="J39" t="str">
        <v>06:53:24</v>
      </c>
      <c r="K39">
        <v>-12.1705</v>
      </c>
      <c r="L39">
        <v>-76.92899</v>
      </c>
      <c r="M39">
        <f>HYPERLINK("https://www.google.com/maps/search/?api=1&amp;query=-12.1705,-76.92899","Avenida 28 de Julio, Villa María del Triunfo, Lima")</f>
      </c>
      <c r="N39">
        <v>0</v>
      </c>
      <c r="O39">
        <v>29</v>
      </c>
      <c r="P39">
        <v>295597.2</v>
      </c>
      <c r="Q39" t="str">
        <v>129.83</v>
      </c>
      <c r="R39" t="str">
        <v/>
      </c>
      <c r="S39" t="str">
        <v/>
      </c>
      <c r="T39" t="str">
        <v/>
      </c>
      <c r="U39" t="str">
        <v/>
      </c>
    </row>
    <row r="40">
      <c r="A40" t="str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>28/09/2026</v>
      </c>
      <c r="J40" t="str">
        <v>06:54:24</v>
      </c>
      <c r="K40">
        <v>-12.170493</v>
      </c>
      <c r="L40">
        <v>-76.92901</v>
      </c>
      <c r="M40">
        <f>HYPERLINK("https://www.google.com/maps/search/?api=1&amp;query=-12.170493,-76.92901","Avenida 28 de Julio, Villa María del Triunfo, Lima")</f>
      </c>
      <c r="N40">
        <v>0</v>
      </c>
      <c r="O40">
        <v>29</v>
      </c>
      <c r="P40">
        <v>295597.2</v>
      </c>
      <c r="Q40" t="str">
        <v>129.83</v>
      </c>
      <c r="R40" t="str">
        <v/>
      </c>
      <c r="S40" t="str">
        <v/>
      </c>
      <c r="T40" t="str">
        <v/>
      </c>
      <c r="U40" t="str">
        <v/>
      </c>
    </row>
    <row r="41">
      <c r="A41" t="str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>28/09/2026</v>
      </c>
      <c r="J41" t="str">
        <v>06:55:08</v>
      </c>
      <c r="K41">
        <v>-12.170495</v>
      </c>
      <c r="L41">
        <v>-76.929</v>
      </c>
      <c r="M41">
        <f>HYPERLINK("https://www.google.com/maps/search/?api=1&amp;query=-12.170495,-76.929","Avenida 28 de Julio, Villa María del Triunfo, Lima")</f>
      </c>
      <c r="N41">
        <v>0</v>
      </c>
      <c r="O41">
        <v>29</v>
      </c>
      <c r="P41">
        <v>295597.2</v>
      </c>
      <c r="Q41" t="str">
        <v>129.97</v>
      </c>
      <c r="R41" t="str">
        <v>Vehículo apagado</v>
      </c>
      <c r="S41" t="str">
        <v/>
      </c>
      <c r="T41" t="str">
        <v/>
      </c>
      <c r="U41" t="str">
        <v/>
      </c>
    </row>
    <row r="42">
      <c r="A42" t="str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>28/09/2026</v>
      </c>
      <c r="J42" t="str">
        <v>06:55:08</v>
      </c>
      <c r="K42">
        <v>-12.170495</v>
      </c>
      <c r="L42">
        <v>-76.929</v>
      </c>
      <c r="M42">
        <f>HYPERLINK("https://www.google.com/maps/search/?api=1&amp;query=-12.170495,-76.929","Avenida 28 de Julio, Villa María del Triunfo, Lima")</f>
      </c>
      <c r="N42">
        <v>0</v>
      </c>
      <c r="O42">
        <v>29</v>
      </c>
      <c r="P42">
        <v>295597.2</v>
      </c>
      <c r="Q42" t="str">
        <v>129.83</v>
      </c>
      <c r="R42" t="str">
        <v/>
      </c>
      <c r="S42" t="str">
        <v/>
      </c>
      <c r="T42" t="str">
        <v/>
      </c>
      <c r="U42" t="str">
        <v/>
      </c>
    </row>
    <row r="43">
      <c r="A43" t="str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>28/09/2026</v>
      </c>
      <c r="J43" t="str">
        <v>06:55:08</v>
      </c>
      <c r="K43">
        <v>-12.170495</v>
      </c>
      <c r="L43">
        <v>-76.929</v>
      </c>
      <c r="M43">
        <f>HYPERLINK("https://www.google.com/maps/search/?api=1&amp;query=-12.170495,-76.929","Avenida 28 de Julio, Villa María del Triunfo, Lima")</f>
      </c>
      <c r="N43">
        <v>0</v>
      </c>
      <c r="O43">
        <v>29</v>
      </c>
      <c r="P43">
        <v>295597.2</v>
      </c>
      <c r="Q43" t="str">
        <v>129.83</v>
      </c>
      <c r="R43" t="str">
        <v>Fin de ralentí</v>
      </c>
      <c r="S43" t="str">
        <v/>
      </c>
      <c r="T43" t="str">
        <v/>
      </c>
      <c r="U43" t="str">
        <v/>
      </c>
    </row>
    <row r="44">
      <c r="A44" t="str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>28/09/2026</v>
      </c>
      <c r="J44" t="str">
        <v>07:05:08</v>
      </c>
      <c r="K44">
        <v>-12.170495</v>
      </c>
      <c r="L44">
        <v>-76.929</v>
      </c>
      <c r="M44">
        <f>HYPERLINK("https://www.google.com/maps/search/?api=1&amp;query=-12.170495,-76.929","Avenida 28 de Julio, Villa María del Triunfo, Lima")</f>
      </c>
      <c r="N44">
        <v>0</v>
      </c>
      <c r="O44">
        <v>29</v>
      </c>
      <c r="P44">
        <v>295597.2</v>
      </c>
      <c r="Q44" t="str">
        <v>129.97</v>
      </c>
      <c r="R44" t="str">
        <v/>
      </c>
      <c r="S44" t="str">
        <v/>
      </c>
      <c r="T44" t="str">
        <v/>
      </c>
      <c r="U44" t="str">
        <v/>
      </c>
    </row>
    <row r="45">
      <c r="A45" t="str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>28/09/2026</v>
      </c>
      <c r="J45" t="str">
        <v>07:15:08</v>
      </c>
      <c r="K45">
        <v>-12.170495</v>
      </c>
      <c r="L45">
        <v>-76.929</v>
      </c>
      <c r="M45">
        <f>HYPERLINK("https://www.google.com/maps/search/?api=1&amp;query=-12.170495,-76.929","Avenida 28 de Julio, Villa María del Triunfo, Lima")</f>
      </c>
      <c r="N45">
        <v>0</v>
      </c>
      <c r="O45">
        <v>29</v>
      </c>
      <c r="P45">
        <v>295597.2</v>
      </c>
      <c r="Q45" t="str">
        <v>129.97</v>
      </c>
      <c r="R45" t="str">
        <v/>
      </c>
      <c r="S45" t="str">
        <v/>
      </c>
      <c r="T45" t="str">
        <v/>
      </c>
      <c r="U45" t="str">
        <v/>
      </c>
    </row>
    <row r="46">
      <c r="A46" t="str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>28/09/2026</v>
      </c>
      <c r="J46" t="str">
        <v>07:25:08</v>
      </c>
      <c r="K46">
        <v>-12.170495</v>
      </c>
      <c r="L46">
        <v>-76.929</v>
      </c>
      <c r="M46">
        <f>HYPERLINK("https://www.google.com/maps/search/?api=1&amp;query=-12.170495,-76.929","Avenida 28 de Julio, Villa María del Triunfo, Lima")</f>
      </c>
      <c r="N46">
        <v>0</v>
      </c>
      <c r="O46">
        <v>29</v>
      </c>
      <c r="P46">
        <v>295597.2</v>
      </c>
      <c r="Q46" t="str">
        <v>129.97</v>
      </c>
      <c r="R46" t="str">
        <v/>
      </c>
      <c r="S46" t="str">
        <v/>
      </c>
      <c r="T46" t="str">
        <v/>
      </c>
      <c r="U46" t="str">
        <v/>
      </c>
    </row>
    <row r="47">
      <c r="A47" t="str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>28/09/2026</v>
      </c>
      <c r="J47" t="str">
        <v>07:35:08</v>
      </c>
      <c r="K47">
        <v>-12.170495</v>
      </c>
      <c r="L47">
        <v>-76.929</v>
      </c>
      <c r="M47">
        <f>HYPERLINK("https://www.google.com/maps/search/?api=1&amp;query=-12.170495,-76.929","Avenida 28 de Julio, Villa María del Triunfo, Lima")</f>
      </c>
      <c r="N47">
        <v>0</v>
      </c>
      <c r="O47">
        <v>29</v>
      </c>
      <c r="P47">
        <v>295597.2</v>
      </c>
      <c r="Q47" t="str">
        <v>129.97</v>
      </c>
      <c r="R47" t="str">
        <v/>
      </c>
      <c r="S47" t="str">
        <v/>
      </c>
      <c r="T47" t="str">
        <v/>
      </c>
      <c r="U47" t="str">
        <v/>
      </c>
    </row>
    <row r="48">
      <c r="A48" t="str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>28/09/2026</v>
      </c>
      <c r="J48" t="str">
        <v>07:45:08</v>
      </c>
      <c r="K48">
        <v>-12.170495</v>
      </c>
      <c r="L48">
        <v>-76.929</v>
      </c>
      <c r="M48">
        <f>HYPERLINK("https://www.google.com/maps/search/?api=1&amp;query=-12.170495,-76.929","Avenida 28 de Julio, Villa María del Triunfo, Lima")</f>
      </c>
      <c r="N48">
        <v>0</v>
      </c>
      <c r="O48">
        <v>29</v>
      </c>
      <c r="P48">
        <v>295597.2</v>
      </c>
      <c r="Q48" t="str">
        <v>129.97</v>
      </c>
      <c r="R48" t="str">
        <v/>
      </c>
      <c r="S48" t="str">
        <v/>
      </c>
      <c r="T48" t="str">
        <v/>
      </c>
      <c r="U48" t="str">
        <v/>
      </c>
    </row>
    <row r="49">
      <c r="A49" t="str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>28/09/2026</v>
      </c>
      <c r="J49" t="str">
        <v>07:54:01</v>
      </c>
      <c r="K49">
        <v>-12.170495</v>
      </c>
      <c r="L49">
        <v>-76.929</v>
      </c>
      <c r="M49">
        <f>HYPERLINK("https://www.google.com/maps/search/?api=1&amp;query=-12.170495,-76.929","Avenida 28 de Julio, Villa María del Triunfo, Lima")</f>
      </c>
      <c r="N49">
        <v>0</v>
      </c>
      <c r="O49">
        <v>6</v>
      </c>
      <c r="P49">
        <v>295597.2</v>
      </c>
      <c r="Q49" t="str">
        <v>129.97</v>
      </c>
      <c r="R49" t="str">
        <v>Fuente principal desconectada</v>
      </c>
      <c r="S49" t="str">
        <v/>
      </c>
      <c r="T49" t="str">
        <v/>
      </c>
      <c r="U49" t="str">
        <v/>
      </c>
    </row>
    <row r="50">
      <c r="A50" t="str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>28/09/2026</v>
      </c>
      <c r="J50" t="str">
        <v>07:55:08</v>
      </c>
      <c r="K50">
        <v>-12.170495</v>
      </c>
      <c r="L50">
        <v>-76.929</v>
      </c>
      <c r="M50">
        <f>HYPERLINK("https://www.google.com/maps/search/?api=1&amp;query=-12.170495,-76.929","Avenida 28 de Julio, Villa María del Triunfo, Lima")</f>
      </c>
      <c r="N50">
        <v>0</v>
      </c>
      <c r="O50">
        <v>29</v>
      </c>
      <c r="P50">
        <v>295597.2</v>
      </c>
      <c r="Q50" t="str">
        <v>129.97</v>
      </c>
      <c r="R50" t="str">
        <v/>
      </c>
      <c r="S50" t="str">
        <v/>
      </c>
      <c r="T50" t="str">
        <v/>
      </c>
      <c r="U50" t="str">
        <v/>
      </c>
    </row>
    <row r="51">
      <c r="A51" t="str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>28/09/2026</v>
      </c>
      <c r="J51" t="str">
        <v>08:05:08</v>
      </c>
      <c r="K51">
        <v>-12.170495</v>
      </c>
      <c r="L51">
        <v>-76.929</v>
      </c>
      <c r="M51">
        <f>HYPERLINK("https://www.google.com/maps/search/?api=1&amp;query=-12.170495,-76.929","Avenida 28 de Julio, Villa María del Triunfo, Lima")</f>
      </c>
      <c r="N51">
        <v>0</v>
      </c>
      <c r="O51">
        <v>29</v>
      </c>
      <c r="P51">
        <v>295597.2</v>
      </c>
      <c r="Q51" t="str">
        <v>129.97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>28/09/2026</v>
      </c>
      <c r="J52" t="str">
        <v>08:06:49</v>
      </c>
      <c r="K52">
        <v>-12.170495</v>
      </c>
      <c r="L52">
        <v>-76.929</v>
      </c>
      <c r="M52">
        <f>HYPERLINK("https://www.google.com/maps/search/?api=1&amp;query=-12.170495,-76.929","Avenida 28 de Julio, Villa María del Triunfo, Lima")</f>
      </c>
      <c r="N52">
        <v>0</v>
      </c>
      <c r="O52">
        <v>6</v>
      </c>
      <c r="P52">
        <v>295597.2</v>
      </c>
      <c r="Q52" t="str">
        <v>129.97</v>
      </c>
      <c r="R52" t="str">
        <v>Fuente principal conectada</v>
      </c>
      <c r="S52" t="str">
        <v/>
      </c>
      <c r="T52" t="str">
        <v/>
      </c>
      <c r="U52" t="str">
        <v/>
      </c>
    </row>
    <row r="53">
      <c r="A53" t="str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>28/09/2026</v>
      </c>
      <c r="J53" t="str">
        <v>08:06:53</v>
      </c>
      <c r="K53">
        <v>-12.170465</v>
      </c>
      <c r="L53">
        <v>-76.92902</v>
      </c>
      <c r="M53">
        <f>HYPERLINK("https://www.google.com/maps/search/?api=1&amp;query=-12.170465,-76.92902","Avenida 28 de Julio, Villa María del Triunfo, Lima")</f>
      </c>
      <c r="N53">
        <v>0</v>
      </c>
      <c r="O53">
        <v>6</v>
      </c>
      <c r="P53">
        <v>295597.2</v>
      </c>
      <c r="Q53" t="str">
        <v>129.97</v>
      </c>
      <c r="R53" t="str">
        <v>Vehículo encendido</v>
      </c>
      <c r="S53" t="str">
        <v/>
      </c>
      <c r="T53" t="str">
        <v/>
      </c>
      <c r="U53" t="str">
        <v/>
      </c>
    </row>
    <row r="54">
      <c r="A54" t="str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>28/09/2026</v>
      </c>
      <c r="J54" t="str">
        <v>08:07:10</v>
      </c>
      <c r="K54">
        <v>-12.17046</v>
      </c>
      <c r="L54">
        <v>-76.92903</v>
      </c>
      <c r="M54">
        <f>HYPERLINK("https://www.google.com/maps/search/?api=1&amp;query=-12.17046,-76.92903","Avenida 28 de Julio, Villa María del Triunfo, Lima")</f>
      </c>
      <c r="N54">
        <v>0</v>
      </c>
      <c r="O54">
        <v>6</v>
      </c>
      <c r="P54">
        <v>295597.2</v>
      </c>
      <c r="Q54" t="str">
        <v>129.97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>28/09/2026</v>
      </c>
      <c r="J55" t="str">
        <v>08:07:53</v>
      </c>
      <c r="K55">
        <v>-12.170457</v>
      </c>
      <c r="L55">
        <v>-76.92903</v>
      </c>
      <c r="M55">
        <f>HYPERLINK("https://www.google.com/maps/search/?api=1&amp;query=-12.170457,-76.92903","Avenida 28 de Julio, Villa María del Triunfo, Lima")</f>
      </c>
      <c r="N55">
        <v>0</v>
      </c>
      <c r="O55">
        <v>6</v>
      </c>
      <c r="P55">
        <v>295597.2</v>
      </c>
      <c r="Q55" t="str">
        <v>129.97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>28/09/2026</v>
      </c>
      <c r="J56" t="str">
        <v>08:08:53</v>
      </c>
      <c r="K56">
        <v>-12.170464</v>
      </c>
      <c r="L56">
        <v>-76.92903</v>
      </c>
      <c r="M56">
        <f>HYPERLINK("https://www.google.com/maps/search/?api=1&amp;query=-12.170464,-76.92903","Avenida 28 de Julio, Villa María del Triunfo, Lima")</f>
      </c>
      <c r="N56">
        <v>0.1</v>
      </c>
      <c r="O56">
        <v>6</v>
      </c>
      <c r="P56">
        <v>295597.2</v>
      </c>
      <c r="Q56" t="str">
        <v>129.97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>28/09/2026</v>
      </c>
      <c r="J57" t="str">
        <v>08:09:53</v>
      </c>
      <c r="K57">
        <v>-12.17045</v>
      </c>
      <c r="L57">
        <v>-76.929016</v>
      </c>
      <c r="M57">
        <f>HYPERLINK("https://www.google.com/maps/search/?api=1&amp;query=-12.17045,-76.929016","Avenida 28 de Julio, Villa María del Triunfo, Lima")</f>
      </c>
      <c r="N57">
        <v>0</v>
      </c>
      <c r="O57">
        <v>6</v>
      </c>
      <c r="P57">
        <v>295597.2</v>
      </c>
      <c r="Q57" t="str">
        <v>129.97</v>
      </c>
      <c r="R57" t="str">
        <v/>
      </c>
      <c r="S57" t="str">
        <v/>
      </c>
      <c r="T57" t="str">
        <v/>
      </c>
      <c r="U57" t="str">
        <v/>
      </c>
    </row>
    <row r="58">
      <c r="A58" t="str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>28/09/2026</v>
      </c>
      <c r="J58" t="str">
        <v>08:10:10</v>
      </c>
      <c r="K58">
        <v>-12.17045</v>
      </c>
      <c r="L58">
        <v>-76.92901</v>
      </c>
      <c r="M58">
        <f>HYPERLINK("https://www.google.com/maps/search/?api=1&amp;query=-12.17045,-76.92901","Avenida 28 de Julio, Villa María del Triunfo, Lima")</f>
      </c>
      <c r="N58">
        <v>0</v>
      </c>
      <c r="O58">
        <v>6</v>
      </c>
      <c r="P58">
        <v>295597.2</v>
      </c>
      <c r="Q58" t="str">
        <v>129.97</v>
      </c>
      <c r="R58" t="str">
        <v>Inicio de ralentí</v>
      </c>
      <c r="S58" t="str">
        <v/>
      </c>
      <c r="T58" t="str">
        <v/>
      </c>
      <c r="U58" t="str">
        <v/>
      </c>
    </row>
    <row r="59">
      <c r="A59" t="str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>28/09/2026</v>
      </c>
      <c r="J59" t="str">
        <v>08:10:53</v>
      </c>
      <c r="K59">
        <v>-12.170465</v>
      </c>
      <c r="L59">
        <v>-76.92903</v>
      </c>
      <c r="M59">
        <f>HYPERLINK("https://www.google.com/maps/search/?api=1&amp;query=-12.170465,-76.92903","Avenida 28 de Julio, Villa María del Triunfo, Lima")</f>
      </c>
      <c r="N59">
        <v>0</v>
      </c>
      <c r="O59">
        <v>6</v>
      </c>
      <c r="P59">
        <v>295597.2</v>
      </c>
      <c r="Q59" t="str">
        <v>129.97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>28/09/2026</v>
      </c>
      <c r="J60" t="str">
        <v>08:11:53</v>
      </c>
      <c r="K60">
        <v>-12.170453</v>
      </c>
      <c r="L60">
        <v>-76.92904</v>
      </c>
      <c r="M60">
        <f>HYPERLINK("https://www.google.com/maps/search/?api=1&amp;query=-12.170453,-76.92904","Avenida 28 de Julio, Villa María del Triunfo, Lima")</f>
      </c>
      <c r="N60">
        <v>0</v>
      </c>
      <c r="O60">
        <v>6</v>
      </c>
      <c r="P60">
        <v>295597.2</v>
      </c>
      <c r="Q60" t="str">
        <v>129.97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>28/09/2026</v>
      </c>
      <c r="J61" t="str">
        <v>08:12:53</v>
      </c>
      <c r="K61">
        <v>-12.170457</v>
      </c>
      <c r="L61">
        <v>-76.92902</v>
      </c>
      <c r="M61">
        <f>HYPERLINK("https://www.google.com/maps/search/?api=1&amp;query=-12.170457,-76.92902","Avenida 28 de Julio, Villa María del Triunfo, Lima")</f>
      </c>
      <c r="N61">
        <v>0</v>
      </c>
      <c r="O61">
        <v>6</v>
      </c>
      <c r="P61">
        <v>295597.2</v>
      </c>
      <c r="Q61" t="str">
        <v>129.97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>28/09/2026</v>
      </c>
      <c r="J62" t="str">
        <v>08:13:51</v>
      </c>
      <c r="K62">
        <v>-12.170459</v>
      </c>
      <c r="L62">
        <v>-76.92902</v>
      </c>
      <c r="M62">
        <f>HYPERLINK("https://www.google.com/maps/search/?api=1&amp;query=-12.170459,-76.92902","Avenida 28 de Julio, Villa María del Triunfo, Lima")</f>
      </c>
      <c r="N62">
        <v>0</v>
      </c>
      <c r="O62">
        <v>6</v>
      </c>
      <c r="P62">
        <v>295597.2</v>
      </c>
      <c r="Q62" t="str">
        <v>130.08</v>
      </c>
      <c r="R62" t="str">
        <v>Vehículo apagado</v>
      </c>
      <c r="S62" t="str">
        <v/>
      </c>
      <c r="T62" t="str">
        <v/>
      </c>
      <c r="U62" t="str">
        <v/>
      </c>
    </row>
    <row r="63">
      <c r="A63" t="str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>28/09/2026</v>
      </c>
      <c r="J63" t="str">
        <v>08:13:51</v>
      </c>
      <c r="K63">
        <v>-12.170459</v>
      </c>
      <c r="L63">
        <v>-76.92902</v>
      </c>
      <c r="M63">
        <f>HYPERLINK("https://www.google.com/maps/search/?api=1&amp;query=-12.170459,-76.92902","Avenida 28 de Julio, Villa María del Triunfo, Lima")</f>
      </c>
      <c r="N63">
        <v>0</v>
      </c>
      <c r="O63">
        <v>6</v>
      </c>
      <c r="P63">
        <v>295597.2</v>
      </c>
      <c r="Q63" t="str">
        <v>129.97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>28/09/2026</v>
      </c>
      <c r="J64" t="str">
        <v>08:13:51</v>
      </c>
      <c r="K64">
        <v>-12.170459</v>
      </c>
      <c r="L64">
        <v>-76.92902</v>
      </c>
      <c r="M64">
        <f>HYPERLINK("https://www.google.com/maps/search/?api=1&amp;query=-12.170459,-76.92902","Avenida 28 de Julio, Villa María del Triunfo, Lima")</f>
      </c>
      <c r="N64">
        <v>0</v>
      </c>
      <c r="O64">
        <v>6</v>
      </c>
      <c r="P64">
        <v>295597.2</v>
      </c>
      <c r="Q64" t="str">
        <v>129.97</v>
      </c>
      <c r="R64" t="str">
        <v>Fin de ralentí</v>
      </c>
      <c r="S64" t="str">
        <v/>
      </c>
      <c r="T64" t="str">
        <v/>
      </c>
      <c r="U64" t="str">
        <v/>
      </c>
    </row>
    <row r="65">
      <c r="A65" t="str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>28/09/2026</v>
      </c>
      <c r="J65" t="str">
        <v>08:22:18</v>
      </c>
      <c r="K65">
        <v>-12.170459</v>
      </c>
      <c r="L65">
        <v>-76.92902</v>
      </c>
      <c r="M65">
        <f>HYPERLINK("https://www.google.com/maps/search/?api=1&amp;query=-12.170459,-76.92902","Avenida 28 de Julio, Villa María del Triunfo, Lima")</f>
      </c>
      <c r="N65">
        <v>0</v>
      </c>
      <c r="O65">
        <v>6</v>
      </c>
      <c r="P65">
        <v>295597.2</v>
      </c>
      <c r="Q65" t="str">
        <v>130.08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>28/09/2026</v>
      </c>
      <c r="J66" t="str">
        <v>08:32:18</v>
      </c>
      <c r="K66">
        <v>-12.170459</v>
      </c>
      <c r="L66">
        <v>-76.92902</v>
      </c>
      <c r="M66">
        <f>HYPERLINK("https://www.google.com/maps/search/?api=1&amp;query=-12.170459,-76.92902","Avenida 28 de Julio, Villa María del Triunfo, Lima")</f>
      </c>
      <c r="N66">
        <v>0</v>
      </c>
      <c r="O66">
        <v>20</v>
      </c>
      <c r="P66">
        <v>295597.2</v>
      </c>
      <c r="Q66" t="str">
        <v>130.08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>28/09/2026</v>
      </c>
      <c r="J67" t="str">
        <v>08:42:18</v>
      </c>
      <c r="K67">
        <v>-12.170459</v>
      </c>
      <c r="L67">
        <v>-76.92902</v>
      </c>
      <c r="M67">
        <f>HYPERLINK("https://www.google.com/maps/search/?api=1&amp;query=-12.170459,-76.92902","Avenida 28 de Julio, Villa María del Triunfo, Lima")</f>
      </c>
      <c r="N67">
        <v>0</v>
      </c>
      <c r="O67">
        <v>20</v>
      </c>
      <c r="P67">
        <v>295597.2</v>
      </c>
      <c r="Q67" t="str">
        <v>130.08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>28/09/2026</v>
      </c>
      <c r="J68" t="str">
        <v>08:52:18</v>
      </c>
      <c r="K68">
        <v>-12.170459</v>
      </c>
      <c r="L68">
        <v>-76.92902</v>
      </c>
      <c r="M68">
        <f>HYPERLINK("https://www.google.com/maps/search/?api=1&amp;query=-12.170459,-76.92902","Avenida 28 de Julio, Villa María del Triunfo, Lima")</f>
      </c>
      <c r="N68">
        <v>0</v>
      </c>
      <c r="O68">
        <v>20</v>
      </c>
      <c r="P68">
        <v>295597.2</v>
      </c>
      <c r="Q68" t="str">
        <v>130.08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>28/09/2026</v>
      </c>
      <c r="J69" t="str">
        <v>09:02:18</v>
      </c>
      <c r="K69">
        <v>-12.170459</v>
      </c>
      <c r="L69">
        <v>-76.92902</v>
      </c>
      <c r="M69">
        <f>HYPERLINK("https://www.google.com/maps/search/?api=1&amp;query=-12.170459,-76.92902","Avenida 28 de Julio, Villa María del Triunfo, Lima")</f>
      </c>
      <c r="N69">
        <v>0</v>
      </c>
      <c r="O69">
        <v>20</v>
      </c>
      <c r="P69">
        <v>295597.2</v>
      </c>
      <c r="Q69" t="str">
        <v>130.08</v>
      </c>
      <c r="R69" t="str">
        <v/>
      </c>
      <c r="S69" t="str">
        <v/>
      </c>
      <c r="T69" t="str">
        <v/>
      </c>
      <c r="U69" t="str">
        <v/>
      </c>
    </row>
    <row r="70">
      <c r="A70" t="str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>28/09/2026</v>
      </c>
      <c r="J70" t="str">
        <v>09:12:18</v>
      </c>
      <c r="K70">
        <v>-12.170459</v>
      </c>
      <c r="L70">
        <v>-76.92902</v>
      </c>
      <c r="M70">
        <f>HYPERLINK("https://www.google.com/maps/search/?api=1&amp;query=-12.170459,-76.92902","Avenida 28 de Julio, Villa María del Triunfo, Lima")</f>
      </c>
      <c r="N70">
        <v>0</v>
      </c>
      <c r="O70">
        <v>16</v>
      </c>
      <c r="P70">
        <v>295597.2</v>
      </c>
      <c r="Q70" t="str">
        <v>130.08</v>
      </c>
      <c r="R70" t="str">
        <v/>
      </c>
      <c r="S70" t="str">
        <v/>
      </c>
      <c r="T70" t="str">
        <v/>
      </c>
      <c r="U70" t="str">
        <v/>
      </c>
    </row>
    <row r="71">
      <c r="A71" t="str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>28/09/2026</v>
      </c>
      <c r="J71" t="str">
        <v>09:22:18</v>
      </c>
      <c r="K71">
        <v>-12.170459</v>
      </c>
      <c r="L71">
        <v>-76.92902</v>
      </c>
      <c r="M71">
        <f>HYPERLINK("https://www.google.com/maps/search/?api=1&amp;query=-12.170459,-76.92902","Avenida 28 de Julio, Villa María del Triunfo, Lima")</f>
      </c>
      <c r="N71">
        <v>0</v>
      </c>
      <c r="O71">
        <v>16</v>
      </c>
      <c r="P71">
        <v>295597.2</v>
      </c>
      <c r="Q71" t="str">
        <v>130.08</v>
      </c>
      <c r="R71" t="str">
        <v/>
      </c>
      <c r="S71" t="str">
        <v/>
      </c>
      <c r="T71" t="str">
        <v/>
      </c>
      <c r="U71" t="str">
        <v/>
      </c>
    </row>
    <row r="72">
      <c r="A72" t="str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>28/09/2026</v>
      </c>
      <c r="J72" t="str">
        <v>09:32:18</v>
      </c>
      <c r="K72">
        <v>-12.170459</v>
      </c>
      <c r="L72">
        <v>-76.92902</v>
      </c>
      <c r="M72">
        <f>HYPERLINK("https://www.google.com/maps/search/?api=1&amp;query=-12.170459,-76.92902","Avenida 28 de Julio, Villa María del Triunfo, Lima")</f>
      </c>
      <c r="N72">
        <v>0</v>
      </c>
      <c r="O72">
        <v>16</v>
      </c>
      <c r="P72">
        <v>295597.2</v>
      </c>
      <c r="Q72" t="str">
        <v>130.08</v>
      </c>
      <c r="R72" t="str">
        <v/>
      </c>
      <c r="S72" t="str">
        <v/>
      </c>
      <c r="T72" t="str">
        <v/>
      </c>
      <c r="U72" t="str">
        <v/>
      </c>
    </row>
    <row r="73">
      <c r="A73" t="str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>28/09/2026</v>
      </c>
      <c r="J73" t="str">
        <v>09:42:18</v>
      </c>
      <c r="K73">
        <v>-12.170459</v>
      </c>
      <c r="L73">
        <v>-76.92902</v>
      </c>
      <c r="M73">
        <f>HYPERLINK("https://www.google.com/maps/search/?api=1&amp;query=-12.170459,-76.92902","Avenida 28 de Julio, Villa María del Triunfo, Lima")</f>
      </c>
      <c r="N73">
        <v>0</v>
      </c>
      <c r="O73">
        <v>13</v>
      </c>
      <c r="P73">
        <v>295597.2</v>
      </c>
      <c r="Q73" t="str">
        <v>130.08</v>
      </c>
      <c r="R73" t="str">
        <v/>
      </c>
      <c r="S73" t="str">
        <v/>
      </c>
      <c r="T73" t="str">
        <v/>
      </c>
      <c r="U73" t="str">
        <v/>
      </c>
    </row>
    <row r="74">
      <c r="A74" t="str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>28/09/2026</v>
      </c>
      <c r="J74" t="str">
        <v>09:52:18</v>
      </c>
      <c r="K74">
        <v>-12.170459</v>
      </c>
      <c r="L74">
        <v>-76.92902</v>
      </c>
      <c r="M74">
        <f>HYPERLINK("https://www.google.com/maps/search/?api=1&amp;query=-12.170459,-76.92902","Avenida 28 de Julio, Villa María del Triunfo, Lima")</f>
      </c>
      <c r="N74">
        <v>0</v>
      </c>
      <c r="O74">
        <v>13</v>
      </c>
      <c r="P74">
        <v>295597.2</v>
      </c>
      <c r="Q74" t="str">
        <v>130.08</v>
      </c>
      <c r="R74" t="str">
        <v/>
      </c>
      <c r="S74" t="str">
        <v/>
      </c>
      <c r="T74" t="str">
        <v/>
      </c>
      <c r="U74" t="str">
        <v/>
      </c>
    </row>
    <row r="75">
      <c r="A75" t="str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>28/09/2026</v>
      </c>
      <c r="J75" t="str">
        <v>10:02:18</v>
      </c>
      <c r="K75">
        <v>-12.170459</v>
      </c>
      <c r="L75">
        <v>-76.92902</v>
      </c>
      <c r="M75">
        <f>HYPERLINK("https://www.google.com/maps/search/?api=1&amp;query=-12.170459,-76.92902","Avenida 28 de Julio, Villa María del Triunfo, Lima")</f>
      </c>
      <c r="N75">
        <v>0</v>
      </c>
      <c r="O75">
        <v>14</v>
      </c>
      <c r="P75">
        <v>295597.2</v>
      </c>
      <c r="Q75" t="str">
        <v>130.08</v>
      </c>
      <c r="R75" t="str">
        <v/>
      </c>
      <c r="S75" t="str">
        <v/>
      </c>
      <c r="T75" t="str">
        <v/>
      </c>
      <c r="U75" t="str">
        <v/>
      </c>
    </row>
    <row r="76">
      <c r="A76" t="str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>28/09/2026</v>
      </c>
      <c r="J76" t="str">
        <v>10:12:18</v>
      </c>
      <c r="K76">
        <v>-12.170459</v>
      </c>
      <c r="L76">
        <v>-76.92902</v>
      </c>
      <c r="M76">
        <f>HYPERLINK("https://www.google.com/maps/search/?api=1&amp;query=-12.170459,-76.92902","Avenida 28 de Julio, Villa María del Triunfo, Lima")</f>
      </c>
      <c r="N76">
        <v>0</v>
      </c>
      <c r="O76">
        <v>14</v>
      </c>
      <c r="P76">
        <v>295597.2</v>
      </c>
      <c r="Q76" t="str">
        <v>130.08</v>
      </c>
      <c r="R76" t="str">
        <v/>
      </c>
      <c r="S76" t="str">
        <v/>
      </c>
      <c r="T76" t="str">
        <v/>
      </c>
      <c r="U76" t="str">
        <v/>
      </c>
    </row>
    <row r="77">
      <c r="A77" t="str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>28/09/2026</v>
      </c>
      <c r="J77" t="str">
        <v>10:22:18</v>
      </c>
      <c r="K77">
        <v>-12.170459</v>
      </c>
      <c r="L77">
        <v>-76.92902</v>
      </c>
      <c r="M77">
        <f>HYPERLINK("https://www.google.com/maps/search/?api=1&amp;query=-12.170459,-76.92902","Avenida 28 de Julio, Villa María del Triunfo, Lima")</f>
      </c>
      <c r="N77">
        <v>0</v>
      </c>
      <c r="O77">
        <v>21</v>
      </c>
      <c r="P77">
        <v>295597.2</v>
      </c>
      <c r="Q77" t="str">
        <v>130.08</v>
      </c>
      <c r="R77" t="str">
        <v/>
      </c>
      <c r="S77" t="str">
        <v/>
      </c>
      <c r="T77" t="str">
        <v/>
      </c>
      <c r="U77" t="str">
        <v/>
      </c>
    </row>
    <row r="78">
      <c r="A78" t="str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>28/09/2026</v>
      </c>
      <c r="J78" t="str">
        <v>10:23:44</v>
      </c>
      <c r="K78">
        <v>-12.170459</v>
      </c>
      <c r="L78">
        <v>-76.92902</v>
      </c>
      <c r="M78">
        <f>HYPERLINK("https://www.google.com/maps/search/?api=1&amp;query=-12.170459,-76.92902","Avenida 28 de Julio, Villa María del Triunfo, Lima")</f>
      </c>
      <c r="N78">
        <v>0</v>
      </c>
      <c r="O78">
        <v>15</v>
      </c>
      <c r="P78">
        <v>295597.2</v>
      </c>
      <c r="Q78" t="str">
        <v>130.08</v>
      </c>
      <c r="R78" t="str">
        <v>Se movio</v>
      </c>
      <c r="S78" t="str">
        <v/>
      </c>
      <c r="T78" t="str">
        <v/>
      </c>
      <c r="U78" t="str">
        <v/>
      </c>
    </row>
    <row r="79">
      <c r="A79" t="str">
        <v>78</v>
      </c>
      <c r="B79" t="str">
        <v>MASS BSF</v>
      </c>
      <c r="C79" t="str">
        <v>C6E-921</v>
      </c>
      <c r="D79" t="str">
        <v>C6E-921</v>
      </c>
      <c r="E79" t="str">
        <v/>
      </c>
      <c r="F79" t="str">
        <v>867806078831353</v>
      </c>
      <c r="G79" t="str">
        <v>TBD</v>
      </c>
      <c r="H79" t="str">
        <v/>
      </c>
      <c r="I79" t="str">
        <v>28/09/2026</v>
      </c>
      <c r="J79" t="str">
        <v>10:32:18</v>
      </c>
      <c r="K79">
        <v>-12.170488</v>
      </c>
      <c r="L79">
        <v>-76.92901</v>
      </c>
      <c r="M79">
        <f>HYPERLINK("https://www.google.com/maps/search/?api=1&amp;query=-12.170488,-76.92901","Avenida 28 de Julio, Villa María del Triunfo, Lima")</f>
      </c>
      <c r="N79">
        <v>0</v>
      </c>
      <c r="O79">
        <v>15</v>
      </c>
      <c r="P79">
        <v>295597.2</v>
      </c>
      <c r="Q79" t="str">
        <v>130.08</v>
      </c>
      <c r="R79" t="str">
        <v/>
      </c>
      <c r="S79" t="str">
        <v/>
      </c>
      <c r="T79" t="str">
        <v/>
      </c>
      <c r="U79" t="str">
        <v/>
      </c>
    </row>
    <row r="80">
      <c r="A80" t="str">
        <v>79</v>
      </c>
      <c r="B80" t="str">
        <v>MASS BSF</v>
      </c>
      <c r="C80" t="str">
        <v>C6E-921</v>
      </c>
      <c r="D80" t="str">
        <v>C6E-921</v>
      </c>
      <c r="E80" t="str">
        <v/>
      </c>
      <c r="F80" t="str">
        <v>867806078831353</v>
      </c>
      <c r="G80" t="str">
        <v>TBD</v>
      </c>
      <c r="H80" t="str">
        <v/>
      </c>
      <c r="I80" t="str">
        <v>28/09/2026</v>
      </c>
      <c r="J80" t="str">
        <v>10:42:18</v>
      </c>
      <c r="K80">
        <v>-12.170488</v>
      </c>
      <c r="L80">
        <v>-76.92901</v>
      </c>
      <c r="M80">
        <f>HYPERLINK("https://www.google.com/maps/search/?api=1&amp;query=-12.170488,-76.92901","Avenida 28 de Julio, Villa María del Triunfo, Lima")</f>
      </c>
      <c r="N80">
        <v>0</v>
      </c>
      <c r="O80">
        <v>10</v>
      </c>
      <c r="P80">
        <v>295597.2</v>
      </c>
      <c r="Q80" t="str">
        <v>130.08</v>
      </c>
      <c r="R80" t="str">
        <v/>
      </c>
      <c r="S80" t="str">
        <v/>
      </c>
      <c r="T80" t="str">
        <v/>
      </c>
      <c r="U80" t="str">
        <v/>
      </c>
    </row>
    <row r="81">
      <c r="A81" t="str">
        <v>80</v>
      </c>
      <c r="B81" t="str">
        <v>MASS BSF</v>
      </c>
      <c r="C81" t="str">
        <v>C6E-921</v>
      </c>
      <c r="D81" t="str">
        <v>C6E-921</v>
      </c>
      <c r="E81" t="str">
        <v/>
      </c>
      <c r="F81" t="str">
        <v>867806078831353</v>
      </c>
      <c r="G81" t="str">
        <v>TBD</v>
      </c>
      <c r="H81" t="str">
        <v/>
      </c>
      <c r="I81" t="str">
        <v>28/09/2026</v>
      </c>
      <c r="J81" t="str">
        <v>10:52:18</v>
      </c>
      <c r="K81">
        <v>-12.170488</v>
      </c>
      <c r="L81">
        <v>-76.92901</v>
      </c>
      <c r="M81">
        <f>HYPERLINK("https://www.google.com/maps/search/?api=1&amp;query=-12.170488,-76.92901","Avenida 28 de Julio, Villa María del Triunfo, Lima")</f>
      </c>
      <c r="N81">
        <v>0</v>
      </c>
      <c r="O81">
        <v>10</v>
      </c>
      <c r="P81">
        <v>295597.2</v>
      </c>
      <c r="Q81" t="str">
        <v>130.08</v>
      </c>
      <c r="R81" t="str">
        <v/>
      </c>
      <c r="S81" t="str">
        <v/>
      </c>
      <c r="T81" t="str">
        <v/>
      </c>
      <c r="U81" t="str">
        <v/>
      </c>
    </row>
    <row r="82">
      <c r="A82" t="str">
        <v>81</v>
      </c>
      <c r="B82" t="str">
        <v>MASS BSF</v>
      </c>
      <c r="C82" t="str">
        <v>C6E-921</v>
      </c>
      <c r="D82" t="str">
        <v>C6E-921</v>
      </c>
      <c r="E82" t="str">
        <v/>
      </c>
      <c r="F82" t="str">
        <v>867806078831353</v>
      </c>
      <c r="G82" t="str">
        <v>TBD</v>
      </c>
      <c r="H82" t="str">
        <v/>
      </c>
      <c r="I82" t="str">
        <v>28/09/2026</v>
      </c>
      <c r="J82" t="str">
        <v>11:02:18</v>
      </c>
      <c r="K82">
        <v>-12.170488</v>
      </c>
      <c r="L82">
        <v>-76.92901</v>
      </c>
      <c r="M82">
        <f>HYPERLINK("https://www.google.com/maps/search/?api=1&amp;query=-12.170488,-76.92901","Avenida 28 de Julio, Villa María del Triunfo, Lima")</f>
      </c>
      <c r="N82">
        <v>0</v>
      </c>
      <c r="O82">
        <v>10</v>
      </c>
      <c r="P82">
        <v>295597.2</v>
      </c>
      <c r="Q82" t="str">
        <v>130.08</v>
      </c>
      <c r="R82" t="str">
        <v/>
      </c>
      <c r="S82" t="str">
        <v/>
      </c>
      <c r="T82" t="str">
        <v/>
      </c>
      <c r="U82" t="str">
        <v/>
      </c>
    </row>
    <row r="83">
      <c r="A83" t="str">
        <v>82</v>
      </c>
      <c r="B83" t="str">
        <v>MASS BSF</v>
      </c>
      <c r="C83" t="str">
        <v>C6E-921</v>
      </c>
      <c r="D83" t="str">
        <v>C6E-921</v>
      </c>
      <c r="E83" t="str">
        <v/>
      </c>
      <c r="F83" t="str">
        <v>867806078831353</v>
      </c>
      <c r="G83" t="str">
        <v>TBD</v>
      </c>
      <c r="H83" t="str">
        <v/>
      </c>
      <c r="I83" t="str">
        <v>28/09/2026</v>
      </c>
      <c r="J83" t="str">
        <v>11:12:18</v>
      </c>
      <c r="K83">
        <v>-12.170488</v>
      </c>
      <c r="L83">
        <v>-76.92901</v>
      </c>
      <c r="M83">
        <f>HYPERLINK("https://www.google.com/maps/search/?api=1&amp;query=-12.170488,-76.92901","Avenida 28 de Julio, Villa María del Triunfo, Lima")</f>
      </c>
      <c r="N83">
        <v>0</v>
      </c>
      <c r="O83">
        <v>10</v>
      </c>
      <c r="P83">
        <v>295597.2</v>
      </c>
      <c r="Q83" t="str">
        <v>130.08</v>
      </c>
      <c r="R83" t="str">
        <v/>
      </c>
      <c r="S83" t="str">
        <v/>
      </c>
      <c r="T83" t="str">
        <v/>
      </c>
      <c r="U83" t="str">
        <v/>
      </c>
    </row>
    <row r="84">
      <c r="A84" t="str">
        <v>83</v>
      </c>
      <c r="B84" t="str">
        <v>MASS BSF</v>
      </c>
      <c r="C84" t="str">
        <v>C6E-921</v>
      </c>
      <c r="D84" t="str">
        <v>C6E-921</v>
      </c>
      <c r="E84" t="str">
        <v/>
      </c>
      <c r="F84" t="str">
        <v>867806078831353</v>
      </c>
      <c r="G84" t="str">
        <v>TBD</v>
      </c>
      <c r="H84" t="str">
        <v/>
      </c>
      <c r="I84" t="str">
        <v>28/09/2026</v>
      </c>
      <c r="J84" t="str">
        <v>11:22:18</v>
      </c>
      <c r="K84">
        <v>-12.170488</v>
      </c>
      <c r="L84">
        <v>-76.92901</v>
      </c>
      <c r="M84">
        <f>HYPERLINK("https://www.google.com/maps/search/?api=1&amp;query=-12.170488,-76.92901","Avenida 28 de Julio, Villa María del Triunfo, Lima")</f>
      </c>
      <c r="N84">
        <v>0</v>
      </c>
      <c r="O84">
        <v>10</v>
      </c>
      <c r="P84">
        <v>295597.2</v>
      </c>
      <c r="Q84" t="str">
        <v>130.08</v>
      </c>
      <c r="R84" t="str">
        <v/>
      </c>
      <c r="S84" t="str">
        <v/>
      </c>
      <c r="T84" t="str">
        <v/>
      </c>
      <c r="U84" t="str">
        <v/>
      </c>
    </row>
    <row r="85">
      <c r="A85" t="str">
        <v>84</v>
      </c>
      <c r="B85" t="str">
        <v>MASS BSF</v>
      </c>
      <c r="C85" t="str">
        <v>C6E-921</v>
      </c>
      <c r="D85" t="str">
        <v>C6E-921</v>
      </c>
      <c r="E85" t="str">
        <v/>
      </c>
      <c r="F85" t="str">
        <v>867806078831353</v>
      </c>
      <c r="G85" t="str">
        <v>TBD</v>
      </c>
      <c r="H85" t="str">
        <v/>
      </c>
      <c r="I85" t="str">
        <v>28/09/2026</v>
      </c>
      <c r="J85" t="str">
        <v>11:32:18</v>
      </c>
      <c r="K85">
        <v>-12.170488</v>
      </c>
      <c r="L85">
        <v>-76.92901</v>
      </c>
      <c r="M85">
        <f>HYPERLINK("https://www.google.com/maps/search/?api=1&amp;query=-12.170488,-76.92901","Avenida 28 de Julio, Villa María del Triunfo, Lima")</f>
      </c>
      <c r="N85">
        <v>0</v>
      </c>
      <c r="O85">
        <v>10</v>
      </c>
      <c r="P85">
        <v>295597.2</v>
      </c>
      <c r="Q85" t="str">
        <v>130.08</v>
      </c>
      <c r="R85" t="str">
        <v/>
      </c>
      <c r="S85" t="str">
        <v/>
      </c>
      <c r="T85" t="str">
        <v/>
      </c>
      <c r="U85" t="str">
        <v/>
      </c>
    </row>
    <row r="86">
      <c r="A86" t="str">
        <v>85</v>
      </c>
      <c r="B86" t="str">
        <v>MASS BSF</v>
      </c>
      <c r="C86" t="str">
        <v>C6E-921</v>
      </c>
      <c r="D86" t="str">
        <v>C6E-921</v>
      </c>
      <c r="E86" t="str">
        <v/>
      </c>
      <c r="F86" t="str">
        <v>867806078831353</v>
      </c>
      <c r="G86" t="str">
        <v>TBD</v>
      </c>
      <c r="H86" t="str">
        <v/>
      </c>
      <c r="I86" t="str">
        <v>28/09/2026</v>
      </c>
      <c r="J86" t="str">
        <v>11:42:18</v>
      </c>
      <c r="K86">
        <v>-12.170488</v>
      </c>
      <c r="L86">
        <v>-76.92901</v>
      </c>
      <c r="M86">
        <f>HYPERLINK("https://www.google.com/maps/search/?api=1&amp;query=-12.170488,-76.92901","Avenida 28 de Julio, Villa María del Triunfo, Lima")</f>
      </c>
      <c r="N86">
        <v>0</v>
      </c>
      <c r="O86">
        <v>21</v>
      </c>
      <c r="P86">
        <v>295597.2</v>
      </c>
      <c r="Q86" t="str">
        <v>130.08</v>
      </c>
      <c r="R86" t="str">
        <v/>
      </c>
      <c r="S86" t="str">
        <v/>
      </c>
      <c r="T86" t="str">
        <v/>
      </c>
      <c r="U86" t="str">
        <v/>
      </c>
    </row>
    <row r="87">
      <c r="A87" t="str">
        <v>86</v>
      </c>
      <c r="B87" t="str">
        <v>MASS BSF</v>
      </c>
      <c r="C87" t="str">
        <v>C6E-921</v>
      </c>
      <c r="D87" t="str">
        <v>C6E-921</v>
      </c>
      <c r="E87" t="str">
        <v/>
      </c>
      <c r="F87" t="str">
        <v>867806078831353</v>
      </c>
      <c r="G87" t="str">
        <v>TBD</v>
      </c>
      <c r="H87" t="str">
        <v/>
      </c>
      <c r="I87" t="str">
        <v>28/09/2026</v>
      </c>
      <c r="J87" t="str">
        <v>11:52:18</v>
      </c>
      <c r="K87">
        <v>-12.170488</v>
      </c>
      <c r="L87">
        <v>-76.92901</v>
      </c>
      <c r="M87">
        <f>HYPERLINK("https://www.google.com/maps/search/?api=1&amp;query=-12.170488,-76.92901","Avenida 28 de Julio, Villa María del Triunfo, Lima")</f>
      </c>
      <c r="N87">
        <v>0</v>
      </c>
      <c r="O87">
        <v>21</v>
      </c>
      <c r="P87">
        <v>295597.2</v>
      </c>
      <c r="Q87" t="str">
        <v>130.08</v>
      </c>
      <c r="R87" t="str">
        <v/>
      </c>
      <c r="S87" t="str">
        <v/>
      </c>
      <c r="T87" t="str">
        <v/>
      </c>
      <c r="U87" t="str">
        <v/>
      </c>
    </row>
    <row r="88">
      <c r="A88" t="str">
        <v>87</v>
      </c>
      <c r="B88" t="str">
        <v>MASS BSF</v>
      </c>
      <c r="C88" t="str">
        <v>C6E-921</v>
      </c>
      <c r="D88" t="str">
        <v>C6E-921</v>
      </c>
      <c r="E88" t="str">
        <v/>
      </c>
      <c r="F88" t="str">
        <v>867806078831353</v>
      </c>
      <c r="G88" t="str">
        <v>TBD</v>
      </c>
      <c r="H88" t="str">
        <v/>
      </c>
      <c r="I88" t="str">
        <v>28/09/2026</v>
      </c>
      <c r="J88" t="str">
        <v>11:53:29</v>
      </c>
      <c r="K88">
        <v>-12.170433</v>
      </c>
      <c r="L88">
        <v>-76.929016</v>
      </c>
      <c r="M88">
        <f>HYPERLINK("https://www.google.com/maps/search/?api=1&amp;query=-12.170433,-76.929016","Avenida 28 de Julio, Villa María del Triunfo, Lima")</f>
      </c>
      <c r="N88">
        <v>0</v>
      </c>
      <c r="O88">
        <v>21</v>
      </c>
      <c r="P88">
        <v>295597.2</v>
      </c>
      <c r="Q88" t="str">
        <v>130.08</v>
      </c>
      <c r="R88" t="str">
        <v>Vehículo encendido</v>
      </c>
      <c r="S88" t="str">
        <v/>
      </c>
      <c r="T88" t="str">
        <v/>
      </c>
      <c r="U88" t="str">
        <v/>
      </c>
    </row>
    <row r="89">
      <c r="A89" t="str">
        <v>88</v>
      </c>
      <c r="B89" t="str">
        <v>MASS BSF</v>
      </c>
      <c r="C89" t="str">
        <v>C6E-921</v>
      </c>
      <c r="D89" t="str">
        <v>C6E-921</v>
      </c>
      <c r="E89" t="str">
        <v/>
      </c>
      <c r="F89" t="str">
        <v>867806078831353</v>
      </c>
      <c r="G89" t="str">
        <v>TBD</v>
      </c>
      <c r="H89" t="str">
        <v/>
      </c>
      <c r="I89" t="str">
        <v>28/09/2026</v>
      </c>
      <c r="J89" t="str">
        <v>11:53:58</v>
      </c>
      <c r="K89">
        <v>-12.170428</v>
      </c>
      <c r="L89">
        <v>-76.92902</v>
      </c>
      <c r="M89">
        <f>HYPERLINK("https://www.google.com/maps/search/?api=1&amp;query=-12.170428,-76.92902","Avenida 28 de Julio, Villa María del Triunfo, Lima")</f>
      </c>
      <c r="N89">
        <v>0</v>
      </c>
      <c r="O89">
        <v>21</v>
      </c>
      <c r="P89">
        <v>295597.21</v>
      </c>
      <c r="Q89" t="str">
        <v>130.08</v>
      </c>
      <c r="R89" t="str">
        <v/>
      </c>
      <c r="S89" t="str">
        <v/>
      </c>
      <c r="T89" t="str">
        <v/>
      </c>
      <c r="U89" t="str">
        <v/>
      </c>
    </row>
    <row r="90">
      <c r="A90" t="str">
        <v>89</v>
      </c>
      <c r="B90" t="str">
        <v>MASS BSF</v>
      </c>
      <c r="C90" t="str">
        <v>C6E-921</v>
      </c>
      <c r="D90" t="str">
        <v>C6E-921</v>
      </c>
      <c r="E90" t="str">
        <v/>
      </c>
      <c r="F90" t="str">
        <v>867806078831353</v>
      </c>
      <c r="G90" t="str">
        <v>TBD</v>
      </c>
      <c r="H90" t="str">
        <v/>
      </c>
      <c r="I90" t="str">
        <v>28/09/2026</v>
      </c>
      <c r="J90" t="str">
        <v>11:54:29</v>
      </c>
      <c r="K90">
        <v>-12.170432</v>
      </c>
      <c r="L90">
        <v>-76.92904</v>
      </c>
      <c r="M90">
        <f>HYPERLINK("https://www.google.com/maps/search/?api=1&amp;query=-12.170432,-76.92904","Avenida 28 de Julio, Villa María del Triunfo, Lima")</f>
      </c>
      <c r="N90">
        <v>0</v>
      </c>
      <c r="O90">
        <v>21</v>
      </c>
      <c r="P90">
        <v>295597.21</v>
      </c>
      <c r="Q90" t="str">
        <v>130.08</v>
      </c>
      <c r="R90" t="str">
        <v/>
      </c>
      <c r="S90" t="str">
        <v/>
      </c>
      <c r="T90" t="str">
        <v/>
      </c>
      <c r="U90" t="str">
        <v/>
      </c>
    </row>
    <row r="91">
      <c r="A91" t="str">
        <v>90</v>
      </c>
      <c r="B91" t="str">
        <v>MASS BSF</v>
      </c>
      <c r="C91" t="str">
        <v>C6E-921</v>
      </c>
      <c r="D91" t="str">
        <v>C6E-921</v>
      </c>
      <c r="E91" t="str">
        <v/>
      </c>
      <c r="F91" t="str">
        <v>867806078831353</v>
      </c>
      <c r="G91" t="str">
        <v>TBD</v>
      </c>
      <c r="H91" t="str">
        <v/>
      </c>
      <c r="I91" t="str">
        <v>28/09/2026</v>
      </c>
      <c r="J91" t="str">
        <v>11:55:29</v>
      </c>
      <c r="K91">
        <v>-12.170422</v>
      </c>
      <c r="L91">
        <v>-76.92902</v>
      </c>
      <c r="M91">
        <f>HYPERLINK("https://www.google.com/maps/search/?api=1&amp;query=-12.170422,-76.92902","Avenida 28 de Julio, Villa María del Triunfo, Lima")</f>
      </c>
      <c r="N91">
        <v>0</v>
      </c>
      <c r="O91">
        <v>30</v>
      </c>
      <c r="P91">
        <v>295597.21</v>
      </c>
      <c r="Q91" t="str">
        <v>130.08</v>
      </c>
      <c r="R91" t="str">
        <v/>
      </c>
      <c r="S91" t="str">
        <v/>
      </c>
      <c r="T91" t="str">
        <v/>
      </c>
      <c r="U91" t="str">
        <v/>
      </c>
    </row>
    <row r="92">
      <c r="A92" t="str">
        <v>91</v>
      </c>
      <c r="B92" t="str">
        <v>MASS BSF</v>
      </c>
      <c r="C92" t="str">
        <v>C6E-921</v>
      </c>
      <c r="D92" t="str">
        <v>C6E-921</v>
      </c>
      <c r="E92" t="str">
        <v/>
      </c>
      <c r="F92" t="str">
        <v>867806078831353</v>
      </c>
      <c r="G92" t="str">
        <v>TBD</v>
      </c>
      <c r="H92" t="str">
        <v/>
      </c>
      <c r="I92" t="str">
        <v>28/09/2026</v>
      </c>
      <c r="J92" t="str">
        <v>11:56:02</v>
      </c>
      <c r="K92">
        <v>-12.170471</v>
      </c>
      <c r="L92">
        <v>-76.92908</v>
      </c>
      <c r="M92">
        <f>HYPERLINK("https://www.google.com/maps/search/?api=1&amp;query=-12.170471,-76.92908","Avenida 28 de Julio, Villa María del Triunfo, Lima")</f>
      </c>
      <c r="N92">
        <v>10.7</v>
      </c>
      <c r="O92">
        <v>30</v>
      </c>
      <c r="P92">
        <v>295597.21</v>
      </c>
      <c r="Q92" t="str">
        <v>130.08</v>
      </c>
      <c r="R92" t="str">
        <v/>
      </c>
      <c r="S92" t="str">
        <v/>
      </c>
      <c r="T92" t="str">
        <v/>
      </c>
      <c r="U92" t="str">
        <v/>
      </c>
    </row>
    <row r="93">
      <c r="A93" t="str">
        <v>92</v>
      </c>
      <c r="B93" t="str">
        <v>MASS BSF</v>
      </c>
      <c r="C93" t="str">
        <v>C6E-921</v>
      </c>
      <c r="D93" t="str">
        <v>C6E-921</v>
      </c>
      <c r="E93" t="str">
        <v/>
      </c>
      <c r="F93" t="str">
        <v>867806078831353</v>
      </c>
      <c r="G93" t="str">
        <v>TBD</v>
      </c>
      <c r="H93" t="str">
        <v/>
      </c>
      <c r="I93" t="str">
        <v>28/09/2026</v>
      </c>
      <c r="J93" t="str">
        <v>11:56:17</v>
      </c>
      <c r="K93">
        <v>-12.170736</v>
      </c>
      <c r="L93">
        <v>-76.929436</v>
      </c>
      <c r="M93">
        <f>HYPERLINK("https://www.google.com/maps/search/?api=1&amp;query=-12.170736,-76.929436","Avenida 28 de Julio, Villa María del Triunfo, Lima")</f>
      </c>
      <c r="N93">
        <v>12.4</v>
      </c>
      <c r="O93">
        <v>30</v>
      </c>
      <c r="P93">
        <v>295597.28</v>
      </c>
      <c r="Q93" t="str">
        <v>130.08</v>
      </c>
      <c r="R93" t="str">
        <v>Se movio</v>
      </c>
      <c r="S93" t="str">
        <v/>
      </c>
      <c r="T93" t="str">
        <v/>
      </c>
      <c r="U93" t="str">
        <v/>
      </c>
    </row>
    <row r="94">
      <c r="A94" t="str">
        <v>93</v>
      </c>
      <c r="B94" t="str">
        <v>MASS BSF</v>
      </c>
      <c r="C94" t="str">
        <v>C6E-921</v>
      </c>
      <c r="D94" t="str">
        <v>C6E-921</v>
      </c>
      <c r="E94" t="str">
        <v/>
      </c>
      <c r="F94" t="str">
        <v>867806078831353</v>
      </c>
      <c r="G94" t="str">
        <v>TBD</v>
      </c>
      <c r="H94" t="str">
        <v/>
      </c>
      <c r="I94" t="str">
        <v>28/09/2026</v>
      </c>
      <c r="J94" t="str">
        <v>11:56:25</v>
      </c>
      <c r="K94">
        <v>-12.170903</v>
      </c>
      <c r="L94">
        <v>-76.92964</v>
      </c>
      <c r="M94">
        <f>HYPERLINK("https://www.google.com/maps/search/?api=1&amp;query=-12.170903,-76.92964","Avenida 28 de Julio, Villa María del Triunfo, Lima")</f>
      </c>
      <c r="N94">
        <v>7.7</v>
      </c>
      <c r="O94">
        <v>30</v>
      </c>
      <c r="P94">
        <v>295597.28</v>
      </c>
      <c r="Q94" t="str">
        <v>130.18</v>
      </c>
      <c r="R94" t="str">
        <v/>
      </c>
      <c r="S94" t="str">
        <v/>
      </c>
      <c r="T94" t="str">
        <v/>
      </c>
      <c r="U94" t="str">
        <v/>
      </c>
    </row>
    <row r="95">
      <c r="A95" t="str">
        <v>94</v>
      </c>
      <c r="B95" t="str">
        <v>MASS BSF</v>
      </c>
      <c r="C95" t="str">
        <v>C6E-921</v>
      </c>
      <c r="D95" t="str">
        <v>C6E-921</v>
      </c>
      <c r="E95" t="str">
        <v/>
      </c>
      <c r="F95" t="str">
        <v>867806078831353</v>
      </c>
      <c r="G95" t="str">
        <v>TBD</v>
      </c>
      <c r="H95" t="str">
        <v/>
      </c>
      <c r="I95" t="str">
        <v>28/09/2026</v>
      </c>
      <c r="J95" t="str">
        <v>11:56:30</v>
      </c>
      <c r="K95">
        <v>-12.17088</v>
      </c>
      <c r="L95">
        <v>-76.92977</v>
      </c>
      <c r="M95">
        <f>HYPERLINK("https://www.google.com/maps/search/?api=1&amp;query=-12.17088,-76.92977","Avenida 28 de Julio, Villa María del Triunfo, Lima")</f>
      </c>
      <c r="N95">
        <v>13.7</v>
      </c>
      <c r="O95">
        <v>30</v>
      </c>
      <c r="P95">
        <v>295597.3</v>
      </c>
      <c r="Q95" t="str">
        <v>130.18</v>
      </c>
      <c r="R95" t="str">
        <v/>
      </c>
      <c r="S95" t="str">
        <v/>
      </c>
      <c r="T95" t="str">
        <v/>
      </c>
      <c r="U95" t="str">
        <v/>
      </c>
    </row>
    <row r="96">
      <c r="A96" t="str">
        <v>95</v>
      </c>
      <c r="B96" t="str">
        <v>MASS BSF</v>
      </c>
      <c r="C96" t="str">
        <v>C6E-921</v>
      </c>
      <c r="D96" t="str">
        <v>C6E-921</v>
      </c>
      <c r="E96" t="str">
        <v/>
      </c>
      <c r="F96" t="str">
        <v>867806078831353</v>
      </c>
      <c r="G96" t="str">
        <v>TBD</v>
      </c>
      <c r="H96" t="str">
        <v/>
      </c>
      <c r="I96" t="str">
        <v>28/09/2026</v>
      </c>
      <c r="J96" t="str">
        <v>11:56:44</v>
      </c>
      <c r="K96">
        <v>-12.170635</v>
      </c>
      <c r="L96">
        <v>-76.92992</v>
      </c>
      <c r="M96">
        <f>HYPERLINK("https://www.google.com/maps/search/?api=1&amp;query=-12.170635,-76.92992","Avenida 26 de Noviembre, Villa María del Triunfo, Lima")</f>
      </c>
      <c r="N96">
        <v>5.9</v>
      </c>
      <c r="O96">
        <v>30</v>
      </c>
      <c r="P96">
        <v>295597.34</v>
      </c>
      <c r="Q96" t="str">
        <v>130.18</v>
      </c>
      <c r="R96" t="str">
        <v/>
      </c>
      <c r="S96" t="str">
        <v/>
      </c>
      <c r="T96" t="str">
        <v/>
      </c>
      <c r="U96" t="str">
        <v/>
      </c>
    </row>
    <row r="97">
      <c r="A97" t="str">
        <v>96</v>
      </c>
      <c r="B97" t="str">
        <v>MASS BSF</v>
      </c>
      <c r="C97" t="str">
        <v>C6E-921</v>
      </c>
      <c r="D97" t="str">
        <v>C6E-921</v>
      </c>
      <c r="E97" t="str">
        <v/>
      </c>
      <c r="F97" t="str">
        <v>867806078831353</v>
      </c>
      <c r="G97" t="str">
        <v>TBD</v>
      </c>
      <c r="H97" t="str">
        <v/>
      </c>
      <c r="I97" t="str">
        <v>28/09/2026</v>
      </c>
      <c r="J97" t="str">
        <v>11:56:49</v>
      </c>
      <c r="K97">
        <v>-12.17055</v>
      </c>
      <c r="L97">
        <v>-76.929825</v>
      </c>
      <c r="M97">
        <f>HYPERLINK("https://www.google.com/maps/search/?api=1&amp;query=-12.17055,-76.929825","Avenida 26 de Noviembre, Villa María del Triunfo, Lima")</f>
      </c>
      <c r="N97">
        <v>12.4</v>
      </c>
      <c r="O97">
        <v>30</v>
      </c>
      <c r="P97">
        <v>295597.34</v>
      </c>
      <c r="Q97" t="str">
        <v>130.18</v>
      </c>
      <c r="R97" t="str">
        <v/>
      </c>
      <c r="S97" t="str">
        <v/>
      </c>
      <c r="T97" t="str">
        <v/>
      </c>
      <c r="U97" t="str">
        <v/>
      </c>
    </row>
    <row r="98">
      <c r="A98" t="str">
        <v>97</v>
      </c>
      <c r="B98" t="str">
        <v>MASS BSF</v>
      </c>
      <c r="C98" t="str">
        <v>C6E-921</v>
      </c>
      <c r="D98" t="str">
        <v>C6E-921</v>
      </c>
      <c r="E98" t="str">
        <v/>
      </c>
      <c r="F98" t="str">
        <v>867806078831353</v>
      </c>
      <c r="G98" t="str">
        <v>TBD</v>
      </c>
      <c r="H98" t="str">
        <v/>
      </c>
      <c r="I98" t="str">
        <v>28/09/2026</v>
      </c>
      <c r="J98" t="str">
        <v>11:56:56</v>
      </c>
      <c r="K98">
        <v>-12.170462</v>
      </c>
      <c r="L98">
        <v>-76.9297</v>
      </c>
      <c r="M98">
        <f>HYPERLINK("https://www.google.com/maps/search/?api=1&amp;query=-12.170462,-76.9297","Avenida 26 de Noviembre, Villa María del Triunfo, Lima")</f>
      </c>
      <c r="N98">
        <v>7.2</v>
      </c>
      <c r="O98">
        <v>30</v>
      </c>
      <c r="P98">
        <v>295597.38</v>
      </c>
      <c r="Q98" t="str">
        <v>130.18</v>
      </c>
      <c r="R98" t="str">
        <v/>
      </c>
      <c r="S98" t="str">
        <v/>
      </c>
      <c r="T98" t="str">
        <v/>
      </c>
      <c r="U98" t="str">
        <v/>
      </c>
    </row>
    <row r="99">
      <c r="A99" t="str">
        <v>98</v>
      </c>
      <c r="B99" t="str">
        <v>MASS BSF</v>
      </c>
      <c r="C99" t="str">
        <v>C6E-921</v>
      </c>
      <c r="D99" t="str">
        <v>C6E-921</v>
      </c>
      <c r="E99" t="str">
        <v/>
      </c>
      <c r="F99" t="str">
        <v>867806078831353</v>
      </c>
      <c r="G99" t="str">
        <v>TBD</v>
      </c>
      <c r="H99" t="str">
        <v/>
      </c>
      <c r="I99" t="str">
        <v>28/09/2026</v>
      </c>
      <c r="J99" t="str">
        <v>11:57:03</v>
      </c>
      <c r="K99">
        <v>-12.17038</v>
      </c>
      <c r="L99">
        <v>-76.92976</v>
      </c>
      <c r="M99">
        <f>HYPERLINK("https://www.google.com/maps/search/?api=1&amp;query=-12.17038,-76.92976","Avenida 26 de Noviembre, Villa María del Triunfo, Lima")</f>
      </c>
      <c r="N99">
        <v>6.6</v>
      </c>
      <c r="O99">
        <v>30</v>
      </c>
      <c r="P99">
        <v>295597.38</v>
      </c>
      <c r="Q99" t="str">
        <v>130.18</v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99</v>
      </c>
      <c r="B100" t="str">
        <v>MASS BSF</v>
      </c>
      <c r="C100" t="str">
        <v>C6E-921</v>
      </c>
      <c r="D100" t="str">
        <v>C6E-921</v>
      </c>
      <c r="E100" t="str">
        <v/>
      </c>
      <c r="F100" t="str">
        <v>867806078831353</v>
      </c>
      <c r="G100" t="str">
        <v>TBD</v>
      </c>
      <c r="H100" t="str">
        <v/>
      </c>
      <c r="I100" t="str">
        <v>28/09/2026</v>
      </c>
      <c r="J100" t="str">
        <v>11:57:08</v>
      </c>
      <c r="K100">
        <v>-12.17044</v>
      </c>
      <c r="L100">
        <v>-76.9299</v>
      </c>
      <c r="M100">
        <f>HYPERLINK("https://www.google.com/maps/search/?api=1&amp;query=-12.17044,-76.9299","Avenida 26 de Noviembre, Villa María del Triunfo, Lima")</f>
      </c>
      <c r="N100">
        <v>16.4</v>
      </c>
      <c r="O100">
        <v>30</v>
      </c>
      <c r="P100">
        <v>295597.4</v>
      </c>
      <c r="Q100" t="str">
        <v>130.18</v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100</v>
      </c>
      <c r="B101" t="str">
        <v>MASS BSF</v>
      </c>
      <c r="C101" t="str">
        <v>C6E-921</v>
      </c>
      <c r="D101" t="str">
        <v>C6E-921</v>
      </c>
      <c r="E101" t="str">
        <v/>
      </c>
      <c r="F101" t="str">
        <v>867806078831353</v>
      </c>
      <c r="G101" t="str">
        <v>TBD</v>
      </c>
      <c r="H101" t="str">
        <v/>
      </c>
      <c r="I101" t="str">
        <v>28/09/2026</v>
      </c>
      <c r="J101" t="str">
        <v>11:58:08</v>
      </c>
      <c r="K101">
        <v>-12.172441</v>
      </c>
      <c r="L101">
        <v>-76.932686</v>
      </c>
      <c r="M101">
        <f>HYPERLINK("https://www.google.com/maps/search/?api=1&amp;query=-12.172441,-76.932686","Avenida 26 de Noviembre, Villa María del Triunfo, Lima")</f>
      </c>
      <c r="N101">
        <v>4.4</v>
      </c>
      <c r="O101">
        <v>30</v>
      </c>
      <c r="P101">
        <v>295597.78</v>
      </c>
      <c r="Q101" t="str">
        <v>130.18</v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101</v>
      </c>
      <c r="B102" t="str">
        <v>MASS BSF</v>
      </c>
      <c r="C102" t="str">
        <v>C6E-921</v>
      </c>
      <c r="D102" t="str">
        <v>C6E-921</v>
      </c>
      <c r="E102" t="str">
        <v/>
      </c>
      <c r="F102" t="str">
        <v>867806078831353</v>
      </c>
      <c r="G102" t="str">
        <v>TBD</v>
      </c>
      <c r="H102" t="str">
        <v/>
      </c>
      <c r="I102" t="str">
        <v>28/09/2026</v>
      </c>
      <c r="J102" t="str">
        <v>11:59:08</v>
      </c>
      <c r="K102">
        <v>-12.172975</v>
      </c>
      <c r="L102">
        <v>-76.93342</v>
      </c>
      <c r="M102">
        <f>HYPERLINK("https://www.google.com/maps/search/?api=1&amp;query=-12.172975,-76.93342","Avenida 26 de Noviembre, Villa María del Triunfo, Lima")</f>
      </c>
      <c r="N102">
        <v>39</v>
      </c>
      <c r="O102">
        <v>30</v>
      </c>
      <c r="P102">
        <v>295597.88</v>
      </c>
      <c r="Q102" t="str">
        <v>130.18</v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102</v>
      </c>
      <c r="B103" t="str">
        <v>MASS BSF</v>
      </c>
      <c r="C103" t="str">
        <v>C6E-921</v>
      </c>
      <c r="D103" t="str">
        <v>C6E-921</v>
      </c>
      <c r="E103" t="str">
        <v/>
      </c>
      <c r="F103" t="str">
        <v>867806078831353</v>
      </c>
      <c r="G103" t="str">
        <v>TBD</v>
      </c>
      <c r="H103" t="str">
        <v/>
      </c>
      <c r="I103" t="str">
        <v>28/09/2026</v>
      </c>
      <c r="J103" t="str">
        <v>11:59:30</v>
      </c>
      <c r="K103">
        <v>-12.174418</v>
      </c>
      <c r="L103">
        <v>-76.935394</v>
      </c>
      <c r="M103">
        <f>HYPERLINK("https://www.google.com/maps/search/?api=1&amp;query=-12.174418,-76.935394","Avenida 26 de Noviembre, Villa María del Triunfo, Lima")</f>
      </c>
      <c r="N103">
        <v>14</v>
      </c>
      <c r="O103">
        <v>64</v>
      </c>
      <c r="P103">
        <v>295598.12</v>
      </c>
      <c r="Q103" t="str">
        <v>130.18</v>
      </c>
      <c r="R103" t="str">
        <v>Acelerado y giro brusco</v>
      </c>
      <c r="S103" t="str">
        <v/>
      </c>
      <c r="T103" t="str">
        <v/>
      </c>
      <c r="U103" t="str">
        <v/>
      </c>
    </row>
    <row r="104">
      <c r="A104" t="str">
        <v>103</v>
      </c>
      <c r="B104" t="str">
        <v>MASS BSF</v>
      </c>
      <c r="C104" t="str">
        <v>C6E-921</v>
      </c>
      <c r="D104" t="str">
        <v>C6E-921</v>
      </c>
      <c r="E104" t="str">
        <v/>
      </c>
      <c r="F104" t="str">
        <v>867806078831353</v>
      </c>
      <c r="G104" t="str">
        <v>TBD</v>
      </c>
      <c r="H104" t="str">
        <v/>
      </c>
      <c r="I104" t="str">
        <v>28/09/2026</v>
      </c>
      <c r="J104" t="str">
        <v>12:00:08</v>
      </c>
      <c r="K104">
        <v>-12.175458</v>
      </c>
      <c r="L104">
        <v>-76.93684</v>
      </c>
      <c r="M104">
        <f>HYPERLINK("https://www.google.com/maps/search/?api=1&amp;query=-12.175458,-76.93684","Avenida 26 de Noviembre, Villa María del Triunfo, Lima")</f>
      </c>
      <c r="N104">
        <v>39</v>
      </c>
      <c r="O104">
        <v>30</v>
      </c>
      <c r="P104">
        <v>295598.3</v>
      </c>
      <c r="Q104" t="str">
        <v>130.18</v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104</v>
      </c>
      <c r="B105" t="str">
        <v>MASS BSF</v>
      </c>
      <c r="C105" t="str">
        <v>C6E-921</v>
      </c>
      <c r="D105" t="str">
        <v>C6E-921</v>
      </c>
      <c r="E105" t="str">
        <v/>
      </c>
      <c r="F105" t="str">
        <v>867806078831353</v>
      </c>
      <c r="G105" t="str">
        <v>TBD</v>
      </c>
      <c r="H105" t="str">
        <v/>
      </c>
      <c r="I105" t="str">
        <v>28/09/2026</v>
      </c>
      <c r="J105" t="str">
        <v>12:01:08</v>
      </c>
      <c r="K105">
        <v>-12.176396</v>
      </c>
      <c r="L105">
        <v>-76.93811</v>
      </c>
      <c r="M105">
        <f>HYPERLINK("https://www.google.com/maps/search/?api=1&amp;query=-12.176396,-76.93811","Avenida 26 de Noviembre, Villa María del Triunfo, Lima")</f>
      </c>
      <c r="N105">
        <v>0</v>
      </c>
      <c r="O105">
        <v>30</v>
      </c>
      <c r="P105">
        <v>295598.5</v>
      </c>
      <c r="Q105" t="str">
        <v>130.18</v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105</v>
      </c>
      <c r="B106" t="str">
        <v>MASS BSF</v>
      </c>
      <c r="C106" t="str">
        <v>C6E-921</v>
      </c>
      <c r="D106" t="str">
        <v>C6E-921</v>
      </c>
      <c r="E106" t="str">
        <v/>
      </c>
      <c r="F106" t="str">
        <v>867806078831353</v>
      </c>
      <c r="G106" t="str">
        <v>TBD</v>
      </c>
      <c r="H106" t="str">
        <v/>
      </c>
      <c r="I106" t="str">
        <v>28/09/2026</v>
      </c>
      <c r="J106" t="str">
        <v>12:02:08</v>
      </c>
      <c r="K106">
        <v>-12.176601</v>
      </c>
      <c r="L106">
        <v>-76.93841</v>
      </c>
      <c r="M106">
        <f>HYPERLINK("https://www.google.com/maps/search/?api=1&amp;query=-12.176601,-76.93841","Avenida 26 de Noviembre, Villa María del Triunfo, Lima")</f>
      </c>
      <c r="N106">
        <v>2.9</v>
      </c>
      <c r="O106">
        <v>30</v>
      </c>
      <c r="P106">
        <v>295598.53</v>
      </c>
      <c r="Q106" t="str">
        <v>130.18</v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106</v>
      </c>
      <c r="B107" t="str">
        <v>MASS BSF</v>
      </c>
      <c r="C107" t="str">
        <v>C6E-921</v>
      </c>
      <c r="D107" t="str">
        <v>C6E-921</v>
      </c>
      <c r="E107" t="str">
        <v/>
      </c>
      <c r="F107" t="str">
        <v>867806078831353</v>
      </c>
      <c r="G107" t="str">
        <v>TBD</v>
      </c>
      <c r="H107" t="str">
        <v/>
      </c>
      <c r="I107" t="str">
        <v>28/09/2026</v>
      </c>
      <c r="J107" t="str">
        <v>12:03:08</v>
      </c>
      <c r="K107">
        <v>-12.176887</v>
      </c>
      <c r="L107">
        <v>-76.938805</v>
      </c>
      <c r="M107">
        <f>HYPERLINK("https://www.google.com/maps/search/?api=1&amp;query=-12.176887,-76.938805","Avenida 26 de Noviembre, Villa María del Triunfo, Lima")</f>
      </c>
      <c r="N107">
        <v>0</v>
      </c>
      <c r="O107">
        <v>30</v>
      </c>
      <c r="P107">
        <v>295598.56</v>
      </c>
      <c r="Q107" t="str">
        <v>130.18</v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107</v>
      </c>
      <c r="B108" t="str">
        <v>MASS BSF</v>
      </c>
      <c r="C108" t="str">
        <v>C6E-921</v>
      </c>
      <c r="D108" t="str">
        <v>C6E-921</v>
      </c>
      <c r="E108" t="str">
        <v/>
      </c>
      <c r="F108" t="str">
        <v>867806078831353</v>
      </c>
      <c r="G108" t="str">
        <v>TBD</v>
      </c>
      <c r="H108" t="str">
        <v/>
      </c>
      <c r="I108" t="str">
        <v>28/09/2026</v>
      </c>
      <c r="J108" t="str">
        <v>12:04:08</v>
      </c>
      <c r="K108">
        <v>-12.176944</v>
      </c>
      <c r="L108">
        <v>-76.938866</v>
      </c>
      <c r="M108">
        <f>HYPERLINK("https://www.google.com/maps/search/?api=1&amp;query=-12.176944,-76.938866","Avenida 26 de Noviembre, Villa María del Triunfo, Lima")</f>
      </c>
      <c r="N108">
        <v>0</v>
      </c>
      <c r="O108">
        <v>30</v>
      </c>
      <c r="P108">
        <v>295598.59</v>
      </c>
      <c r="Q108" t="str">
        <v>130.18</v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108</v>
      </c>
      <c r="B109" t="str">
        <v>MASS BSF</v>
      </c>
      <c r="C109" t="str">
        <v>C6E-921</v>
      </c>
      <c r="D109" t="str">
        <v>C6E-921</v>
      </c>
      <c r="E109" t="str">
        <v/>
      </c>
      <c r="F109" t="str">
        <v>867806078831353</v>
      </c>
      <c r="G109" t="str">
        <v>TBD</v>
      </c>
      <c r="H109" t="str">
        <v/>
      </c>
      <c r="I109" t="str">
        <v>28/09/2026</v>
      </c>
      <c r="J109" t="str">
        <v>12:05:08</v>
      </c>
      <c r="K109">
        <v>-12.177038</v>
      </c>
      <c r="L109">
        <v>-76.938995</v>
      </c>
      <c r="M109">
        <f>HYPERLINK("https://www.google.com/maps/search/?api=1&amp;query=-12.177038,-76.938995","Avenida 26 de Noviembre, Villa María del Triunfo, Lima")</f>
      </c>
      <c r="N109">
        <v>0</v>
      </c>
      <c r="O109">
        <v>30</v>
      </c>
      <c r="P109">
        <v>295598.59</v>
      </c>
      <c r="Q109" t="str">
        <v>130.18</v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109</v>
      </c>
      <c r="B110" t="str">
        <v>MASS BSF</v>
      </c>
      <c r="C110" t="str">
        <v>C6E-921</v>
      </c>
      <c r="D110" t="str">
        <v>C6E-921</v>
      </c>
      <c r="E110" t="str">
        <v/>
      </c>
      <c r="F110" t="str">
        <v>867806078831353</v>
      </c>
      <c r="G110" t="str">
        <v>TBD</v>
      </c>
      <c r="H110" t="str">
        <v/>
      </c>
      <c r="I110" t="str">
        <v>28/09/2026</v>
      </c>
      <c r="J110" t="str">
        <v>12:06:08</v>
      </c>
      <c r="K110">
        <v>-12.177148</v>
      </c>
      <c r="L110">
        <v>-76.93913</v>
      </c>
      <c r="M110">
        <f>HYPERLINK("https://www.google.com/maps/search/?api=1&amp;query=-12.177148,-76.93913","Avenida 26 de Noviembre, Villa María del Triunfo, Lima")</f>
      </c>
      <c r="N110">
        <v>0</v>
      </c>
      <c r="O110">
        <v>30</v>
      </c>
      <c r="P110">
        <v>295598.62</v>
      </c>
      <c r="Q110" t="str">
        <v>130.18</v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110</v>
      </c>
      <c r="B111" t="str">
        <v>MASS BSF</v>
      </c>
      <c r="C111" t="str">
        <v>C6E-921</v>
      </c>
      <c r="D111" t="str">
        <v>C6E-921</v>
      </c>
      <c r="E111" t="str">
        <v/>
      </c>
      <c r="F111" t="str">
        <v>867806078831353</v>
      </c>
      <c r="G111" t="str">
        <v>TBD</v>
      </c>
      <c r="H111" t="str">
        <v/>
      </c>
      <c r="I111" t="str">
        <v>28/09/2026</v>
      </c>
      <c r="J111" t="str">
        <v>12:07:08</v>
      </c>
      <c r="K111">
        <v>-12.177664</v>
      </c>
      <c r="L111">
        <v>-76.93977</v>
      </c>
      <c r="M111">
        <f>HYPERLINK("https://www.google.com/maps/search/?api=1&amp;query=-12.177664,-76.93977","Avenida 26 de Noviembre, Villa María del Triunfo, Lima")</f>
      </c>
      <c r="N111">
        <v>16.1</v>
      </c>
      <c r="O111">
        <v>30</v>
      </c>
      <c r="P111">
        <v>295598.7</v>
      </c>
      <c r="Q111" t="str">
        <v>130.18</v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111</v>
      </c>
      <c r="B112" t="str">
        <v>MASS BSF</v>
      </c>
      <c r="C112" t="str">
        <v>C6E-921</v>
      </c>
      <c r="D112" t="str">
        <v>C6E-921</v>
      </c>
      <c r="E112" t="str">
        <v/>
      </c>
      <c r="F112" t="str">
        <v>867806078831353</v>
      </c>
      <c r="G112" t="str">
        <v>TBD</v>
      </c>
      <c r="H112" t="str">
        <v/>
      </c>
      <c r="I112" t="str">
        <v>28/09/2026</v>
      </c>
      <c r="J112" t="str">
        <v>12:07:50</v>
      </c>
      <c r="K112">
        <v>-12.179775</v>
      </c>
      <c r="L112">
        <v>-76.94268</v>
      </c>
      <c r="M112">
        <f>HYPERLINK("https://www.google.com/maps/search/?api=1&amp;query=-12.179775,-76.94268","Avenida 26 de Noviembre, Villa María del Triunfo, Lima")</f>
      </c>
      <c r="N112">
        <v>7.9</v>
      </c>
      <c r="O112">
        <v>30</v>
      </c>
      <c r="P112">
        <v>295599.09</v>
      </c>
      <c r="Q112" t="str">
        <v>130.18</v>
      </c>
      <c r="R112" t="str">
        <v>Aceleración brusca</v>
      </c>
      <c r="S112" t="str">
        <v/>
      </c>
      <c r="T112" t="str">
        <v/>
      </c>
      <c r="U112" t="str">
        <v/>
      </c>
    </row>
    <row r="113">
      <c r="A113" t="str">
        <v>112</v>
      </c>
      <c r="B113" t="str">
        <v>MASS BSF</v>
      </c>
      <c r="C113" t="str">
        <v>C6E-921</v>
      </c>
      <c r="D113" t="str">
        <v>C6E-921</v>
      </c>
      <c r="E113" t="str">
        <v/>
      </c>
      <c r="F113" t="str">
        <v>867806078831353</v>
      </c>
      <c r="G113" t="str">
        <v>TBD</v>
      </c>
      <c r="H113" t="str">
        <v/>
      </c>
      <c r="I113" t="str">
        <v>28/09/2026</v>
      </c>
      <c r="J113" t="str">
        <v>12:07:52</v>
      </c>
      <c r="K113">
        <v>-12.17979</v>
      </c>
      <c r="L113">
        <v>-76.942696</v>
      </c>
      <c r="M113">
        <f>HYPERLINK("https://www.google.com/maps/search/?api=1&amp;query=-12.17979,-76.942696","Avenida 26 de Noviembre, Villa María del Triunfo, Lima")</f>
      </c>
      <c r="N113">
        <v>0.1</v>
      </c>
      <c r="O113">
        <v>30</v>
      </c>
      <c r="P113">
        <v>295599.09</v>
      </c>
      <c r="Q113" t="str">
        <v>130.18</v>
      </c>
      <c r="R113" t="str">
        <v>Bache</v>
      </c>
      <c r="S113" t="str">
        <v/>
      </c>
      <c r="T113" t="str">
        <v/>
      </c>
      <c r="U113" t="str">
        <v/>
      </c>
    </row>
    <row r="114">
      <c r="A114" t="str">
        <v>113</v>
      </c>
      <c r="B114" t="str">
        <v>MASS BSF</v>
      </c>
      <c r="C114" t="str">
        <v>C6E-921</v>
      </c>
      <c r="D114" t="str">
        <v>C6E-921</v>
      </c>
      <c r="E114" t="str">
        <v/>
      </c>
      <c r="F114" t="str">
        <v>867806078831353</v>
      </c>
      <c r="G114" t="str">
        <v>TBD</v>
      </c>
      <c r="H114" t="str">
        <v/>
      </c>
      <c r="I114" t="str">
        <v>28/09/2026</v>
      </c>
      <c r="J114" t="str">
        <v>12:08:08</v>
      </c>
      <c r="K114">
        <v>-12.17983</v>
      </c>
      <c r="L114">
        <v>-76.94274</v>
      </c>
      <c r="M114">
        <f>HYPERLINK("https://www.google.com/maps/search/?api=1&amp;query=-12.17983,-76.94274","Avenida 26 de Noviembre, Villa María del Triunfo, Lima")</f>
      </c>
      <c r="N114">
        <v>0</v>
      </c>
      <c r="O114">
        <v>30</v>
      </c>
      <c r="P114">
        <v>295599.09</v>
      </c>
      <c r="Q114" t="str">
        <v>130.18</v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114</v>
      </c>
      <c r="B115" t="str">
        <v>MASS BSF</v>
      </c>
      <c r="C115" t="str">
        <v>C6E-921</v>
      </c>
      <c r="D115" t="str">
        <v>C6E-921</v>
      </c>
      <c r="E115" t="str">
        <v/>
      </c>
      <c r="F115" t="str">
        <v>867806078831353</v>
      </c>
      <c r="G115" t="str">
        <v>TBD</v>
      </c>
      <c r="H115" t="str">
        <v/>
      </c>
      <c r="I115" t="str">
        <v>28/09/2026</v>
      </c>
      <c r="J115" t="str">
        <v>12:08:24</v>
      </c>
      <c r="K115">
        <v>-12.180133</v>
      </c>
      <c r="L115">
        <v>-76.94317</v>
      </c>
      <c r="M115">
        <f>HYPERLINK("https://www.google.com/maps/search/?api=1&amp;query=-12.180133,-76.94317","Avenida 26 de Noviembre, Villa María del Triunfo, Lima")</f>
      </c>
      <c r="N115">
        <v>16.8</v>
      </c>
      <c r="O115">
        <v>30</v>
      </c>
      <c r="P115">
        <v>295599.15</v>
      </c>
      <c r="Q115" t="str">
        <v>130.18</v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115</v>
      </c>
      <c r="B116" t="str">
        <v>MASS BSF</v>
      </c>
      <c r="C116" t="str">
        <v>C6E-921</v>
      </c>
      <c r="D116" t="str">
        <v>C6E-921</v>
      </c>
      <c r="E116" t="str">
        <v/>
      </c>
      <c r="F116" t="str">
        <v>867806078831353</v>
      </c>
      <c r="G116" t="str">
        <v>TBD</v>
      </c>
      <c r="H116" t="str">
        <v/>
      </c>
      <c r="I116" t="str">
        <v>28/09/2026</v>
      </c>
      <c r="J116" t="str">
        <v>12:08:29</v>
      </c>
      <c r="K116">
        <v>-12.180205</v>
      </c>
      <c r="L116">
        <v>-76.94337</v>
      </c>
      <c r="M116">
        <f>HYPERLINK("https://www.google.com/maps/search/?api=1&amp;query=-12.180205,-76.94337","Avenida 26 de Noviembre, Villa María del Triunfo, Lima")</f>
      </c>
      <c r="N116">
        <v>14.2</v>
      </c>
      <c r="O116">
        <v>30</v>
      </c>
      <c r="P116">
        <v>295599.2</v>
      </c>
      <c r="Q116" t="str">
        <v>130.18</v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116</v>
      </c>
      <c r="B117" t="str">
        <v>MASS BSF</v>
      </c>
      <c r="C117" t="str">
        <v>C6E-921</v>
      </c>
      <c r="D117" t="str">
        <v>C6E-921</v>
      </c>
      <c r="E117" t="str">
        <v/>
      </c>
      <c r="F117" t="str">
        <v>867806078831353</v>
      </c>
      <c r="G117" t="str">
        <v>TBD</v>
      </c>
      <c r="H117" t="str">
        <v/>
      </c>
      <c r="I117" t="str">
        <v>28/09/2026</v>
      </c>
      <c r="J117" t="str">
        <v>12:08:37</v>
      </c>
      <c r="K117">
        <v>-12.180311</v>
      </c>
      <c r="L117">
        <v>-76.94371</v>
      </c>
      <c r="M117">
        <f>HYPERLINK("https://www.google.com/maps/search/?api=1&amp;query=-12.180311,-76.94371","Avenida Pachacútec, Villa María del Triunfo, Lima")</f>
      </c>
      <c r="N117">
        <v>13.7</v>
      </c>
      <c r="O117">
        <v>30</v>
      </c>
      <c r="P117">
        <v>295599.21</v>
      </c>
      <c r="Q117" t="str">
        <v>130.18</v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117</v>
      </c>
      <c r="B118" t="str">
        <v>MASS BSF</v>
      </c>
      <c r="C118" t="str">
        <v>C6E-921</v>
      </c>
      <c r="D118" t="str">
        <v>C6E-921</v>
      </c>
      <c r="E118" t="str">
        <v/>
      </c>
      <c r="F118" t="str">
        <v>867806078831353</v>
      </c>
      <c r="G118" t="str">
        <v>TBD</v>
      </c>
      <c r="H118" t="str">
        <v/>
      </c>
      <c r="I118" t="str">
        <v>28/09/2026</v>
      </c>
      <c r="J118" t="str">
        <v>12:09:05</v>
      </c>
      <c r="K118">
        <v>-12.180495</v>
      </c>
      <c r="L118">
        <v>-76.943665</v>
      </c>
      <c r="M118">
        <f>HYPERLINK("https://www.google.com/maps/search/?api=1&amp;query=-12.180495,-76.943665","Ovalo 26 de Noviembre, Villa María del Triunfo, Lima")</f>
      </c>
      <c r="N118">
        <v>5.5</v>
      </c>
      <c r="O118">
        <v>30</v>
      </c>
      <c r="P118">
        <v>295599.25</v>
      </c>
      <c r="Q118" t="str">
        <v>130.18</v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118</v>
      </c>
      <c r="B119" t="str">
        <v>MASS BSF</v>
      </c>
      <c r="C119" t="str">
        <v>C6E-921</v>
      </c>
      <c r="D119" t="str">
        <v>C6E-921</v>
      </c>
      <c r="E119" t="str">
        <v/>
      </c>
      <c r="F119" t="str">
        <v>867806078831353</v>
      </c>
      <c r="G119" t="str">
        <v>TBD</v>
      </c>
      <c r="H119" t="str">
        <v/>
      </c>
      <c r="I119" t="str">
        <v>28/09/2026</v>
      </c>
      <c r="J119" t="str">
        <v>12:09:22</v>
      </c>
      <c r="K119">
        <v>-12.181401</v>
      </c>
      <c r="L119">
        <v>-76.94307</v>
      </c>
      <c r="M119">
        <f>HYPERLINK("https://www.google.com/maps/search/?api=1&amp;query=-12.181401,-76.94307","Avenida Pachacútec, Villa María del Triunfo, Lima")</f>
      </c>
      <c r="N119">
        <v>40.1</v>
      </c>
      <c r="O119">
        <v>71</v>
      </c>
      <c r="P119">
        <v>295599.34</v>
      </c>
      <c r="Q119" t="str">
        <v>130.18</v>
      </c>
      <c r="R119" t="str">
        <v>Bache</v>
      </c>
      <c r="S119" t="str">
        <v/>
      </c>
      <c r="T119" t="str">
        <v/>
      </c>
      <c r="U119" t="str">
        <v/>
      </c>
    </row>
    <row r="120">
      <c r="A120" t="str">
        <v>119</v>
      </c>
      <c r="B120" t="str">
        <v>MASS BSF</v>
      </c>
      <c r="C120" t="str">
        <v>C6E-921</v>
      </c>
      <c r="D120" t="str">
        <v>C6E-921</v>
      </c>
      <c r="E120" t="str">
        <v/>
      </c>
      <c r="F120" t="str">
        <v>867806078831353</v>
      </c>
      <c r="G120" t="str">
        <v>TBD</v>
      </c>
      <c r="H120" t="str">
        <v/>
      </c>
      <c r="I120" t="str">
        <v>28/09/2026</v>
      </c>
      <c r="J120" t="str">
        <v>12:10:05</v>
      </c>
      <c r="K120">
        <v>-12.182333</v>
      </c>
      <c r="L120">
        <v>-76.94252</v>
      </c>
      <c r="M120">
        <f>HYPERLINK("https://www.google.com/maps/search/?api=1&amp;query=-12.182333,-76.94252","Avenida Pachacútec, Villa María del Triunfo, Lima")</f>
      </c>
      <c r="N120">
        <v>0</v>
      </c>
      <c r="O120">
        <v>30</v>
      </c>
      <c r="P120">
        <v>295599.46</v>
      </c>
      <c r="Q120" t="str">
        <v>130.18</v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120</v>
      </c>
      <c r="B121" t="str">
        <v>MASS BSF</v>
      </c>
      <c r="C121" t="str">
        <v>C6E-921</v>
      </c>
      <c r="D121" t="str">
        <v>C6E-921</v>
      </c>
      <c r="E121" t="str">
        <v/>
      </c>
      <c r="F121" t="str">
        <v>867806078831353</v>
      </c>
      <c r="G121" t="str">
        <v>TBD</v>
      </c>
      <c r="H121" t="str">
        <v/>
      </c>
      <c r="I121" t="str">
        <v>28/09/2026</v>
      </c>
      <c r="J121" t="str">
        <v>12:11:01</v>
      </c>
      <c r="K121">
        <v>-12.182702</v>
      </c>
      <c r="L121">
        <v>-76.94229</v>
      </c>
      <c r="M121">
        <f>HYPERLINK("https://www.google.com/maps/search/?api=1&amp;query=-12.182702,-76.94229","Avenida Mateo Pumacahua, Villa El Salvador, Lima")</f>
      </c>
      <c r="N121">
        <v>17</v>
      </c>
      <c r="O121">
        <v>30</v>
      </c>
      <c r="P121">
        <v>295599.53</v>
      </c>
      <c r="Q121" t="str">
        <v>130.18</v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121</v>
      </c>
      <c r="B122" t="str">
        <v>MASS BSF</v>
      </c>
      <c r="C122" t="str">
        <v>C6E-921</v>
      </c>
      <c r="D122" t="str">
        <v>C6E-921</v>
      </c>
      <c r="E122" t="str">
        <v/>
      </c>
      <c r="F122" t="str">
        <v>867806078831353</v>
      </c>
      <c r="G122" t="str">
        <v>TBD</v>
      </c>
      <c r="H122" t="str">
        <v/>
      </c>
      <c r="I122" t="str">
        <v>28/09/2026</v>
      </c>
      <c r="J122" t="str">
        <v>12:11:09</v>
      </c>
      <c r="K122">
        <v>-12.182988</v>
      </c>
      <c r="L122">
        <v>-76.94196</v>
      </c>
      <c r="M122">
        <f>HYPERLINK("https://www.google.com/maps/search/?api=1&amp;query=-12.182988,-76.94196","Avenida Pachacútec, Villa María del Triunfo, Lima")</f>
      </c>
      <c r="N122">
        <v>24.4</v>
      </c>
      <c r="O122">
        <v>30</v>
      </c>
      <c r="P122">
        <v>295599.56</v>
      </c>
      <c r="Q122" t="str">
        <v>130.18</v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122</v>
      </c>
      <c r="B123" t="str">
        <v>MASS BSF</v>
      </c>
      <c r="C123" t="str">
        <v>C6E-921</v>
      </c>
      <c r="D123" t="str">
        <v>C6E-921</v>
      </c>
      <c r="E123" t="str">
        <v/>
      </c>
      <c r="F123" t="str">
        <v>867806078831353</v>
      </c>
      <c r="G123" t="str">
        <v>TBD</v>
      </c>
      <c r="H123" t="str">
        <v/>
      </c>
      <c r="I123" t="str">
        <v>28/09/2026</v>
      </c>
      <c r="J123" t="str">
        <v>12:11:49</v>
      </c>
      <c r="K123">
        <v>-12.185575</v>
      </c>
      <c r="L123">
        <v>-76.9404</v>
      </c>
      <c r="M123">
        <f>HYPERLINK("https://www.google.com/maps/search/?api=1&amp;query=-12.185575,-76.9404","Avenida Pachacútec, Villa María del Triunfo, Lima")</f>
      </c>
      <c r="N123">
        <v>15.9</v>
      </c>
      <c r="O123">
        <v>30</v>
      </c>
      <c r="P123">
        <v>295599.9</v>
      </c>
      <c r="Q123" t="str">
        <v>130.18</v>
      </c>
      <c r="R123" t="str">
        <v>Acelerado y giro brusco</v>
      </c>
      <c r="S123" t="str">
        <v/>
      </c>
      <c r="T123" t="str">
        <v/>
      </c>
      <c r="U123" t="str">
        <v/>
      </c>
    </row>
    <row r="124">
      <c r="A124" t="str">
        <v>123</v>
      </c>
      <c r="B124" t="str">
        <v>MASS BSF</v>
      </c>
      <c r="C124" t="str">
        <v>C6E-921</v>
      </c>
      <c r="D124" t="str">
        <v>C6E-921</v>
      </c>
      <c r="E124" t="str">
        <v/>
      </c>
      <c r="F124" t="str">
        <v>867806078831353</v>
      </c>
      <c r="G124" t="str">
        <v>TBD</v>
      </c>
      <c r="H124" t="str">
        <v/>
      </c>
      <c r="I124" t="str">
        <v>28/09/2026</v>
      </c>
      <c r="J124" t="str">
        <v>12:12:09</v>
      </c>
      <c r="K124">
        <v>-12.186365</v>
      </c>
      <c r="L124">
        <v>-76.939926</v>
      </c>
      <c r="M124">
        <f>HYPERLINK("https://www.google.com/maps/search/?api=1&amp;query=-12.186365,-76.939926","Avenida Pachacútec, Villa María del Triunfo, Lima")</f>
      </c>
      <c r="N124">
        <v>31.4</v>
      </c>
      <c r="O124">
        <v>30</v>
      </c>
      <c r="P124">
        <v>295600</v>
      </c>
      <c r="Q124" t="str">
        <v>130.18</v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124</v>
      </c>
      <c r="B125" t="str">
        <v>MASS BSF</v>
      </c>
      <c r="C125" t="str">
        <v>C6E-921</v>
      </c>
      <c r="D125" t="str">
        <v>C6E-921</v>
      </c>
      <c r="E125" t="str">
        <v/>
      </c>
      <c r="F125" t="str">
        <v>867806078831353</v>
      </c>
      <c r="G125" t="str">
        <v>TBD</v>
      </c>
      <c r="H125" t="str">
        <v/>
      </c>
      <c r="I125" t="str">
        <v>28/09/2026</v>
      </c>
      <c r="J125" t="str">
        <v>12:12:43</v>
      </c>
      <c r="K125">
        <v>-12.189475</v>
      </c>
      <c r="L125">
        <v>-76.93809</v>
      </c>
      <c r="M125">
        <f>HYPERLINK("https://www.google.com/maps/search/?api=1&amp;query=-12.189475,-76.93809","Avenida Pachacútec, Villa María del Triunfo, Lima")</f>
      </c>
      <c r="N125">
        <v>41.1</v>
      </c>
      <c r="O125">
        <v>30</v>
      </c>
      <c r="P125">
        <v>295600.4</v>
      </c>
      <c r="Q125" t="str">
        <v>130.18</v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125</v>
      </c>
      <c r="B126" t="str">
        <v>MASS BSF</v>
      </c>
      <c r="C126" t="str">
        <v>C6E-921</v>
      </c>
      <c r="D126" t="str">
        <v>C6E-921</v>
      </c>
      <c r="E126" t="str">
        <v/>
      </c>
      <c r="F126" t="str">
        <v>867806078831353</v>
      </c>
      <c r="G126" t="str">
        <v>TBD</v>
      </c>
      <c r="H126" t="str">
        <v/>
      </c>
      <c r="I126" t="str">
        <v>28/09/2026</v>
      </c>
      <c r="J126" t="str">
        <v>12:12:54</v>
      </c>
      <c r="K126">
        <v>-12.190445</v>
      </c>
      <c r="L126">
        <v>-76.937675</v>
      </c>
      <c r="M126">
        <f>HYPERLINK("https://www.google.com/maps/search/?api=1&amp;query=-12.190445,-76.937675","Avenida Pachacútec, Villa El Salvador, Lima")</f>
      </c>
      <c r="N126">
        <v>46.1</v>
      </c>
      <c r="O126">
        <v>30</v>
      </c>
      <c r="P126">
        <v>295600.5</v>
      </c>
      <c r="Q126" t="str">
        <v>130.18</v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126</v>
      </c>
      <c r="B127" t="str">
        <v>MASS BSF</v>
      </c>
      <c r="C127" t="str">
        <v>C6E-921</v>
      </c>
      <c r="D127" t="str">
        <v>C6E-921</v>
      </c>
      <c r="E127" t="str">
        <v/>
      </c>
      <c r="F127" t="str">
        <v>867806078831353</v>
      </c>
      <c r="G127" t="str">
        <v>TBD</v>
      </c>
      <c r="H127" t="str">
        <v/>
      </c>
      <c r="I127" t="str">
        <v>28/09/2026</v>
      </c>
      <c r="J127" t="str">
        <v>12:13:13</v>
      </c>
      <c r="K127">
        <v>-12.192463</v>
      </c>
      <c r="L127">
        <v>-76.93649</v>
      </c>
      <c r="M127">
        <f>HYPERLINK("https://www.google.com/maps/search/?api=1&amp;query=-12.192463,-76.93649","Avenida Pachacútec, Villa El Salvador, Lima")</f>
      </c>
      <c r="N127">
        <v>44.6</v>
      </c>
      <c r="O127">
        <v>30</v>
      </c>
      <c r="P127">
        <v>295600.78</v>
      </c>
      <c r="Q127" t="str">
        <v>130.18</v>
      </c>
      <c r="R127" t="str">
        <v>Bache</v>
      </c>
      <c r="S127" t="str">
        <v/>
      </c>
      <c r="T127" t="str">
        <v/>
      </c>
      <c r="U127" t="str">
        <v/>
      </c>
    </row>
    <row r="128">
      <c r="A128" t="str">
        <v>127</v>
      </c>
      <c r="B128" t="str">
        <v>MASS BSF</v>
      </c>
      <c r="C128" t="str">
        <v>C6E-921</v>
      </c>
      <c r="D128" t="str">
        <v>C6E-921</v>
      </c>
      <c r="E128" t="str">
        <v/>
      </c>
      <c r="F128" t="str">
        <v>867806078831353</v>
      </c>
      <c r="G128" t="str">
        <v>TBD</v>
      </c>
      <c r="H128" t="str">
        <v/>
      </c>
      <c r="I128" t="str">
        <v>28/09/2026</v>
      </c>
      <c r="J128" t="str">
        <v>12:13:35</v>
      </c>
      <c r="K128">
        <v>-12.194107</v>
      </c>
      <c r="L128">
        <v>-76.93556</v>
      </c>
      <c r="M128">
        <f>HYPERLINK("https://www.google.com/maps/search/?api=1&amp;query=-12.194107,-76.93556","Avenida Pachacútec, Villa El Salvador, Lima")</f>
      </c>
      <c r="N128">
        <v>34.6</v>
      </c>
      <c r="O128">
        <v>30</v>
      </c>
      <c r="P128">
        <v>295600.96</v>
      </c>
      <c r="Q128" t="str">
        <v>130.18</v>
      </c>
      <c r="R128" t="str">
        <v/>
      </c>
      <c r="S128" t="str">
        <v/>
      </c>
      <c r="T128" t="str">
        <v/>
      </c>
      <c r="U128" t="str">
        <v/>
      </c>
    </row>
    <row r="129">
      <c r="A129" t="str">
        <v>128</v>
      </c>
      <c r="B129" t="str">
        <v>MASS BSF</v>
      </c>
      <c r="C129" t="str">
        <v>C6E-921</v>
      </c>
      <c r="D129" t="str">
        <v>C6E-921</v>
      </c>
      <c r="E129" t="str">
        <v/>
      </c>
      <c r="F129" t="str">
        <v>867806078831353</v>
      </c>
      <c r="G129" t="str">
        <v>TBD</v>
      </c>
      <c r="H129" t="str">
        <v/>
      </c>
      <c r="I129" t="str">
        <v>28/09/2026</v>
      </c>
      <c r="J129" t="str">
        <v>12:13:40</v>
      </c>
      <c r="K129">
        <v>-12.194478</v>
      </c>
      <c r="L129">
        <v>-76.93552</v>
      </c>
      <c r="M129">
        <f>HYPERLINK("https://www.google.com/maps/search/?api=1&amp;query=-12.194478,-76.93552","Avenida Pachacútec, Villa El Salvador, Lima")</f>
      </c>
      <c r="N129">
        <v>22.9</v>
      </c>
      <c r="O129">
        <v>64</v>
      </c>
      <c r="P129">
        <v>295601</v>
      </c>
      <c r="Q129" t="str">
        <v>130.18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129</v>
      </c>
      <c r="B130" t="str">
        <v>MASS BSF</v>
      </c>
      <c r="C130" t="str">
        <v>C6E-921</v>
      </c>
      <c r="D130" t="str">
        <v>C6E-921</v>
      </c>
      <c r="E130" t="str">
        <v/>
      </c>
      <c r="F130" t="str">
        <v>867806078831353</v>
      </c>
      <c r="G130" t="str">
        <v>TBD</v>
      </c>
      <c r="H130" t="str">
        <v/>
      </c>
      <c r="I130" t="str">
        <v>28/09/2026</v>
      </c>
      <c r="J130" t="str">
        <v>12:13:41</v>
      </c>
      <c r="K130">
        <v>-12.19453</v>
      </c>
      <c r="L130">
        <v>-76.93551</v>
      </c>
      <c r="M130">
        <f>HYPERLINK("https://www.google.com/maps/search/?api=1&amp;query=-12.19453,-76.93551","Avenida Pachacútec, Villa El Salvador, Lima")</f>
      </c>
      <c r="N130">
        <v>19.4</v>
      </c>
      <c r="O130">
        <v>64</v>
      </c>
      <c r="P130">
        <v>295601.03</v>
      </c>
      <c r="Q130" t="str">
        <v>130.18</v>
      </c>
      <c r="R130" t="str">
        <v>Ingreso a camino vecinal</v>
      </c>
      <c r="S130" t="str">
        <v/>
      </c>
      <c r="T130" t="str">
        <v/>
      </c>
      <c r="U130" t="str">
        <v/>
      </c>
    </row>
    <row r="131">
      <c r="A131" t="str">
        <v>130</v>
      </c>
      <c r="B131" t="str">
        <v>MASS BSF</v>
      </c>
      <c r="C131" t="str">
        <v>C6E-921</v>
      </c>
      <c r="D131" t="str">
        <v>C6E-921</v>
      </c>
      <c r="E131" t="str">
        <v/>
      </c>
      <c r="F131" t="str">
        <v>867806078831353</v>
      </c>
      <c r="G131" t="str">
        <v>TBD</v>
      </c>
      <c r="H131" t="str">
        <v/>
      </c>
      <c r="I131" t="str">
        <v>28/09/2026</v>
      </c>
      <c r="J131" t="str">
        <v>12:13:45</v>
      </c>
      <c r="K131">
        <v>-12.194678</v>
      </c>
      <c r="L131">
        <v>-76.93547</v>
      </c>
      <c r="M131">
        <f>HYPERLINK("https://www.google.com/maps/search/?api=1&amp;query=-12.194678,-76.93547","Avenida Pachacútec, Villa El Salvador, Lima")</f>
      </c>
      <c r="N131">
        <v>15.3</v>
      </c>
      <c r="O131">
        <v>64</v>
      </c>
      <c r="P131">
        <v>295601.03</v>
      </c>
      <c r="Q131" t="str">
        <v>130.18</v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131</v>
      </c>
      <c r="B132" t="str">
        <v>MASS BSF</v>
      </c>
      <c r="C132" t="str">
        <v>C6E-921</v>
      </c>
      <c r="D132" t="str">
        <v>C6E-921</v>
      </c>
      <c r="E132" t="str">
        <v/>
      </c>
      <c r="F132" t="str">
        <v>867806078831353</v>
      </c>
      <c r="G132" t="str">
        <v>TBD</v>
      </c>
      <c r="H132" t="str">
        <v/>
      </c>
      <c r="I132" t="str">
        <v>28/09/2026</v>
      </c>
      <c r="J132" t="str">
        <v>12:13:49</v>
      </c>
      <c r="K132">
        <v>-12.194815</v>
      </c>
      <c r="L132">
        <v>-76.9354</v>
      </c>
      <c r="M132">
        <f>HYPERLINK("https://www.google.com/maps/search/?api=1&amp;query=-12.194815,-76.9354","Avenida Pachacútec, Villa El Salvador, Lima")</f>
      </c>
      <c r="N132">
        <v>10</v>
      </c>
      <c r="O132">
        <v>64</v>
      </c>
      <c r="P132">
        <v>295601.06</v>
      </c>
      <c r="Q132" t="str">
        <v>130.18</v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132</v>
      </c>
      <c r="B133" t="str">
        <v>MASS BSF</v>
      </c>
      <c r="C133" t="str">
        <v>C6E-921</v>
      </c>
      <c r="D133" t="str">
        <v>C6E-921</v>
      </c>
      <c r="E133" t="str">
        <v/>
      </c>
      <c r="F133" t="str">
        <v>867806078831353</v>
      </c>
      <c r="G133" t="str">
        <v>TBD</v>
      </c>
      <c r="H133" t="str">
        <v/>
      </c>
      <c r="I133" t="str">
        <v>28/09/2026</v>
      </c>
      <c r="J133" t="str">
        <v>12:14:33</v>
      </c>
      <c r="K133">
        <v>-12.195024</v>
      </c>
      <c r="L133">
        <v>-76.93532</v>
      </c>
      <c r="M133">
        <f>HYPERLINK("https://www.google.com/maps/search/?api=1&amp;query=-12.195024,-76.93532","Avenida Pachacútec, Villa El Salvador, Lima")</f>
      </c>
      <c r="N133">
        <v>12.4</v>
      </c>
      <c r="O133">
        <v>64</v>
      </c>
      <c r="P133">
        <v>295601.06</v>
      </c>
      <c r="Q133" t="str">
        <v>130.18</v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133</v>
      </c>
      <c r="B134" t="str">
        <v>MASS BSF</v>
      </c>
      <c r="C134" t="str">
        <v>C6E-921</v>
      </c>
      <c r="D134" t="str">
        <v>C6E-921</v>
      </c>
      <c r="E134" t="str">
        <v/>
      </c>
      <c r="F134" t="str">
        <v>867806078831353</v>
      </c>
      <c r="G134" t="str">
        <v>TBD</v>
      </c>
      <c r="H134" t="str">
        <v/>
      </c>
      <c r="I134" t="str">
        <v>28/09/2026</v>
      </c>
      <c r="J134" t="str">
        <v>12:14:38</v>
      </c>
      <c r="K134">
        <v>-12.1952</v>
      </c>
      <c r="L134">
        <v>-76.935356</v>
      </c>
      <c r="M134">
        <f>HYPERLINK("https://www.google.com/maps/search/?api=1&amp;query=-12.1952,-76.935356","Avenida El Sol, Villa El Salvador, Lima")</f>
      </c>
      <c r="N134">
        <v>19.4</v>
      </c>
      <c r="O134">
        <v>64</v>
      </c>
      <c r="P134">
        <v>295601.09</v>
      </c>
      <c r="Q134" t="str">
        <v>130.18</v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134</v>
      </c>
      <c r="B135" t="str">
        <v>MASS BSF</v>
      </c>
      <c r="C135" t="str">
        <v>C6E-921</v>
      </c>
      <c r="D135" t="str">
        <v>C6E-921</v>
      </c>
      <c r="E135" t="str">
        <v/>
      </c>
      <c r="F135" t="str">
        <v>867806078831353</v>
      </c>
      <c r="G135" t="str">
        <v>TBD</v>
      </c>
      <c r="H135" t="str">
        <v/>
      </c>
      <c r="I135" t="str">
        <v>28/09/2026</v>
      </c>
      <c r="J135" t="str">
        <v>12:14:41</v>
      </c>
      <c r="K135">
        <v>-12.195305</v>
      </c>
      <c r="L135">
        <v>-76.93551</v>
      </c>
      <c r="M135">
        <f>HYPERLINK("https://www.google.com/maps/search/?api=1&amp;query=-12.195305,-76.93551","Avenida El Sol, Villa El Salvador, Lima")</f>
      </c>
      <c r="N135">
        <v>28.5</v>
      </c>
      <c r="O135">
        <v>64</v>
      </c>
      <c r="P135">
        <v>295601.12</v>
      </c>
      <c r="Q135" t="str">
        <v>130.18</v>
      </c>
      <c r="R135" t="str">
        <v>Salida de camino vecinal</v>
      </c>
      <c r="S135" t="str">
        <v/>
      </c>
      <c r="T135" t="str">
        <v/>
      </c>
      <c r="U135" t="str">
        <v/>
      </c>
    </row>
    <row r="136">
      <c r="A136" t="str">
        <v>135</v>
      </c>
      <c r="B136" t="str">
        <v>MASS BSF</v>
      </c>
      <c r="C136" t="str">
        <v>C6E-921</v>
      </c>
      <c r="D136" t="str">
        <v>C6E-921</v>
      </c>
      <c r="E136" t="str">
        <v/>
      </c>
      <c r="F136" t="str">
        <v>867806078831353</v>
      </c>
      <c r="G136" t="str">
        <v>TBD</v>
      </c>
      <c r="H136" t="str">
        <v/>
      </c>
      <c r="I136" t="str">
        <v>28/09/2026</v>
      </c>
      <c r="J136" t="str">
        <v>12:14:43</v>
      </c>
      <c r="K136">
        <v>-12.19538</v>
      </c>
      <c r="L136">
        <v>-76.93565</v>
      </c>
      <c r="M136">
        <f>HYPERLINK("https://www.google.com/maps/search/?api=1&amp;query=-12.19538,-76.93565","Avenida El Sol, Villa El Salvador, Lima")</f>
      </c>
      <c r="N136">
        <v>34.4</v>
      </c>
      <c r="O136">
        <v>64</v>
      </c>
      <c r="P136">
        <v>295601.12</v>
      </c>
      <c r="Q136" t="str">
        <v>130.18</v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136</v>
      </c>
      <c r="B137" t="str">
        <v>MASS BSF</v>
      </c>
      <c r="C137" t="str">
        <v>C6E-921</v>
      </c>
      <c r="D137" t="str">
        <v>C6E-921</v>
      </c>
      <c r="E137" t="str">
        <v/>
      </c>
      <c r="F137" t="str">
        <v>867806078831353</v>
      </c>
      <c r="G137" t="str">
        <v>TBD</v>
      </c>
      <c r="H137" t="str">
        <v/>
      </c>
      <c r="I137" t="str">
        <v>28/09/2026</v>
      </c>
      <c r="J137" t="str">
        <v>12:15:11</v>
      </c>
      <c r="K137">
        <v>-12.196703</v>
      </c>
      <c r="L137">
        <v>-76.93788</v>
      </c>
      <c r="M137">
        <f>HYPERLINK("https://www.google.com/maps/search/?api=1&amp;query=-12.196703,-76.93788","Avenida El Sol, Villa El Salvador, Lima")</f>
      </c>
      <c r="N137">
        <v>23.7</v>
      </c>
      <c r="O137">
        <v>64</v>
      </c>
      <c r="P137">
        <v>295601.4</v>
      </c>
      <c r="Q137" t="str">
        <v>130.18</v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137</v>
      </c>
      <c r="B138" t="str">
        <v>MASS BSF</v>
      </c>
      <c r="C138" t="str">
        <v>C6E-921</v>
      </c>
      <c r="D138" t="str">
        <v>C6E-921</v>
      </c>
      <c r="E138" t="str">
        <v/>
      </c>
      <c r="F138" t="str">
        <v>867806078831353</v>
      </c>
      <c r="G138" t="str">
        <v>TBD</v>
      </c>
      <c r="H138" t="str">
        <v/>
      </c>
      <c r="I138" t="str">
        <v>28/09/2026</v>
      </c>
      <c r="J138" t="str">
        <v>12:15:20</v>
      </c>
      <c r="K138">
        <v>-12.197003</v>
      </c>
      <c r="L138">
        <v>-76.93825</v>
      </c>
      <c r="M138">
        <f>HYPERLINK("https://www.google.com/maps/search/?api=1&amp;query=-12.197003,-76.93825","Avenida El Sol, Villa El Salvador, Lima")</f>
      </c>
      <c r="N138">
        <v>23.1</v>
      </c>
      <c r="O138">
        <v>64</v>
      </c>
      <c r="P138">
        <v>295601.46</v>
      </c>
      <c r="Q138" t="str">
        <v>130.18</v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138</v>
      </c>
      <c r="B139" t="str">
        <v>MASS BSF</v>
      </c>
      <c r="C139" t="str">
        <v>C6E-921</v>
      </c>
      <c r="D139" t="str">
        <v>C6E-921</v>
      </c>
      <c r="E139" t="str">
        <v/>
      </c>
      <c r="F139" t="str">
        <v>867806078831353</v>
      </c>
      <c r="G139" t="str">
        <v>TBD</v>
      </c>
      <c r="H139" t="str">
        <v/>
      </c>
      <c r="I139" t="str">
        <v>28/09/2026</v>
      </c>
      <c r="J139" t="str">
        <v>12:15:39</v>
      </c>
      <c r="K139">
        <v>-12.197991</v>
      </c>
      <c r="L139">
        <v>-76.93981</v>
      </c>
      <c r="M139">
        <f>HYPERLINK("https://www.google.com/maps/search/?api=1&amp;query=-12.197991,-76.93981","Avenida El Sol, Villa El Salvador, Lima")</f>
      </c>
      <c r="N139">
        <v>39.4</v>
      </c>
      <c r="O139">
        <v>64</v>
      </c>
      <c r="P139">
        <v>295601.65</v>
      </c>
      <c r="Q139" t="str">
        <v>130.18</v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139</v>
      </c>
      <c r="B140" t="str">
        <v>MASS BSF</v>
      </c>
      <c r="C140" t="str">
        <v>C6E-921</v>
      </c>
      <c r="D140" t="str">
        <v>C6E-921</v>
      </c>
      <c r="E140" t="str">
        <v/>
      </c>
      <c r="F140" t="str">
        <v>867806078831353</v>
      </c>
      <c r="G140" t="str">
        <v>TBD</v>
      </c>
      <c r="H140" t="str">
        <v/>
      </c>
      <c r="I140" t="str">
        <v>28/09/2026</v>
      </c>
      <c r="J140" t="str">
        <v>12:15:41</v>
      </c>
      <c r="K140">
        <v>-12.198027</v>
      </c>
      <c r="L140">
        <v>-76.94001</v>
      </c>
      <c r="M140">
        <f>HYPERLINK("https://www.google.com/maps/search/?api=1&amp;query=-12.198027,-76.94001","Avenida El Sol, Villa El Salvador, Lima")</f>
      </c>
      <c r="N140">
        <v>40</v>
      </c>
      <c r="O140">
        <v>64</v>
      </c>
      <c r="P140">
        <v>295601.7</v>
      </c>
      <c r="Q140" t="str">
        <v>130.18</v>
      </c>
      <c r="R140" t="str">
        <v>Ingreso a camino vecinal</v>
      </c>
      <c r="S140" t="str">
        <v/>
      </c>
      <c r="T140" t="str">
        <v/>
      </c>
      <c r="U140" t="str">
        <v/>
      </c>
    </row>
    <row r="141">
      <c r="A141" t="str">
        <v>140</v>
      </c>
      <c r="B141" t="str">
        <v>MASS BSF</v>
      </c>
      <c r="C141" t="str">
        <v>C6E-921</v>
      </c>
      <c r="D141" t="str">
        <v>C6E-921</v>
      </c>
      <c r="E141" t="str">
        <v/>
      </c>
      <c r="F141" t="str">
        <v>867806078831353</v>
      </c>
      <c r="G141" t="str">
        <v>TBD</v>
      </c>
      <c r="H141" t="str">
        <v/>
      </c>
      <c r="I141" t="str">
        <v>28/09/2026</v>
      </c>
      <c r="J141" t="str">
        <v>12:15:45</v>
      </c>
      <c r="K141">
        <v>-12.19812</v>
      </c>
      <c r="L141">
        <v>-76.94039</v>
      </c>
      <c r="M141">
        <f>HYPERLINK("https://www.google.com/maps/search/?api=1&amp;query=-12.19812,-76.94039","Avenida El Sol, Villa El Salvador, Lima")</f>
      </c>
      <c r="N141">
        <v>39.8</v>
      </c>
      <c r="O141">
        <v>64</v>
      </c>
      <c r="P141">
        <v>295601.71</v>
      </c>
      <c r="Q141" t="str">
        <v>130.18</v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141</v>
      </c>
      <c r="B142" t="str">
        <v>MASS BSF</v>
      </c>
      <c r="C142" t="str">
        <v>C6E-921</v>
      </c>
      <c r="D142" t="str">
        <v>C6E-921</v>
      </c>
      <c r="E142" t="str">
        <v/>
      </c>
      <c r="F142" t="str">
        <v>867806078831353</v>
      </c>
      <c r="G142" t="str">
        <v>TBD</v>
      </c>
      <c r="H142" t="str">
        <v/>
      </c>
      <c r="I142" t="str">
        <v>28/09/2026</v>
      </c>
      <c r="J142" t="str">
        <v>12:16:45</v>
      </c>
      <c r="K142">
        <v>-12.200392</v>
      </c>
      <c r="L142">
        <v>-76.944305</v>
      </c>
      <c r="M142">
        <f>HYPERLINK("https://www.google.com/maps/search/?api=1&amp;query=-12.200392,-76.944305","Avenida El Sol, Villa El Salvador, Lima")</f>
      </c>
      <c r="N142">
        <v>0.1</v>
      </c>
      <c r="O142">
        <v>64</v>
      </c>
      <c r="P142">
        <v>295602.21</v>
      </c>
      <c r="Q142" t="str">
        <v>130.18</v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142</v>
      </c>
      <c r="B143" t="str">
        <v>MASS BSF</v>
      </c>
      <c r="C143" t="str">
        <v>C6E-921</v>
      </c>
      <c r="D143" t="str">
        <v>C6E-921</v>
      </c>
      <c r="E143" t="str">
        <v/>
      </c>
      <c r="F143" t="str">
        <v>867806078831353</v>
      </c>
      <c r="G143" t="str">
        <v>TBD</v>
      </c>
      <c r="H143" t="str">
        <v/>
      </c>
      <c r="I143" t="str">
        <v>28/09/2026</v>
      </c>
      <c r="J143" t="str">
        <v>12:17:41</v>
      </c>
      <c r="K143">
        <v>-12.200953</v>
      </c>
      <c r="L143">
        <v>-76.94526</v>
      </c>
      <c r="M143">
        <f>HYPERLINK("https://www.google.com/maps/search/?api=1&amp;query=-12.200953,-76.94526","Avenida El Sol, Villa El Salvador, Lima")</f>
      </c>
      <c r="N143">
        <v>41.6</v>
      </c>
      <c r="O143">
        <v>64</v>
      </c>
      <c r="P143">
        <v>295602.34</v>
      </c>
      <c r="Q143" t="str">
        <v>130.18</v>
      </c>
      <c r="R143" t="str">
        <v>Salida de camino vecinal</v>
      </c>
      <c r="S143" t="str">
        <v/>
      </c>
      <c r="T143" t="str">
        <v/>
      </c>
      <c r="U143" t="str">
        <v/>
      </c>
    </row>
    <row r="144">
      <c r="A144" t="str">
        <v>143</v>
      </c>
      <c r="B144" t="str">
        <v>MASS BSF</v>
      </c>
      <c r="C144" t="str">
        <v>C6E-921</v>
      </c>
      <c r="D144" t="str">
        <v>C6E-921</v>
      </c>
      <c r="E144" t="str">
        <v/>
      </c>
      <c r="F144" t="str">
        <v>867806078831353</v>
      </c>
      <c r="G144" t="str">
        <v>TBD</v>
      </c>
      <c r="H144" t="str">
        <v/>
      </c>
      <c r="I144" t="str">
        <v>28/09/2026</v>
      </c>
      <c r="J144" t="str">
        <v>12:17:45</v>
      </c>
      <c r="K144">
        <v>-12.201125</v>
      </c>
      <c r="L144">
        <v>-76.94554</v>
      </c>
      <c r="M144">
        <f>HYPERLINK("https://www.google.com/maps/search/?api=1&amp;query=-12.201125,-76.94554","Avenida El Sol, Villa El Salvador, Lima")</f>
      </c>
      <c r="N144">
        <v>45.7</v>
      </c>
      <c r="O144">
        <v>64</v>
      </c>
      <c r="P144">
        <v>295602.38</v>
      </c>
      <c r="Q144" t="str">
        <v>130.18</v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144</v>
      </c>
      <c r="B145" t="str">
        <v>MASS BSF</v>
      </c>
      <c r="C145" t="str">
        <v>C6E-921</v>
      </c>
      <c r="D145" t="str">
        <v>C6E-921</v>
      </c>
      <c r="E145" t="str">
        <v/>
      </c>
      <c r="F145" t="str">
        <v>867806078831353</v>
      </c>
      <c r="G145" t="str">
        <v>TBD</v>
      </c>
      <c r="H145" t="str">
        <v/>
      </c>
      <c r="I145" t="str">
        <v>28/09/2026</v>
      </c>
      <c r="J145" t="str">
        <v>12:18:00</v>
      </c>
      <c r="K145">
        <v>-12.201823</v>
      </c>
      <c r="L145">
        <v>-76.94673</v>
      </c>
      <c r="M145">
        <f>HYPERLINK("https://www.google.com/maps/search/?api=1&amp;query=-12.201823,-76.94673","Avenida El Sol, Villa El Salvador, Lima")</f>
      </c>
      <c r="N145">
        <v>9.4</v>
      </c>
      <c r="O145">
        <v>64</v>
      </c>
      <c r="P145">
        <v>295602.53</v>
      </c>
      <c r="Q145" t="str">
        <v>130.18</v>
      </c>
      <c r="R145" t="str">
        <v>Aceleración brusca</v>
      </c>
      <c r="S145" t="str">
        <v/>
      </c>
      <c r="T145" t="str">
        <v/>
      </c>
      <c r="U145" t="str">
        <v/>
      </c>
    </row>
    <row r="146">
      <c r="A146" t="str">
        <v>145</v>
      </c>
      <c r="B146" t="str">
        <v>MASS BSF</v>
      </c>
      <c r="C146" t="str">
        <v>C6E-921</v>
      </c>
      <c r="D146" t="str">
        <v>C6E-921</v>
      </c>
      <c r="E146" t="str">
        <v/>
      </c>
      <c r="F146" t="str">
        <v>867806078831353</v>
      </c>
      <c r="G146" t="str">
        <v>TBD</v>
      </c>
      <c r="H146" t="str">
        <v/>
      </c>
      <c r="I146" t="str">
        <v>28/09/2026</v>
      </c>
      <c r="J146" t="str">
        <v>12:18:45</v>
      </c>
      <c r="K146">
        <v>-12.203121</v>
      </c>
      <c r="L146">
        <v>-76.94898</v>
      </c>
      <c r="M146">
        <f>HYPERLINK("https://www.google.com/maps/search/?api=1&amp;query=-12.203121,-76.94898","Avenida El Sol, Villa El Salvador, Lima")</f>
      </c>
      <c r="N146">
        <v>0</v>
      </c>
      <c r="O146">
        <v>64</v>
      </c>
      <c r="P146">
        <v>295602.8</v>
      </c>
      <c r="Q146" t="str">
        <v>130.18</v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146</v>
      </c>
      <c r="B147" t="str">
        <v>MASS BSF</v>
      </c>
      <c r="C147" t="str">
        <v>C6E-921</v>
      </c>
      <c r="D147" t="str">
        <v>C6E-921</v>
      </c>
      <c r="E147" t="str">
        <v/>
      </c>
      <c r="F147" t="str">
        <v>867806078831353</v>
      </c>
      <c r="G147" t="str">
        <v>TBD</v>
      </c>
      <c r="H147" t="str">
        <v/>
      </c>
      <c r="I147" t="str">
        <v>28/09/2026</v>
      </c>
      <c r="J147" t="str">
        <v>12:19:05</v>
      </c>
      <c r="K147">
        <v>-12.203419</v>
      </c>
      <c r="L147">
        <v>-76.9495</v>
      </c>
      <c r="M147">
        <f>HYPERLINK("https://www.google.com/maps/search/?api=1&amp;query=-12.203419,-76.9495","Avenida El Sol, Villa El Salvador, Lima")</f>
      </c>
      <c r="N147">
        <v>28.3</v>
      </c>
      <c r="O147">
        <v>64</v>
      </c>
      <c r="P147">
        <v>295602.88</v>
      </c>
      <c r="Q147" t="str">
        <v>130.18</v>
      </c>
      <c r="R147" t="str">
        <v>Bache</v>
      </c>
      <c r="S147" t="str">
        <v/>
      </c>
      <c r="T147" t="str">
        <v/>
      </c>
      <c r="U147" t="str">
        <v/>
      </c>
    </row>
    <row r="148">
      <c r="A148" t="str">
        <v>147</v>
      </c>
      <c r="B148" t="str">
        <v>MASS BSF</v>
      </c>
      <c r="C148" t="str">
        <v>C6E-921</v>
      </c>
      <c r="D148" t="str">
        <v>C6E-921</v>
      </c>
      <c r="E148" t="str">
        <v/>
      </c>
      <c r="F148" t="str">
        <v>867806078831353</v>
      </c>
      <c r="G148" t="str">
        <v>TBD</v>
      </c>
      <c r="H148" t="str">
        <v/>
      </c>
      <c r="I148" t="str">
        <v>28/09/2026</v>
      </c>
      <c r="J148" t="str">
        <v>12:19:05</v>
      </c>
      <c r="K148">
        <v>-12.203419</v>
      </c>
      <c r="L148">
        <v>-76.9495</v>
      </c>
      <c r="M148">
        <f>HYPERLINK("https://www.google.com/maps/search/?api=1&amp;query=-12.203419,-76.9495","Avenida El Sol, Villa El Salvador, Lima")</f>
      </c>
      <c r="N148">
        <v>28.3</v>
      </c>
      <c r="O148">
        <v>70</v>
      </c>
      <c r="P148">
        <v>295608.84</v>
      </c>
      <c r="Q148" t="str">
        <v>130.18</v>
      </c>
      <c r="R148" t="str">
        <v>Llegó a la zona</v>
      </c>
      <c r="S148" t="str">
        <v>324-MASS SAN JUAN</v>
      </c>
      <c r="T148" t="str">
        <v xml:space="preserve"> </v>
      </c>
      <c r="U148" t="str">
        <v/>
      </c>
    </row>
    <row r="149">
      <c r="A149" t="str">
        <v>148</v>
      </c>
      <c r="B149" t="str">
        <v>MASS BSF</v>
      </c>
      <c r="C149" t="str">
        <v>C6E-921</v>
      </c>
      <c r="D149" t="str">
        <v>C6E-921</v>
      </c>
      <c r="E149" t="str">
        <v/>
      </c>
      <c r="F149" t="str">
        <v>867806078831353</v>
      </c>
      <c r="G149" t="str">
        <v>TBD</v>
      </c>
      <c r="H149" t="str">
        <v/>
      </c>
      <c r="I149" t="str">
        <v>28/09/2026</v>
      </c>
      <c r="J149" t="str">
        <v>12:19:33</v>
      </c>
      <c r="K149">
        <v>-12.204717</v>
      </c>
      <c r="L149">
        <v>-76.95172</v>
      </c>
      <c r="M149">
        <f>HYPERLINK("https://www.google.com/maps/search/?api=1&amp;query=-12.204717,-76.95172","Calle G, Villa El Salvador, Lima")</f>
      </c>
      <c r="N149">
        <v>32.4</v>
      </c>
      <c r="O149">
        <v>64</v>
      </c>
      <c r="P149">
        <v>295603.15</v>
      </c>
      <c r="Q149" t="str">
        <v>130.18</v>
      </c>
      <c r="R149" t="str">
        <v>Bache</v>
      </c>
      <c r="S149" t="str">
        <v/>
      </c>
      <c r="T149" t="str">
        <v/>
      </c>
      <c r="U149" t="str">
        <v/>
      </c>
    </row>
    <row r="150">
      <c r="A150" t="str">
        <v>149</v>
      </c>
      <c r="B150" t="str">
        <v>MASS BSF</v>
      </c>
      <c r="C150" t="str">
        <v>C6E-921</v>
      </c>
      <c r="D150" t="str">
        <v>C6E-921</v>
      </c>
      <c r="E150" t="str">
        <v/>
      </c>
      <c r="F150" t="str">
        <v>867806078831353</v>
      </c>
      <c r="G150" t="str">
        <v>TBD</v>
      </c>
      <c r="H150" t="str">
        <v/>
      </c>
      <c r="I150" t="str">
        <v>28/09/2026</v>
      </c>
      <c r="J150" t="str">
        <v>12:19:41</v>
      </c>
      <c r="K150">
        <v>-12.20503</v>
      </c>
      <c r="L150">
        <v>-76.952255</v>
      </c>
      <c r="M150">
        <f>HYPERLINK("https://www.google.com/maps/search/?api=1&amp;query=-12.20503,-76.952255","Avenida El Sol, Villa El Salvador, Lima")</f>
      </c>
      <c r="N150">
        <v>25.5</v>
      </c>
      <c r="O150">
        <v>64</v>
      </c>
      <c r="P150">
        <v>295603.21</v>
      </c>
      <c r="Q150" t="str">
        <v>130.18</v>
      </c>
      <c r="R150" t="str">
        <v>Ingreso a camino vecinal</v>
      </c>
      <c r="S150" t="str">
        <v/>
      </c>
      <c r="T150" t="str">
        <v/>
      </c>
      <c r="U150" t="str">
        <v/>
      </c>
    </row>
    <row r="151">
      <c r="A151" t="str">
        <v>150</v>
      </c>
      <c r="B151" t="str">
        <v>MASS BSF</v>
      </c>
      <c r="C151" t="str">
        <v>C6E-921</v>
      </c>
      <c r="D151" t="str">
        <v>C6E-921</v>
      </c>
      <c r="E151" t="str">
        <v/>
      </c>
      <c r="F151" t="str">
        <v>867806078831353</v>
      </c>
      <c r="G151" t="str">
        <v>TBD</v>
      </c>
      <c r="H151" t="str">
        <v/>
      </c>
      <c r="I151" t="str">
        <v>28/09/2026</v>
      </c>
      <c r="J151" t="str">
        <v>12:19:45</v>
      </c>
      <c r="K151">
        <v>-12.205111</v>
      </c>
      <c r="L151">
        <v>-76.952385</v>
      </c>
      <c r="M151">
        <f>HYPERLINK("https://www.google.com/maps/search/?api=1&amp;query=-12.205111,-76.952385","Avenida El Sol, Villa El Salvador, Lima")</f>
      </c>
      <c r="N151">
        <v>16.2</v>
      </c>
      <c r="O151">
        <v>64</v>
      </c>
      <c r="P151">
        <v>295603.21</v>
      </c>
      <c r="Q151" t="str">
        <v>130.18</v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151</v>
      </c>
      <c r="B152" t="str">
        <v>MASS BSF</v>
      </c>
      <c r="C152" t="str">
        <v>C6E-921</v>
      </c>
      <c r="D152" t="str">
        <v>C6E-921</v>
      </c>
      <c r="E152" t="str">
        <v/>
      </c>
      <c r="F152" t="str">
        <v>867806078831353</v>
      </c>
      <c r="G152" t="str">
        <v>TBD</v>
      </c>
      <c r="H152" t="str">
        <v/>
      </c>
      <c r="I152" t="str">
        <v>28/09/2026</v>
      </c>
      <c r="J152" t="str">
        <v>12:20:42</v>
      </c>
      <c r="K152">
        <v>-12.205499</v>
      </c>
      <c r="L152">
        <v>-76.95307</v>
      </c>
      <c r="M152">
        <f>HYPERLINK("https://www.google.com/maps/search/?api=1&amp;query=-12.205499,-76.95307","Avenida El Sol, Villa El Salvador, Lima")</f>
      </c>
      <c r="N152">
        <v>24.4</v>
      </c>
      <c r="O152">
        <v>64</v>
      </c>
      <c r="P152">
        <v>295603.3</v>
      </c>
      <c r="Q152" t="str">
        <v>130.18</v>
      </c>
      <c r="R152" t="str">
        <v>Salida de camino vecinal</v>
      </c>
      <c r="S152" t="str">
        <v/>
      </c>
      <c r="T152" t="str">
        <v/>
      </c>
      <c r="U152" t="str">
        <v/>
      </c>
    </row>
    <row r="153">
      <c r="A153" t="str">
        <v>152</v>
      </c>
      <c r="B153" t="str">
        <v>MASS BSF</v>
      </c>
      <c r="C153" t="str">
        <v>C6E-921</v>
      </c>
      <c r="D153" t="str">
        <v>C6E-921</v>
      </c>
      <c r="E153" t="str">
        <v/>
      </c>
      <c r="F153" t="str">
        <v>867806078831353</v>
      </c>
      <c r="G153" t="str">
        <v>TBD</v>
      </c>
      <c r="H153" t="str">
        <v/>
      </c>
      <c r="I153" t="str">
        <v>28/09/2026</v>
      </c>
      <c r="J153" t="str">
        <v>12:20:45</v>
      </c>
      <c r="K153">
        <v>-12.20559</v>
      </c>
      <c r="L153">
        <v>-76.95323</v>
      </c>
      <c r="M153">
        <f>HYPERLINK("https://www.google.com/maps/search/?api=1&amp;query=-12.20559,-76.95323","Avenida El Sol, Villa El Salvador, Lima")</f>
      </c>
      <c r="N153">
        <v>21.4</v>
      </c>
      <c r="O153">
        <v>64</v>
      </c>
      <c r="P153">
        <v>295603.34</v>
      </c>
      <c r="Q153" t="str">
        <v>130.18</v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153</v>
      </c>
      <c r="B154" t="str">
        <v>MASS BSF</v>
      </c>
      <c r="C154" t="str">
        <v>C6E-921</v>
      </c>
      <c r="D154" t="str">
        <v>C6E-921</v>
      </c>
      <c r="E154" t="str">
        <v/>
      </c>
      <c r="F154" t="str">
        <v>867806078831353</v>
      </c>
      <c r="G154" t="str">
        <v>TBD</v>
      </c>
      <c r="H154" t="str">
        <v/>
      </c>
      <c r="I154" t="str">
        <v>28/09/2026</v>
      </c>
      <c r="J154" t="str">
        <v>12:21:05</v>
      </c>
      <c r="K154">
        <v>-12.206565</v>
      </c>
      <c r="L154">
        <v>-76.95488</v>
      </c>
      <c r="M154">
        <f>HYPERLINK("https://www.google.com/maps/search/?api=1&amp;query=-12.206565,-76.95488","Avenida El Sol, Villa El Salvador, Lima")</f>
      </c>
      <c r="N154">
        <v>45.7</v>
      </c>
      <c r="O154">
        <v>64</v>
      </c>
      <c r="P154">
        <v>295603.53</v>
      </c>
      <c r="Q154" t="str">
        <v>130.18</v>
      </c>
      <c r="R154" t="str">
        <v>Bache</v>
      </c>
      <c r="S154" t="str">
        <v/>
      </c>
      <c r="T154" t="str">
        <v/>
      </c>
      <c r="U154" t="str">
        <v/>
      </c>
    </row>
    <row r="155">
      <c r="A155" t="str">
        <v>154</v>
      </c>
      <c r="B155" t="str">
        <v>MASS BSF</v>
      </c>
      <c r="C155" t="str">
        <v>C6E-921</v>
      </c>
      <c r="D155" t="str">
        <v>C6E-921</v>
      </c>
      <c r="E155" t="str">
        <v/>
      </c>
      <c r="F155" t="str">
        <v>867806078831353</v>
      </c>
      <c r="G155" t="str">
        <v>TBD</v>
      </c>
      <c r="H155" t="str">
        <v/>
      </c>
      <c r="I155" t="str">
        <v>28/09/2026</v>
      </c>
      <c r="J155" t="str">
        <v>12:21:42</v>
      </c>
      <c r="K155">
        <v>-12.207989</v>
      </c>
      <c r="L155">
        <v>-76.957306</v>
      </c>
      <c r="M155">
        <f>HYPERLINK("https://www.google.com/maps/search/?api=1&amp;query=-12.207989,-76.957306","Avenida El Sol, Villa El Salvador, Lima")</f>
      </c>
      <c r="N155">
        <v>37.4</v>
      </c>
      <c r="O155">
        <v>64</v>
      </c>
      <c r="P155">
        <v>295603.84</v>
      </c>
      <c r="Q155" t="str">
        <v>130.18</v>
      </c>
      <c r="R155" t="str">
        <v>Ingreso a camino vecinal</v>
      </c>
      <c r="S155" t="str">
        <v/>
      </c>
      <c r="T155" t="str">
        <v/>
      </c>
      <c r="U155" t="str">
        <v/>
      </c>
    </row>
    <row r="156">
      <c r="A156" t="str">
        <v>155</v>
      </c>
      <c r="B156" t="str">
        <v>MASS BSF</v>
      </c>
      <c r="C156" t="str">
        <v>C6E-921</v>
      </c>
      <c r="D156" t="str">
        <v>C6E-921</v>
      </c>
      <c r="E156" t="str">
        <v/>
      </c>
      <c r="F156" t="str">
        <v>867806078831353</v>
      </c>
      <c r="G156" t="str">
        <v>TBD</v>
      </c>
      <c r="H156" t="str">
        <v/>
      </c>
      <c r="I156" t="str">
        <v>28/09/2026</v>
      </c>
      <c r="J156" t="str">
        <v>12:21:45</v>
      </c>
      <c r="K156">
        <v>-12.208088</v>
      </c>
      <c r="L156">
        <v>-76.95747</v>
      </c>
      <c r="M156">
        <f>HYPERLINK("https://www.google.com/maps/search/?api=1&amp;query=-12.208088,-76.95747","Avenida El Sol, Villa El Salvador, Lima")</f>
      </c>
      <c r="N156">
        <v>37.5</v>
      </c>
      <c r="O156">
        <v>64</v>
      </c>
      <c r="P156">
        <v>295603.88</v>
      </c>
      <c r="Q156" t="str">
        <v>130.18</v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156</v>
      </c>
      <c r="B157" t="str">
        <v>MASS BSF</v>
      </c>
      <c r="C157" t="str">
        <v>C6E-921</v>
      </c>
      <c r="D157" t="str">
        <v>C6E-921</v>
      </c>
      <c r="E157" t="str">
        <v/>
      </c>
      <c r="F157" t="str">
        <v>867806078831353</v>
      </c>
      <c r="G157" t="str">
        <v>TBD</v>
      </c>
      <c r="H157" t="str">
        <v/>
      </c>
      <c r="I157" t="str">
        <v>28/09/2026</v>
      </c>
      <c r="J157" t="str">
        <v>12:21:53</v>
      </c>
      <c r="K157">
        <v>-12.208596</v>
      </c>
      <c r="L157">
        <v>-76.95821</v>
      </c>
      <c r="M157">
        <f>HYPERLINK("https://www.google.com/maps/search/?api=1&amp;query=-12.208596,-76.95821","Avenida El Sol, Villa El Salvador, Lima")</f>
      </c>
      <c r="N157">
        <v>40.9</v>
      </c>
      <c r="O157">
        <v>64</v>
      </c>
      <c r="P157">
        <v>295603.96</v>
      </c>
      <c r="Q157" t="str">
        <v>130.18</v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157</v>
      </c>
      <c r="B158" t="str">
        <v>MASS BSF</v>
      </c>
      <c r="C158" t="str">
        <v>C6E-921</v>
      </c>
      <c r="D158" t="str">
        <v>C6E-921</v>
      </c>
      <c r="E158" t="str">
        <v/>
      </c>
      <c r="F158" t="str">
        <v>867806078831353</v>
      </c>
      <c r="G158" t="str">
        <v>TBD</v>
      </c>
      <c r="H158" t="str">
        <v/>
      </c>
      <c r="I158" t="str">
        <v>28/09/2026</v>
      </c>
      <c r="J158" t="str">
        <v>12:22:20</v>
      </c>
      <c r="K158">
        <v>-12.209501</v>
      </c>
      <c r="L158">
        <v>-76.95931</v>
      </c>
      <c r="M158">
        <f>HYPERLINK("https://www.google.com/maps/search/?api=1&amp;query=-12.209501,-76.95931","Avenida El Sol, Villa El Salvador, Lima")</f>
      </c>
      <c r="N158">
        <v>28.7</v>
      </c>
      <c r="O158">
        <v>64</v>
      </c>
      <c r="P158">
        <v>295604.12</v>
      </c>
      <c r="Q158" t="str">
        <v>130.18</v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158</v>
      </c>
      <c r="B159" t="str">
        <v>MASS BSF</v>
      </c>
      <c r="C159" t="str">
        <v>C6E-921</v>
      </c>
      <c r="D159" t="str">
        <v>C6E-921</v>
      </c>
      <c r="E159" t="str">
        <v/>
      </c>
      <c r="F159" t="str">
        <v>867806078831353</v>
      </c>
      <c r="G159" t="str">
        <v>TBD</v>
      </c>
      <c r="H159" t="str">
        <v/>
      </c>
      <c r="I159" t="str">
        <v>28/09/2026</v>
      </c>
      <c r="J159" t="str">
        <v>12:23:20</v>
      </c>
      <c r="K159">
        <v>-12.212365</v>
      </c>
      <c r="L159">
        <v>-76.9643</v>
      </c>
      <c r="M159">
        <f>HYPERLINK("https://www.google.com/maps/search/?api=1&amp;query=-12.212365,-76.9643","Avenida El Sol, Villa El Salvador, Lima")</f>
      </c>
      <c r="N159">
        <v>39.4</v>
      </c>
      <c r="O159">
        <v>64</v>
      </c>
      <c r="P159">
        <v>295604.71</v>
      </c>
      <c r="Q159" t="str">
        <v>130.18</v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159</v>
      </c>
      <c r="B160" t="str">
        <v>MASS BSF</v>
      </c>
      <c r="C160" t="str">
        <v>C6E-921</v>
      </c>
      <c r="D160" t="str">
        <v>C6E-921</v>
      </c>
      <c r="E160" t="str">
        <v/>
      </c>
      <c r="F160" t="str">
        <v>867806078831353</v>
      </c>
      <c r="G160" t="str">
        <v>TBD</v>
      </c>
      <c r="H160" t="str">
        <v/>
      </c>
      <c r="I160" t="str">
        <v>28/09/2026</v>
      </c>
      <c r="J160" t="str">
        <v>12:23:31</v>
      </c>
      <c r="K160">
        <v>-12.212968</v>
      </c>
      <c r="L160">
        <v>-76.965355</v>
      </c>
      <c r="M160">
        <f>HYPERLINK("https://www.google.com/maps/search/?api=1&amp;query=-12.212968,-76.965355","Avenida El Sol, Villa El Salvador, Lima")</f>
      </c>
      <c r="N160">
        <v>26.1</v>
      </c>
      <c r="O160">
        <v>64</v>
      </c>
      <c r="P160">
        <v>295604.88</v>
      </c>
      <c r="Q160" t="str">
        <v>130.18</v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160</v>
      </c>
      <c r="B161" t="str">
        <v>MASS BSF</v>
      </c>
      <c r="C161" t="str">
        <v>C6E-921</v>
      </c>
      <c r="D161" t="str">
        <v>C6E-921</v>
      </c>
      <c r="E161" t="str">
        <v/>
      </c>
      <c r="F161" t="str">
        <v>867806078831353</v>
      </c>
      <c r="G161" t="str">
        <v>TBD</v>
      </c>
      <c r="H161" t="str">
        <v/>
      </c>
      <c r="I161" t="str">
        <v>28/09/2026</v>
      </c>
      <c r="J161" t="str">
        <v>12:23:58</v>
      </c>
      <c r="K161">
        <v>-12.214962</v>
      </c>
      <c r="L161">
        <v>-76.967354</v>
      </c>
      <c r="M161">
        <f>HYPERLINK("https://www.google.com/maps/search/?api=1&amp;query=-12.214962,-76.967354","Avenida El Sol, Villa El Salvador, Lima")</f>
      </c>
      <c r="N161">
        <v>47.2</v>
      </c>
      <c r="O161">
        <v>64</v>
      </c>
      <c r="P161">
        <v>295605.15</v>
      </c>
      <c r="Q161" t="str">
        <v>130.18</v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161</v>
      </c>
      <c r="B162" t="str">
        <v>MASS BSF</v>
      </c>
      <c r="C162" t="str">
        <v>C6E-921</v>
      </c>
      <c r="D162" t="str">
        <v>C6E-921</v>
      </c>
      <c r="E162" t="str">
        <v/>
      </c>
      <c r="F162" t="str">
        <v>867806078831353</v>
      </c>
      <c r="G162" t="str">
        <v>TBD</v>
      </c>
      <c r="H162" t="str">
        <v/>
      </c>
      <c r="I162" t="str">
        <v>28/09/2026</v>
      </c>
      <c r="J162" t="str">
        <v>12:24:03</v>
      </c>
      <c r="K162">
        <v>-12.215495</v>
      </c>
      <c r="L162">
        <v>-76.96764</v>
      </c>
      <c r="M162">
        <f>HYPERLINK("https://www.google.com/maps/search/?api=1&amp;query=-12.215495,-76.96764","Avenida El Sol, Villa El Salvador, Lima")</f>
      </c>
      <c r="N162">
        <v>48.1</v>
      </c>
      <c r="O162">
        <v>64</v>
      </c>
      <c r="P162">
        <v>295605.25</v>
      </c>
      <c r="Q162" t="str">
        <v>130.18</v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162</v>
      </c>
      <c r="B163" t="str">
        <v>MASS BSF</v>
      </c>
      <c r="C163" t="str">
        <v>C6E-921</v>
      </c>
      <c r="D163" t="str">
        <v>C6E-921</v>
      </c>
      <c r="E163" t="str">
        <v/>
      </c>
      <c r="F163" t="str">
        <v>867806078831353</v>
      </c>
      <c r="G163" t="str">
        <v>TBD</v>
      </c>
      <c r="H163" t="str">
        <v/>
      </c>
      <c r="I163" t="str">
        <v>28/09/2026</v>
      </c>
      <c r="J163" t="str">
        <v>12:24:08</v>
      </c>
      <c r="K163">
        <v>-12.216001</v>
      </c>
      <c r="L163">
        <v>-76.96793</v>
      </c>
      <c r="M163">
        <f>HYPERLINK("https://www.google.com/maps/search/?api=1&amp;query=-12.216001,-76.96793","Avenida El Sol, Villa El Salvador, Lima")</f>
      </c>
      <c r="N163">
        <v>45.9</v>
      </c>
      <c r="O163">
        <v>64</v>
      </c>
      <c r="P163">
        <v>295605.3</v>
      </c>
      <c r="Q163" t="str">
        <v>130.18</v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163</v>
      </c>
      <c r="B164" t="str">
        <v>MASS BSF</v>
      </c>
      <c r="C164" t="str">
        <v>C6E-921</v>
      </c>
      <c r="D164" t="str">
        <v>C6E-921</v>
      </c>
      <c r="E164" t="str">
        <v/>
      </c>
      <c r="F164" t="str">
        <v>867806078831353</v>
      </c>
      <c r="G164" t="str">
        <v>TBD</v>
      </c>
      <c r="H164" t="str">
        <v/>
      </c>
      <c r="I164" t="str">
        <v>28/09/2026</v>
      </c>
      <c r="J164" t="str">
        <v>12:24:54</v>
      </c>
      <c r="K164">
        <v>-12.217995</v>
      </c>
      <c r="L164">
        <v>-76.970116</v>
      </c>
      <c r="M164">
        <f>HYPERLINK("https://www.google.com/maps/search/?api=1&amp;query=-12.217995,-76.970116","Avenida El Sol, Villa El Salvador, Lima")</f>
      </c>
      <c r="N164">
        <v>9.4</v>
      </c>
      <c r="O164">
        <v>64</v>
      </c>
      <c r="P164">
        <v>295605.62</v>
      </c>
      <c r="Q164" t="str">
        <v>130.18</v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164</v>
      </c>
      <c r="B165" t="str">
        <v>MASS BSF</v>
      </c>
      <c r="C165" t="str">
        <v>C6E-921</v>
      </c>
      <c r="D165" t="str">
        <v>C6E-921</v>
      </c>
      <c r="E165" t="str">
        <v/>
      </c>
      <c r="F165" t="str">
        <v>867806078831353</v>
      </c>
      <c r="G165" t="str">
        <v>TBD</v>
      </c>
      <c r="H165" t="str">
        <v/>
      </c>
      <c r="I165" t="str">
        <v>28/09/2026</v>
      </c>
      <c r="J165" t="str">
        <v>12:25:13</v>
      </c>
      <c r="K165">
        <v>-12.218833</v>
      </c>
      <c r="L165">
        <v>-76.97101</v>
      </c>
      <c r="M165">
        <f>HYPERLINK("https://www.google.com/maps/search/?api=1&amp;query=-12.218833,-76.97101","Avenida El Sol, Villa El Salvador, Lima")</f>
      </c>
      <c r="N165">
        <v>30.3</v>
      </c>
      <c r="O165">
        <v>64</v>
      </c>
      <c r="P165">
        <v>295605.75</v>
      </c>
      <c r="Q165" t="str">
        <v>130.18</v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165</v>
      </c>
      <c r="B166" t="str">
        <v>MASS BSF</v>
      </c>
      <c r="C166" t="str">
        <v>C6E-921</v>
      </c>
      <c r="D166" t="str">
        <v>C6E-921</v>
      </c>
      <c r="E166" t="str">
        <v/>
      </c>
      <c r="F166" t="str">
        <v>867806078831353</v>
      </c>
      <c r="G166" t="str">
        <v>TBD</v>
      </c>
      <c r="H166" t="str">
        <v/>
      </c>
      <c r="I166" t="str">
        <v>28/09/2026</v>
      </c>
      <c r="J166" t="str">
        <v>12:26:05</v>
      </c>
      <c r="K166">
        <v>-12.221808</v>
      </c>
      <c r="L166">
        <v>-76.97412</v>
      </c>
      <c r="M166">
        <f>HYPERLINK("https://www.google.com/maps/search/?api=1&amp;query=-12.221808,-76.97412","Avenida El Sol, Villa El Salvador, Lima")</f>
      </c>
      <c r="N166">
        <v>17.4</v>
      </c>
      <c r="O166">
        <v>64</v>
      </c>
      <c r="P166">
        <v>295606.21</v>
      </c>
      <c r="Q166" t="str">
        <v>130.18</v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166</v>
      </c>
      <c r="B167" t="str">
        <v>MASS BSF</v>
      </c>
      <c r="C167" t="str">
        <v>C6E-921</v>
      </c>
      <c r="D167" t="str">
        <v>C6E-921</v>
      </c>
      <c r="E167" t="str">
        <v/>
      </c>
      <c r="F167" t="str">
        <v>867806078831353</v>
      </c>
      <c r="G167" t="str">
        <v>TBD</v>
      </c>
      <c r="H167" t="str">
        <v/>
      </c>
      <c r="I167" t="str">
        <v>28/09/2026</v>
      </c>
      <c r="J167" t="str">
        <v>12:26:10</v>
      </c>
      <c r="K167">
        <v>-12.221949</v>
      </c>
      <c r="L167">
        <v>-76.97424</v>
      </c>
      <c r="M167">
        <f>HYPERLINK("https://www.google.com/maps/search/?api=1&amp;query=-12.221949,-76.97424","Avenida El Sol, Villa El Salvador, Lima")</f>
      </c>
      <c r="N167">
        <v>11.8</v>
      </c>
      <c r="O167">
        <v>61</v>
      </c>
      <c r="P167">
        <v>295606.25</v>
      </c>
      <c r="Q167" t="str">
        <v>130.18</v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167</v>
      </c>
      <c r="B168" t="str">
        <v>MASS BSF</v>
      </c>
      <c r="C168" t="str">
        <v>C6E-921</v>
      </c>
      <c r="D168" t="str">
        <v>C6E-921</v>
      </c>
      <c r="E168" t="str">
        <v/>
      </c>
      <c r="F168" t="str">
        <v>867806078831353</v>
      </c>
      <c r="G168" t="str">
        <v>TBD</v>
      </c>
      <c r="H168" t="str">
        <v/>
      </c>
      <c r="I168" t="str">
        <v>28/09/2026</v>
      </c>
      <c r="J168" t="str">
        <v>12:26:17</v>
      </c>
      <c r="K168">
        <v>-12.22208</v>
      </c>
      <c r="L168">
        <v>-76.9744</v>
      </c>
      <c r="M168">
        <f>HYPERLINK("https://www.google.com/maps/search/?api=1&amp;query=-12.22208,-76.9744","Avenida El Sol, Villa El Salvador, Lima")</f>
      </c>
      <c r="N168">
        <v>10.9</v>
      </c>
      <c r="O168">
        <v>61</v>
      </c>
      <c r="P168">
        <v>295606.25</v>
      </c>
      <c r="Q168" t="str">
        <v>130.18</v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168</v>
      </c>
      <c r="B169" t="str">
        <v>MASS BSF</v>
      </c>
      <c r="C169" t="str">
        <v>C6E-921</v>
      </c>
      <c r="D169" t="str">
        <v>C6E-921</v>
      </c>
      <c r="E169" t="str">
        <v/>
      </c>
      <c r="F169" t="str">
        <v>867806078831353</v>
      </c>
      <c r="G169" t="str">
        <v>TBD</v>
      </c>
      <c r="H169" t="str">
        <v/>
      </c>
      <c r="I169" t="str">
        <v>28/09/2026</v>
      </c>
      <c r="J169" t="str">
        <v>12:26:22</v>
      </c>
      <c r="K169">
        <v>-12.222072</v>
      </c>
      <c r="L169">
        <v>-76.97453</v>
      </c>
      <c r="M169">
        <f>HYPERLINK("https://www.google.com/maps/search/?api=1&amp;query=-12.222072,-76.97453","Antigua Panamericana Sur, Villa El Salvador, Lima")</f>
      </c>
      <c r="N169">
        <v>11.6</v>
      </c>
      <c r="O169">
        <v>61</v>
      </c>
      <c r="P169">
        <v>295606.28</v>
      </c>
      <c r="Q169" t="str">
        <v>130.18</v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169</v>
      </c>
      <c r="B170" t="str">
        <v>MASS BSF</v>
      </c>
      <c r="C170" t="str">
        <v>C6E-921</v>
      </c>
      <c r="D170" t="str">
        <v>C6E-921</v>
      </c>
      <c r="E170" t="str">
        <v/>
      </c>
      <c r="F170" t="str">
        <v>867806078831353</v>
      </c>
      <c r="G170" t="str">
        <v>TBD</v>
      </c>
      <c r="H170" t="str">
        <v/>
      </c>
      <c r="I170" t="str">
        <v>28/09/2026</v>
      </c>
      <c r="J170" t="str">
        <v>12:26:27</v>
      </c>
      <c r="K170">
        <v>-12.221962</v>
      </c>
      <c r="L170">
        <v>-76.97464</v>
      </c>
      <c r="M170">
        <f>HYPERLINK("https://www.google.com/maps/search/?api=1&amp;query=-12.221962,-76.97464","Antigua Panamericana Sur, Villa El Salvador, Lima")</f>
      </c>
      <c r="N170">
        <v>16.1</v>
      </c>
      <c r="O170">
        <v>61</v>
      </c>
      <c r="P170">
        <v>295606.28</v>
      </c>
      <c r="Q170" t="str">
        <v>130.18</v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170</v>
      </c>
      <c r="B171" t="str">
        <v>MASS BSF</v>
      </c>
      <c r="C171" t="str">
        <v>C6E-921</v>
      </c>
      <c r="D171" t="str">
        <v>C6E-921</v>
      </c>
      <c r="E171" t="str">
        <v/>
      </c>
      <c r="F171" t="str">
        <v>867806078831353</v>
      </c>
      <c r="G171" t="str">
        <v>TBD</v>
      </c>
      <c r="H171" t="str">
        <v/>
      </c>
      <c r="I171" t="str">
        <v>28/09/2026</v>
      </c>
      <c r="J171" t="str">
        <v>12:26:42</v>
      </c>
      <c r="K171">
        <v>-12.221102</v>
      </c>
      <c r="L171">
        <v>-76.97547</v>
      </c>
      <c r="M171">
        <f>HYPERLINK("https://www.google.com/maps/search/?api=1&amp;query=-12.221102,-76.97547","Antigua Panamericana Sur, Villa El Salvador, Lima")</f>
      </c>
      <c r="N171">
        <v>42</v>
      </c>
      <c r="O171">
        <v>71</v>
      </c>
      <c r="P171">
        <v>295606.44</v>
      </c>
      <c r="Q171" t="str">
        <v>130.18</v>
      </c>
      <c r="R171" t="str">
        <v>Salida de camino vecinal</v>
      </c>
      <c r="S171" t="str">
        <v/>
      </c>
      <c r="T171" t="str">
        <v/>
      </c>
      <c r="U171" t="str">
        <v/>
      </c>
    </row>
    <row r="172">
      <c r="A172" t="str">
        <v>171</v>
      </c>
      <c r="B172" t="str">
        <v>MASS BSF</v>
      </c>
      <c r="C172" t="str">
        <v>C6E-921</v>
      </c>
      <c r="D172" t="str">
        <v>C6E-921</v>
      </c>
      <c r="E172" t="str">
        <v/>
      </c>
      <c r="F172" t="str">
        <v>867806078831353</v>
      </c>
      <c r="G172" t="str">
        <v>TBD</v>
      </c>
      <c r="H172" t="str">
        <v/>
      </c>
      <c r="I172" t="str">
        <v>28/09/2026</v>
      </c>
      <c r="J172" t="str">
        <v>12:26:45</v>
      </c>
      <c r="K172">
        <v>-12.220845</v>
      </c>
      <c r="L172">
        <v>-76.97566</v>
      </c>
      <c r="M172">
        <f>HYPERLINK("https://www.google.com/maps/search/?api=1&amp;query=-12.220845,-76.97566","Antigua Panamericana Sur, Villa El Salvador, Lima")</f>
      </c>
      <c r="N172">
        <v>42.4</v>
      </c>
      <c r="O172">
        <v>61</v>
      </c>
      <c r="P172">
        <v>295606.46</v>
      </c>
      <c r="Q172" t="str">
        <v>130.18</v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172</v>
      </c>
      <c r="B173" t="str">
        <v>MASS BSF</v>
      </c>
      <c r="C173" t="str">
        <v>C6E-921</v>
      </c>
      <c r="D173" t="str">
        <v>C6E-921</v>
      </c>
      <c r="E173" t="str">
        <v/>
      </c>
      <c r="F173" t="str">
        <v>867806078831353</v>
      </c>
      <c r="G173" t="str">
        <v>TBD</v>
      </c>
      <c r="H173" t="str">
        <v/>
      </c>
      <c r="I173" t="str">
        <v>28/09/2026</v>
      </c>
      <c r="J173" t="str">
        <v>12:26:50</v>
      </c>
      <c r="K173">
        <v>-12.220357</v>
      </c>
      <c r="L173">
        <v>-76.975746</v>
      </c>
      <c r="M173">
        <f>HYPERLINK("https://www.google.com/maps/search/?api=1&amp;query=-12.220357,-76.975746","Antigua Panamericana Sur, Villa El Salvador, Lima")</f>
      </c>
      <c r="N173">
        <v>35.9</v>
      </c>
      <c r="O173">
        <v>61</v>
      </c>
      <c r="P173">
        <v>295606.5</v>
      </c>
      <c r="Q173" t="str">
        <v>130.18</v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173</v>
      </c>
      <c r="B174" t="str">
        <v>MASS BSF</v>
      </c>
      <c r="C174" t="str">
        <v>C6E-921</v>
      </c>
      <c r="D174" t="str">
        <v>C6E-921</v>
      </c>
      <c r="E174" t="str">
        <v/>
      </c>
      <c r="F174" t="str">
        <v>867806078831353</v>
      </c>
      <c r="G174" t="str">
        <v>TBD</v>
      </c>
      <c r="H174" t="str">
        <v/>
      </c>
      <c r="I174" t="str">
        <v>28/09/2026</v>
      </c>
      <c r="J174" t="str">
        <v>12:27:00</v>
      </c>
      <c r="K174">
        <v>-12.219895</v>
      </c>
      <c r="L174">
        <v>-76.97568</v>
      </c>
      <c r="M174">
        <f>HYPERLINK("https://www.google.com/maps/search/?api=1&amp;query=-12.219895,-76.97568","Antigua Panamericana Sur, Villa El Salvador, Lima")</f>
      </c>
      <c r="N174">
        <v>8.1</v>
      </c>
      <c r="O174">
        <v>61</v>
      </c>
      <c r="P174">
        <v>295606.56</v>
      </c>
      <c r="Q174" t="str">
        <v>130.18</v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174</v>
      </c>
      <c r="B175" t="str">
        <v>MASS BSF</v>
      </c>
      <c r="C175" t="str">
        <v>C6E-921</v>
      </c>
      <c r="D175" t="str">
        <v>C6E-921</v>
      </c>
      <c r="E175" t="str">
        <v/>
      </c>
      <c r="F175" t="str">
        <v>867806078831353</v>
      </c>
      <c r="G175" t="str">
        <v>TBD</v>
      </c>
      <c r="H175" t="str">
        <v/>
      </c>
      <c r="I175" t="str">
        <v>28/09/2026</v>
      </c>
      <c r="J175" t="str">
        <v>12:27:06</v>
      </c>
      <c r="K175">
        <v>-12.21981</v>
      </c>
      <c r="L175">
        <v>-76.97569</v>
      </c>
      <c r="M175">
        <f>HYPERLINK("https://www.google.com/maps/search/?api=1&amp;query=-12.21981,-76.97569","Antigua Panamericana Sur, Villa El Salvador, Lima")</f>
      </c>
      <c r="N175">
        <v>5.9</v>
      </c>
      <c r="O175">
        <v>61</v>
      </c>
      <c r="P175">
        <v>295606.56</v>
      </c>
      <c r="Q175" t="str">
        <v>130.18</v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175</v>
      </c>
      <c r="B176" t="str">
        <v>MASS BSF</v>
      </c>
      <c r="C176" t="str">
        <v>C6E-921</v>
      </c>
      <c r="D176" t="str">
        <v>C6E-921</v>
      </c>
      <c r="E176" t="str">
        <v/>
      </c>
      <c r="F176" t="str">
        <v>867806078831353</v>
      </c>
      <c r="G176" t="str">
        <v>TBD</v>
      </c>
      <c r="H176" t="str">
        <v/>
      </c>
      <c r="I176" t="str">
        <v>28/09/2026</v>
      </c>
      <c r="J176" t="str">
        <v>12:27:14</v>
      </c>
      <c r="K176">
        <v>-12.219718</v>
      </c>
      <c r="L176">
        <v>-76.975716</v>
      </c>
      <c r="M176">
        <f>HYPERLINK("https://www.google.com/maps/search/?api=1&amp;query=-12.219718,-76.975716","Antigua Panamericana Sur, Villa El Salvador, Lima")</f>
      </c>
      <c r="N176">
        <v>7</v>
      </c>
      <c r="O176">
        <v>78</v>
      </c>
      <c r="P176">
        <v>295606.59</v>
      </c>
      <c r="Q176" t="str">
        <v>130.18</v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176</v>
      </c>
      <c r="B177" t="str">
        <v>MASS BSF</v>
      </c>
      <c r="C177" t="str">
        <v>C6E-921</v>
      </c>
      <c r="D177" t="str">
        <v>C6E-921</v>
      </c>
      <c r="E177" t="str">
        <v/>
      </c>
      <c r="F177" t="str">
        <v>867806078831353</v>
      </c>
      <c r="G177" t="str">
        <v>TBD</v>
      </c>
      <c r="H177" t="str">
        <v/>
      </c>
      <c r="I177" t="str">
        <v>28/09/2026</v>
      </c>
      <c r="J177" t="str">
        <v>12:27:21</v>
      </c>
      <c r="K177">
        <v>-12.219483</v>
      </c>
      <c r="L177">
        <v>-76.97578</v>
      </c>
      <c r="M177">
        <f>HYPERLINK("https://www.google.com/maps/search/?api=1&amp;query=-12.219483,-76.97578","Antigua Panamericana Sur, Villa El Salvador, Lima")</f>
      </c>
      <c r="N177">
        <v>20.1</v>
      </c>
      <c r="O177">
        <v>61</v>
      </c>
      <c r="P177">
        <v>295606.62</v>
      </c>
      <c r="Q177" t="str">
        <v>130.18</v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177</v>
      </c>
      <c r="B178" t="str">
        <v>MASS BSF</v>
      </c>
      <c r="C178" t="str">
        <v>C6E-921</v>
      </c>
      <c r="D178" t="str">
        <v>C6E-921</v>
      </c>
      <c r="E178" t="str">
        <v/>
      </c>
      <c r="F178" t="str">
        <v>867806078831353</v>
      </c>
      <c r="G178" t="str">
        <v>TBD</v>
      </c>
      <c r="H178" t="str">
        <v/>
      </c>
      <c r="I178" t="str">
        <v>28/09/2026</v>
      </c>
      <c r="J178" t="str">
        <v>12:27:26</v>
      </c>
      <c r="K178">
        <v>-12.219173</v>
      </c>
      <c r="L178">
        <v>-76.975746</v>
      </c>
      <c r="M178">
        <f>HYPERLINK("https://www.google.com/maps/search/?api=1&amp;query=-12.219173,-76.975746","Antigua Panamericana Sur, Villa El Salvador, Lima")</f>
      </c>
      <c r="N178">
        <v>25.3</v>
      </c>
      <c r="O178">
        <v>61</v>
      </c>
      <c r="P178">
        <v>295606.65</v>
      </c>
      <c r="Q178" t="str">
        <v>130.18</v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178</v>
      </c>
      <c r="B179" t="str">
        <v>MASS BSF</v>
      </c>
      <c r="C179" t="str">
        <v>C6E-921</v>
      </c>
      <c r="D179" t="str">
        <v>C6E-921</v>
      </c>
      <c r="E179" t="str">
        <v/>
      </c>
      <c r="F179" t="str">
        <v>867806078831353</v>
      </c>
      <c r="G179" t="str">
        <v>TBD</v>
      </c>
      <c r="H179" t="str">
        <v/>
      </c>
      <c r="I179" t="str">
        <v>28/09/2026</v>
      </c>
      <c r="J179" t="str">
        <v>12:27:31</v>
      </c>
      <c r="K179">
        <v>-12.218845</v>
      </c>
      <c r="L179">
        <v>-76.97574</v>
      </c>
      <c r="M179">
        <f>HYPERLINK("https://www.google.com/maps/search/?api=1&amp;query=-12.218845,-76.97574","Antigua Panamericana Sur, Villa El Salvador, Lima")</f>
      </c>
      <c r="N179">
        <v>29.2</v>
      </c>
      <c r="O179">
        <v>78</v>
      </c>
      <c r="P179">
        <v>295606.7</v>
      </c>
      <c r="Q179" t="str">
        <v>130.18</v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179</v>
      </c>
      <c r="B180" t="str">
        <v>MASS BSF</v>
      </c>
      <c r="C180" t="str">
        <v>C6E-921</v>
      </c>
      <c r="D180" t="str">
        <v>C6E-921</v>
      </c>
      <c r="E180" t="str">
        <v/>
      </c>
      <c r="F180" t="str">
        <v>867806078831353</v>
      </c>
      <c r="G180" t="str">
        <v>TBD</v>
      </c>
      <c r="H180" t="str">
        <v/>
      </c>
      <c r="I180" t="str">
        <v>28/09/2026</v>
      </c>
      <c r="J180" t="str">
        <v>12:27:36</v>
      </c>
      <c r="K180">
        <v>-12.218442</v>
      </c>
      <c r="L180">
        <v>-76.97588</v>
      </c>
      <c r="M180">
        <f>HYPERLINK("https://www.google.com/maps/search/?api=1&amp;query=-12.218442,-76.97588","Villa El Salvador, Lima")</f>
      </c>
      <c r="N180">
        <v>36.2</v>
      </c>
      <c r="O180">
        <v>78</v>
      </c>
      <c r="P180">
        <v>295606.71</v>
      </c>
      <c r="Q180" t="str">
        <v>130.18</v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180</v>
      </c>
      <c r="B181" t="str">
        <v>MASS BSF</v>
      </c>
      <c r="C181" t="str">
        <v>C6E-921</v>
      </c>
      <c r="D181" t="str">
        <v>C6E-921</v>
      </c>
      <c r="E181" t="str">
        <v/>
      </c>
      <c r="F181" t="str">
        <v>867806078831353</v>
      </c>
      <c r="G181" t="str">
        <v>TBD</v>
      </c>
      <c r="H181" t="str">
        <v/>
      </c>
      <c r="I181" t="str">
        <v>28/09/2026</v>
      </c>
      <c r="J181" t="str">
        <v>12:27:41</v>
      </c>
      <c r="K181">
        <v>-12.218101</v>
      </c>
      <c r="L181">
        <v>-76.976204</v>
      </c>
      <c r="M181">
        <f>HYPERLINK("https://www.google.com/maps/search/?api=1&amp;query=-12.218101,-76.976204","Villa El Salvador, Lima")</f>
      </c>
      <c r="N181">
        <v>34.6</v>
      </c>
      <c r="O181">
        <v>64</v>
      </c>
      <c r="P181">
        <v>295606.78</v>
      </c>
      <c r="Q181" t="str">
        <v>130.18</v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181</v>
      </c>
      <c r="B182" t="str">
        <v>MASS BSF</v>
      </c>
      <c r="C182" t="str">
        <v>C6E-921</v>
      </c>
      <c r="D182" t="str">
        <v>C6E-921</v>
      </c>
      <c r="E182" t="str">
        <v/>
      </c>
      <c r="F182" t="str">
        <v>867806078831353</v>
      </c>
      <c r="G182" t="str">
        <v>TBD</v>
      </c>
      <c r="H182" t="str">
        <v/>
      </c>
      <c r="I182" t="str">
        <v>28/09/2026</v>
      </c>
      <c r="J182" t="str">
        <v>12:27:46</v>
      </c>
      <c r="K182">
        <v>-12.217947</v>
      </c>
      <c r="L182">
        <v>-76.97658</v>
      </c>
      <c r="M182">
        <f>HYPERLINK("https://www.google.com/maps/search/?api=1&amp;query=-12.217947,-76.97658","Avenida Caminos del Inca, Villa El Salvador, Lima")</f>
      </c>
      <c r="N182">
        <v>28.3</v>
      </c>
      <c r="O182">
        <v>64</v>
      </c>
      <c r="P182">
        <v>295606.8</v>
      </c>
      <c r="Q182" t="str">
        <v>130.18</v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182</v>
      </c>
      <c r="B183" t="str">
        <v>MASS BSF</v>
      </c>
      <c r="C183" t="str">
        <v>C6E-921</v>
      </c>
      <c r="D183" t="str">
        <v>C6E-921</v>
      </c>
      <c r="E183" t="str">
        <v/>
      </c>
      <c r="F183" t="str">
        <v>867806078831353</v>
      </c>
      <c r="G183" t="str">
        <v>TBD</v>
      </c>
      <c r="H183" t="str">
        <v/>
      </c>
      <c r="I183" t="str">
        <v>28/09/2026</v>
      </c>
      <c r="J183" t="str">
        <v>12:27:51</v>
      </c>
      <c r="K183">
        <v>-12.21794</v>
      </c>
      <c r="L183">
        <v>-76.97695</v>
      </c>
      <c r="M183">
        <f>HYPERLINK("https://www.google.com/maps/search/?api=1&amp;query=-12.21794,-76.97695","Avenida Caminos del Inca, Chorrillos, Lima")</f>
      </c>
      <c r="N183">
        <v>33.3</v>
      </c>
      <c r="O183">
        <v>64</v>
      </c>
      <c r="P183">
        <v>295606.88</v>
      </c>
      <c r="Q183" t="str">
        <v>130.18</v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183</v>
      </c>
      <c r="B184" t="str">
        <v>MASS BSF</v>
      </c>
      <c r="C184" t="str">
        <v>C6E-921</v>
      </c>
      <c r="D184" t="str">
        <v>C6E-921</v>
      </c>
      <c r="E184" t="str">
        <v/>
      </c>
      <c r="F184" t="str">
        <v>867806078831353</v>
      </c>
      <c r="G184" t="str">
        <v>TBD</v>
      </c>
      <c r="H184" t="str">
        <v/>
      </c>
      <c r="I184" t="str">
        <v>28/09/2026</v>
      </c>
      <c r="J184" t="str">
        <v>12:28:06</v>
      </c>
      <c r="K184">
        <v>-12.217895</v>
      </c>
      <c r="L184">
        <v>-76.97799</v>
      </c>
      <c r="M184">
        <f>HYPERLINK("https://www.google.com/maps/search/?api=1&amp;query=-12.217895,-76.97799","Avenida Caminos del Inca, Chorrillos, Lima")</f>
      </c>
      <c r="N184">
        <v>10.9</v>
      </c>
      <c r="O184">
        <v>61</v>
      </c>
      <c r="P184">
        <v>295606.65</v>
      </c>
      <c r="Q184" t="str">
        <v>130.18</v>
      </c>
      <c r="R184" t="str">
        <v>Salió de zona</v>
      </c>
      <c r="S184" t="str">
        <v>324-MASS SAN JUAN</v>
      </c>
      <c r="T184" t="str">
        <v xml:space="preserve"> </v>
      </c>
      <c r="U184" t="str">
        <v/>
      </c>
    </row>
    <row r="185">
      <c r="A185" t="str">
        <v>184</v>
      </c>
      <c r="B185" t="str">
        <v>MASS BSF</v>
      </c>
      <c r="C185" t="str">
        <v>C6E-921</v>
      </c>
      <c r="D185" t="str">
        <v>C6E-921</v>
      </c>
      <c r="E185" t="str">
        <v/>
      </c>
      <c r="F185" t="str">
        <v>867806078831353</v>
      </c>
      <c r="G185" t="str">
        <v>TBD</v>
      </c>
      <c r="H185" t="str">
        <v/>
      </c>
      <c r="I185" t="str">
        <v>28/09/2026</v>
      </c>
      <c r="J185" t="str">
        <v>12:28:06</v>
      </c>
      <c r="K185">
        <v>-12.217895</v>
      </c>
      <c r="L185">
        <v>-76.97799</v>
      </c>
      <c r="M185">
        <f>HYPERLINK("https://www.google.com/maps/search/?api=1&amp;query=-12.217895,-76.97799","Avenida Caminos del Inca, Chorrillos, Lima")</f>
      </c>
      <c r="N185">
        <v>10.9</v>
      </c>
      <c r="O185">
        <v>64</v>
      </c>
      <c r="P185">
        <v>295606.96</v>
      </c>
      <c r="Q185" t="str">
        <v>130.18</v>
      </c>
      <c r="R185" t="str">
        <v>Bache</v>
      </c>
      <c r="S185" t="str">
        <v/>
      </c>
      <c r="T185" t="str">
        <v/>
      </c>
      <c r="U185" t="str">
        <v/>
      </c>
    </row>
    <row r="186">
      <c r="A186" t="str">
        <v>185</v>
      </c>
      <c r="B186" t="str">
        <v>MASS BSF</v>
      </c>
      <c r="C186" t="str">
        <v>C6E-921</v>
      </c>
      <c r="D186" t="str">
        <v>C6E-921</v>
      </c>
      <c r="E186" t="str">
        <v/>
      </c>
      <c r="F186" t="str">
        <v>867806078831353</v>
      </c>
      <c r="G186" t="str">
        <v>TBD</v>
      </c>
      <c r="H186" t="str">
        <v/>
      </c>
      <c r="I186" t="str">
        <v>28/09/2026</v>
      </c>
      <c r="J186" t="str">
        <v>12:28:14</v>
      </c>
      <c r="K186">
        <v>-12.217852</v>
      </c>
      <c r="L186">
        <v>-76.97845</v>
      </c>
      <c r="M186">
        <f>HYPERLINK("https://www.google.com/maps/search/?api=1&amp;query=-12.217852,-76.97845","Avenida Caminos del Inca, Chorrillos, Lima")</f>
      </c>
      <c r="N186">
        <v>32.2</v>
      </c>
      <c r="O186">
        <v>64</v>
      </c>
      <c r="P186">
        <v>295607.03</v>
      </c>
      <c r="Q186" t="str">
        <v>130.18</v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186</v>
      </c>
      <c r="B187" t="str">
        <v>MASS BSF</v>
      </c>
      <c r="C187" t="str">
        <v>C6E-921</v>
      </c>
      <c r="D187" t="str">
        <v>C6E-921</v>
      </c>
      <c r="E187" t="str">
        <v/>
      </c>
      <c r="F187" t="str">
        <v>867806078831353</v>
      </c>
      <c r="G187" t="str">
        <v>TBD</v>
      </c>
      <c r="H187" t="str">
        <v/>
      </c>
      <c r="I187" t="str">
        <v>28/09/2026</v>
      </c>
      <c r="J187" t="str">
        <v>12:28:19</v>
      </c>
      <c r="K187">
        <v>-12.217715</v>
      </c>
      <c r="L187">
        <v>-76.9789</v>
      </c>
      <c r="M187">
        <f>HYPERLINK("https://www.google.com/maps/search/?api=1&amp;query=-12.217715,-76.9789","Avenida Caminos del Inca, Chorrillos, Lima")</f>
      </c>
      <c r="N187">
        <v>41.2</v>
      </c>
      <c r="O187">
        <v>64</v>
      </c>
      <c r="P187">
        <v>295607.06</v>
      </c>
      <c r="Q187" t="str">
        <v>130.18</v>
      </c>
      <c r="R187" t="str">
        <v/>
      </c>
      <c r="S187" t="str">
        <v/>
      </c>
      <c r="T187" t="str">
        <v/>
      </c>
      <c r="U187" t="str">
        <v/>
      </c>
    </row>
    <row r="188">
      <c r="A188" t="str">
        <v>187</v>
      </c>
      <c r="B188" t="str">
        <v>MASS BSF</v>
      </c>
      <c r="C188" t="str">
        <v>C6E-921</v>
      </c>
      <c r="D188" t="str">
        <v>C6E-921</v>
      </c>
      <c r="E188" t="str">
        <v/>
      </c>
      <c r="F188" t="str">
        <v>867806078831353</v>
      </c>
      <c r="G188" t="str">
        <v>TBD</v>
      </c>
      <c r="H188" t="str">
        <v/>
      </c>
      <c r="I188" t="str">
        <v>28/09/2026</v>
      </c>
      <c r="J188" t="str">
        <v>12:28:24</v>
      </c>
      <c r="K188">
        <v>-12.21742</v>
      </c>
      <c r="L188">
        <v>-76.979355</v>
      </c>
      <c r="M188">
        <f>HYPERLINK("https://www.google.com/maps/search/?api=1&amp;query=-12.21742,-76.979355","Avenida Caminos del Inca, Chorrillos, Lima")</f>
      </c>
      <c r="N188">
        <v>45.9</v>
      </c>
      <c r="O188">
        <v>64</v>
      </c>
      <c r="P188">
        <v>295607.12</v>
      </c>
      <c r="Q188" t="str">
        <v>130.18</v>
      </c>
      <c r="R188" t="str">
        <v/>
      </c>
      <c r="S188" t="str">
        <v/>
      </c>
      <c r="T188" t="str">
        <v/>
      </c>
      <c r="U188" t="str">
        <v/>
      </c>
    </row>
    <row r="189">
      <c r="A189" t="str">
        <v>188</v>
      </c>
      <c r="B189" t="str">
        <v>MASS BSF</v>
      </c>
      <c r="C189" t="str">
        <v>C6E-921</v>
      </c>
      <c r="D189" t="str">
        <v>C6E-921</v>
      </c>
      <c r="E189" t="str">
        <v/>
      </c>
      <c r="F189" t="str">
        <v>867806078831353</v>
      </c>
      <c r="G189" t="str">
        <v>TBD</v>
      </c>
      <c r="H189" t="str">
        <v/>
      </c>
      <c r="I189" t="str">
        <v>28/09/2026</v>
      </c>
      <c r="J189" t="str">
        <v>12:28:46</v>
      </c>
      <c r="K189">
        <v>-12.215975</v>
      </c>
      <c r="L189">
        <v>-76.98075</v>
      </c>
      <c r="M189">
        <f>HYPERLINK("https://www.google.com/maps/search/?api=1&amp;query=-12.215975,-76.98075","Avenida Caminos del Inca, Chorrillos, Lima")</f>
      </c>
      <c r="N189">
        <v>18.8</v>
      </c>
      <c r="O189">
        <v>64</v>
      </c>
      <c r="P189">
        <v>295607.34</v>
      </c>
      <c r="Q189" t="str">
        <v>130.18</v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189</v>
      </c>
      <c r="B190" t="str">
        <v>MASS BSF</v>
      </c>
      <c r="C190" t="str">
        <v>C6E-921</v>
      </c>
      <c r="D190" t="str">
        <v>C6E-921</v>
      </c>
      <c r="E190" t="str">
        <v/>
      </c>
      <c r="F190" t="str">
        <v>867806078831353</v>
      </c>
      <c r="G190" t="str">
        <v>TBD</v>
      </c>
      <c r="H190" t="str">
        <v/>
      </c>
      <c r="I190" t="str">
        <v>28/09/2026</v>
      </c>
      <c r="J190" t="str">
        <v>12:28:55</v>
      </c>
      <c r="K190">
        <v>-12.215715</v>
      </c>
      <c r="L190">
        <v>-76.98095</v>
      </c>
      <c r="M190">
        <f>HYPERLINK("https://www.google.com/maps/search/?api=1&amp;query=-12.215715,-76.98095","Avenida Caminos del Inca, Chorrillos, Lima")</f>
      </c>
      <c r="N190">
        <v>20.1</v>
      </c>
      <c r="O190">
        <v>64</v>
      </c>
      <c r="P190">
        <v>295607.38</v>
      </c>
      <c r="Q190" t="str">
        <v>130.18</v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190</v>
      </c>
      <c r="B191" t="str">
        <v>MASS BSF</v>
      </c>
      <c r="C191" t="str">
        <v>C6E-921</v>
      </c>
      <c r="D191" t="str">
        <v>C6E-921</v>
      </c>
      <c r="E191" t="str">
        <v/>
      </c>
      <c r="F191" t="str">
        <v>867806078831353</v>
      </c>
      <c r="G191" t="str">
        <v>TBD</v>
      </c>
      <c r="H191" t="str">
        <v/>
      </c>
      <c r="I191" t="str">
        <v>28/09/2026</v>
      </c>
      <c r="J191" t="str">
        <v>12:29:00</v>
      </c>
      <c r="K191">
        <v>-12.215727</v>
      </c>
      <c r="L191">
        <v>-76.981155</v>
      </c>
      <c r="M191">
        <f>HYPERLINK("https://www.google.com/maps/search/?api=1&amp;query=-12.215727,-76.981155","Avenida Caminos del Inca, Chorrillos, Lima")</f>
      </c>
      <c r="N191">
        <v>16.6</v>
      </c>
      <c r="O191">
        <v>64</v>
      </c>
      <c r="P191">
        <v>295607.4</v>
      </c>
      <c r="Q191" t="str">
        <v>130.18</v>
      </c>
      <c r="R191" t="str">
        <v/>
      </c>
      <c r="S191" t="str">
        <v/>
      </c>
      <c r="T191" t="str">
        <v/>
      </c>
      <c r="U191" t="str">
        <v/>
      </c>
    </row>
    <row r="192">
      <c r="A192" t="str">
        <v>191</v>
      </c>
      <c r="B192" t="str">
        <v>MASS BSF</v>
      </c>
      <c r="C192" t="str">
        <v>C6E-921</v>
      </c>
      <c r="D192" t="str">
        <v>C6E-921</v>
      </c>
      <c r="E192" t="str">
        <v/>
      </c>
      <c r="F192" t="str">
        <v>867806078831353</v>
      </c>
      <c r="G192" t="str">
        <v>TBD</v>
      </c>
      <c r="H192" t="str">
        <v/>
      </c>
      <c r="I192" t="str">
        <v>28/09/2026</v>
      </c>
      <c r="J192" t="str">
        <v>12:29:05</v>
      </c>
      <c r="K192">
        <v>-12.215985</v>
      </c>
      <c r="L192">
        <v>-76.98117</v>
      </c>
      <c r="M192">
        <f>HYPERLINK("https://www.google.com/maps/search/?api=1&amp;query=-12.215985,-76.98117","Prolongación Huaylas, Chorrillos, Lima")</f>
      </c>
      <c r="N192">
        <v>24.8</v>
      </c>
      <c r="O192">
        <v>64</v>
      </c>
      <c r="P192">
        <v>295607.44</v>
      </c>
      <c r="Q192" t="str">
        <v>130.18</v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192</v>
      </c>
      <c r="B193" t="str">
        <v>MASS BSF</v>
      </c>
      <c r="C193" t="str">
        <v>C6E-921</v>
      </c>
      <c r="D193" t="str">
        <v>C6E-921</v>
      </c>
      <c r="E193" t="str">
        <v/>
      </c>
      <c r="F193" t="str">
        <v>867806078831353</v>
      </c>
      <c r="G193" t="str">
        <v>TBD</v>
      </c>
      <c r="H193" t="str">
        <v/>
      </c>
      <c r="I193" t="str">
        <v>28/09/2026</v>
      </c>
      <c r="J193" t="str">
        <v>12:29:08</v>
      </c>
      <c r="K193">
        <v>-12.216164</v>
      </c>
      <c r="L193">
        <v>-76.98106</v>
      </c>
      <c r="M193">
        <f>HYPERLINK("https://www.google.com/maps/search/?api=1&amp;query=-12.216164,-76.98106","Prolongación Huaylas, Chorrillos, Lima")</f>
      </c>
      <c r="N193">
        <v>31.8</v>
      </c>
      <c r="O193">
        <v>64</v>
      </c>
      <c r="P193">
        <v>295607.46</v>
      </c>
      <c r="Q193" t="str">
        <v>130.18</v>
      </c>
      <c r="R193" t="str">
        <v>Frenado y giro brusco</v>
      </c>
      <c r="S193" t="str">
        <v/>
      </c>
      <c r="T193" t="str">
        <v/>
      </c>
      <c r="U193" t="str">
        <v/>
      </c>
    </row>
    <row r="194">
      <c r="A194" t="str">
        <v>193</v>
      </c>
      <c r="B194" t="str">
        <v>MASS BSF</v>
      </c>
      <c r="C194" t="str">
        <v>C6E-921</v>
      </c>
      <c r="D194" t="str">
        <v>C6E-921</v>
      </c>
      <c r="E194" t="str">
        <v/>
      </c>
      <c r="F194" t="str">
        <v>867806078831353</v>
      </c>
      <c r="G194" t="str">
        <v>TBD</v>
      </c>
      <c r="H194" t="str">
        <v/>
      </c>
      <c r="I194" t="str">
        <v>28/09/2026</v>
      </c>
      <c r="J194" t="str">
        <v>12:29:10</v>
      </c>
      <c r="K194">
        <v>-12.216295</v>
      </c>
      <c r="L194">
        <v>-76.980934</v>
      </c>
      <c r="M194">
        <f>HYPERLINK("https://www.google.com/maps/search/?api=1&amp;query=-12.216295,-76.980934","Prolongación Huaylas, Chorrillos, Lima")</f>
      </c>
      <c r="N194">
        <v>37.7</v>
      </c>
      <c r="O194">
        <v>64</v>
      </c>
      <c r="P194">
        <v>295607.46</v>
      </c>
      <c r="Q194" t="str">
        <v>130.18</v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194</v>
      </c>
      <c r="B195" t="str">
        <v>MASS BSF</v>
      </c>
      <c r="C195" t="str">
        <v>C6E-921</v>
      </c>
      <c r="D195" t="str">
        <v>C6E-921</v>
      </c>
      <c r="E195" t="str">
        <v/>
      </c>
      <c r="F195" t="str">
        <v>867806078831353</v>
      </c>
      <c r="G195" t="str">
        <v>TBD</v>
      </c>
      <c r="H195" t="str">
        <v/>
      </c>
      <c r="I195" t="str">
        <v>28/09/2026</v>
      </c>
      <c r="J195" t="str">
        <v>12:29:27</v>
      </c>
      <c r="K195">
        <v>-12.21746</v>
      </c>
      <c r="L195">
        <v>-76.97981</v>
      </c>
      <c r="M195">
        <f>HYPERLINK("https://www.google.com/maps/search/?api=1&amp;query=-12.21746,-76.97981","Prolongación Huaylas, Chorrillos, Lima")</f>
      </c>
      <c r="N195">
        <v>21.6</v>
      </c>
      <c r="O195">
        <v>64</v>
      </c>
      <c r="P195">
        <v>295607.65</v>
      </c>
      <c r="Q195" t="str">
        <v>130.18</v>
      </c>
      <c r="R195" t="str">
        <v>Bache</v>
      </c>
      <c r="S195" t="str">
        <v/>
      </c>
      <c r="T195" t="str">
        <v/>
      </c>
      <c r="U195" t="str">
        <v/>
      </c>
    </row>
    <row r="196">
      <c r="A196" t="str">
        <v>195</v>
      </c>
      <c r="B196" t="str">
        <v>MASS BSF</v>
      </c>
      <c r="C196" t="str">
        <v>C6E-921</v>
      </c>
      <c r="D196" t="str">
        <v>C6E-921</v>
      </c>
      <c r="E196" t="str">
        <v/>
      </c>
      <c r="F196" t="str">
        <v>867806078831353</v>
      </c>
      <c r="G196" t="str">
        <v>TBD</v>
      </c>
      <c r="H196" t="str">
        <v/>
      </c>
      <c r="I196" t="str">
        <v>28/09/2026</v>
      </c>
      <c r="J196" t="str">
        <v>12:29:58</v>
      </c>
      <c r="K196">
        <v>-12.219435</v>
      </c>
      <c r="L196">
        <v>-76.9779</v>
      </c>
      <c r="M196">
        <f>HYPERLINK("https://www.google.com/maps/search/?api=1&amp;query=-12.219435,-76.9779","Prolongación Huaylas, Chorrillos, Lima")</f>
      </c>
      <c r="N196">
        <v>20.7</v>
      </c>
      <c r="O196">
        <v>64</v>
      </c>
      <c r="P196">
        <v>295607.96</v>
      </c>
      <c r="Q196" t="str">
        <v>130.18</v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196</v>
      </c>
      <c r="B197" t="str">
        <v>MASS BSF</v>
      </c>
      <c r="C197" t="str">
        <v>C6E-921</v>
      </c>
      <c r="D197" t="str">
        <v>C6E-921</v>
      </c>
      <c r="E197" t="str">
        <v/>
      </c>
      <c r="F197" t="str">
        <v>867806078831353</v>
      </c>
      <c r="G197" t="str">
        <v>TBD</v>
      </c>
      <c r="H197" t="str">
        <v/>
      </c>
      <c r="I197" t="str">
        <v>28/09/2026</v>
      </c>
      <c r="J197" t="str">
        <v>12:30:03</v>
      </c>
      <c r="K197">
        <v>-12.219608</v>
      </c>
      <c r="L197">
        <v>-76.97784</v>
      </c>
      <c r="M197">
        <f>HYPERLINK("https://www.google.com/maps/search/?api=1&amp;query=-12.219608,-76.97784","Prolongación Huaylas, Chorrillos, Lima")</f>
      </c>
      <c r="N197">
        <v>9.8</v>
      </c>
      <c r="O197">
        <v>64</v>
      </c>
      <c r="P197">
        <v>295607.96</v>
      </c>
      <c r="Q197" t="str">
        <v>130.18</v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197</v>
      </c>
      <c r="B198" t="str">
        <v>MASS BSF</v>
      </c>
      <c r="C198" t="str">
        <v>C6E-921</v>
      </c>
      <c r="D198" t="str">
        <v>C6E-921</v>
      </c>
      <c r="E198" t="str">
        <v/>
      </c>
      <c r="F198" t="str">
        <v>867806078831353</v>
      </c>
      <c r="G198" t="str">
        <v>TBD</v>
      </c>
      <c r="H198" t="str">
        <v/>
      </c>
      <c r="I198" t="str">
        <v>28/09/2026</v>
      </c>
      <c r="J198" t="str">
        <v>12:30:22</v>
      </c>
      <c r="K198">
        <v>-12.220457</v>
      </c>
      <c r="L198">
        <v>-76.9776</v>
      </c>
      <c r="M198">
        <f>HYPERLINK("https://www.google.com/maps/search/?api=1&amp;query=-12.220457,-76.9776","Prolongación Huaylas, Chorrillos, Lima")</f>
      </c>
      <c r="N198">
        <v>20.1</v>
      </c>
      <c r="O198">
        <v>64</v>
      </c>
      <c r="P198">
        <v>295608.06</v>
      </c>
      <c r="Q198" t="str">
        <v>130.18</v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198</v>
      </c>
      <c r="B199" t="str">
        <v>MASS BSF</v>
      </c>
      <c r="C199" t="str">
        <v>C6E-921</v>
      </c>
      <c r="D199" t="str">
        <v>C6E-921</v>
      </c>
      <c r="E199" t="str">
        <v/>
      </c>
      <c r="F199" t="str">
        <v>867806078831353</v>
      </c>
      <c r="G199" t="str">
        <v>TBD</v>
      </c>
      <c r="H199" t="str">
        <v/>
      </c>
      <c r="I199" t="str">
        <v>28/09/2026</v>
      </c>
      <c r="J199" t="str">
        <v>12:30:27</v>
      </c>
      <c r="K199">
        <v>-12.22067</v>
      </c>
      <c r="L199">
        <v>-76.97746</v>
      </c>
      <c r="M199">
        <f>HYPERLINK("https://www.google.com/maps/search/?api=1&amp;query=-12.22067,-76.97746","Prolongación Huaylas, Chorrillos, Lima")</f>
      </c>
      <c r="N199">
        <v>20.9</v>
      </c>
      <c r="O199">
        <v>64</v>
      </c>
      <c r="P199">
        <v>295608.09</v>
      </c>
      <c r="Q199" t="str">
        <v>130.18</v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199</v>
      </c>
      <c r="B200" t="str">
        <v>MASS BSF</v>
      </c>
      <c r="C200" t="str">
        <v>C6E-921</v>
      </c>
      <c r="D200" t="str">
        <v>C6E-921</v>
      </c>
      <c r="E200" t="str">
        <v/>
      </c>
      <c r="F200" t="str">
        <v>867806078831353</v>
      </c>
      <c r="G200" t="str">
        <v>TBD</v>
      </c>
      <c r="H200" t="str">
        <v/>
      </c>
      <c r="I200" t="str">
        <v>28/09/2026</v>
      </c>
      <c r="J200" t="str">
        <v>12:30:45</v>
      </c>
      <c r="K200">
        <v>-12.221227</v>
      </c>
      <c r="L200">
        <v>-76.97691</v>
      </c>
      <c r="M200">
        <f>HYPERLINK("https://www.google.com/maps/search/?api=1&amp;query=-12.221227,-76.97691","Prolongación Huaylas, Chorrillos, Lima")</f>
      </c>
      <c r="N200">
        <v>7</v>
      </c>
      <c r="O200">
        <v>64</v>
      </c>
      <c r="P200">
        <v>295608.2</v>
      </c>
      <c r="Q200" t="str">
        <v>130.18</v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200</v>
      </c>
      <c r="B201" t="str">
        <v>MASS BSF</v>
      </c>
      <c r="C201" t="str">
        <v>C6E-921</v>
      </c>
      <c r="D201" t="str">
        <v>C6E-921</v>
      </c>
      <c r="E201" t="str">
        <v/>
      </c>
      <c r="F201" t="str">
        <v>867806078831353</v>
      </c>
      <c r="G201" t="str">
        <v>TBD</v>
      </c>
      <c r="H201" t="str">
        <v/>
      </c>
      <c r="I201" t="str">
        <v>28/09/2026</v>
      </c>
      <c r="J201" t="str">
        <v>12:31:26</v>
      </c>
      <c r="K201">
        <v>-12.221312</v>
      </c>
      <c r="L201">
        <v>-76.97682</v>
      </c>
      <c r="M201">
        <f>HYPERLINK("https://www.google.com/maps/search/?api=1&amp;query=-12.221312,-76.97682","Prolongación Huaylas, Chorrillos, Lima")</f>
      </c>
      <c r="N201">
        <v>5.9</v>
      </c>
      <c r="O201">
        <v>64</v>
      </c>
      <c r="P201">
        <v>295608.2</v>
      </c>
      <c r="Q201" t="str">
        <v>130.18</v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201</v>
      </c>
      <c r="B202" t="str">
        <v>MASS BSF</v>
      </c>
      <c r="C202" t="str">
        <v>C6E-921</v>
      </c>
      <c r="D202" t="str">
        <v>C6E-921</v>
      </c>
      <c r="E202" t="str">
        <v/>
      </c>
      <c r="F202" t="str">
        <v>867806078831353</v>
      </c>
      <c r="G202" t="str">
        <v>TBD</v>
      </c>
      <c r="H202" t="str">
        <v/>
      </c>
      <c r="I202" t="str">
        <v>28/09/2026</v>
      </c>
      <c r="J202" t="str">
        <v>12:32:26</v>
      </c>
      <c r="K202">
        <v>-12.224015</v>
      </c>
      <c r="L202">
        <v>-76.974205</v>
      </c>
      <c r="M202">
        <f>HYPERLINK("https://www.google.com/maps/search/?api=1&amp;query=-12.224015,-76.974205","Prolongación Huaylas, Chorrillos, Lima")</f>
      </c>
      <c r="N202">
        <v>33.3</v>
      </c>
      <c r="O202">
        <v>64</v>
      </c>
      <c r="P202">
        <v>295608.59</v>
      </c>
      <c r="Q202" t="str">
        <v>130.18</v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202</v>
      </c>
      <c r="B203" t="str">
        <v>MASS BSF</v>
      </c>
      <c r="C203" t="str">
        <v>C6E-921</v>
      </c>
      <c r="D203" t="str">
        <v>C6E-921</v>
      </c>
      <c r="E203" t="str">
        <v/>
      </c>
      <c r="F203" t="str">
        <v>867806078831353</v>
      </c>
      <c r="G203" t="str">
        <v>TBD</v>
      </c>
      <c r="H203" t="str">
        <v/>
      </c>
      <c r="I203" t="str">
        <v>28/09/2026</v>
      </c>
      <c r="J203" t="str">
        <v>12:32:53</v>
      </c>
      <c r="K203">
        <v>-12.225337</v>
      </c>
      <c r="L203">
        <v>-76.97291</v>
      </c>
      <c r="M203">
        <f>HYPERLINK("https://www.google.com/maps/search/?api=1&amp;query=-12.225337,-76.97291","Prolongación Huaylas, Chorrillos, Lima")</f>
      </c>
      <c r="N203">
        <v>17.2</v>
      </c>
      <c r="O203">
        <v>64</v>
      </c>
      <c r="P203">
        <v>295608.8</v>
      </c>
      <c r="Q203" t="str">
        <v>130.18</v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203</v>
      </c>
      <c r="B204" t="str">
        <v>MASS BSF</v>
      </c>
      <c r="C204" t="str">
        <v>C6E-921</v>
      </c>
      <c r="D204" t="str">
        <v>C6E-921</v>
      </c>
      <c r="E204" t="str">
        <v/>
      </c>
      <c r="F204" t="str">
        <v>867806078831353</v>
      </c>
      <c r="G204" t="str">
        <v>TBD</v>
      </c>
      <c r="H204" t="str">
        <v/>
      </c>
      <c r="I204" t="str">
        <v>28/09/2026</v>
      </c>
      <c r="J204" t="str">
        <v>12:32:58</v>
      </c>
      <c r="K204">
        <v>-12.225288</v>
      </c>
      <c r="L204">
        <v>-76.97271</v>
      </c>
      <c r="M204">
        <f>HYPERLINK("https://www.google.com/maps/search/?api=1&amp;query=-12.225288,-76.97271","Calle Venecia, Chorrillos, Lima")</f>
      </c>
      <c r="N204">
        <v>18.1</v>
      </c>
      <c r="O204">
        <v>64</v>
      </c>
      <c r="P204">
        <v>295608.84</v>
      </c>
      <c r="Q204" t="str">
        <v>130.18</v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204</v>
      </c>
      <c r="B205" t="str">
        <v>MASS BSF</v>
      </c>
      <c r="C205" t="str">
        <v>C6E-921</v>
      </c>
      <c r="D205" t="str">
        <v>C6E-921</v>
      </c>
      <c r="E205" t="str">
        <v/>
      </c>
      <c r="F205" t="str">
        <v>867806078831353</v>
      </c>
      <c r="G205" t="str">
        <v>TBD</v>
      </c>
      <c r="H205" t="str">
        <v/>
      </c>
      <c r="I205" t="str">
        <v>28/09/2026</v>
      </c>
      <c r="J205" t="str">
        <v>12:33:03</v>
      </c>
      <c r="K205">
        <v>-12.225068</v>
      </c>
      <c r="L205">
        <v>-76.972595</v>
      </c>
      <c r="M205">
        <f>HYPERLINK("https://www.google.com/maps/search/?api=1&amp;query=-12.225068,-76.972595","Calle Venecia, Chorrillos, Lima")</f>
      </c>
      <c r="N205">
        <v>17.7</v>
      </c>
      <c r="O205">
        <v>64</v>
      </c>
      <c r="P205">
        <v>295608.84</v>
      </c>
      <c r="Q205" t="str">
        <v>130.18</v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205</v>
      </c>
      <c r="B206" t="str">
        <v>MASS BSF</v>
      </c>
      <c r="C206" t="str">
        <v>C6E-921</v>
      </c>
      <c r="D206" t="str">
        <v>C6E-921</v>
      </c>
      <c r="E206" t="str">
        <v/>
      </c>
      <c r="F206" t="str">
        <v>867806078831353</v>
      </c>
      <c r="G206" t="str">
        <v>TBD</v>
      </c>
      <c r="H206" t="str">
        <v/>
      </c>
      <c r="I206" t="str">
        <v>28/09/2026</v>
      </c>
      <c r="J206" t="str">
        <v>12:33:08</v>
      </c>
      <c r="K206">
        <v>-12.224956</v>
      </c>
      <c r="L206">
        <v>-76.97249</v>
      </c>
      <c r="M206">
        <f>HYPERLINK("https://www.google.com/maps/search/?api=1&amp;query=-12.224956,-76.97249","Calle Venecia, Chorrillos, Lima")</f>
      </c>
      <c r="N206">
        <v>15.9</v>
      </c>
      <c r="O206">
        <v>62</v>
      </c>
      <c r="P206">
        <v>295608.88</v>
      </c>
      <c r="Q206" t="str">
        <v>130.18</v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206</v>
      </c>
      <c r="B207" t="str">
        <v>MASS BSF</v>
      </c>
      <c r="C207" t="str">
        <v>C6E-921</v>
      </c>
      <c r="D207" t="str">
        <v>C6E-921</v>
      </c>
      <c r="E207" t="str">
        <v/>
      </c>
      <c r="F207" t="str">
        <v>867806078831353</v>
      </c>
      <c r="G207" t="str">
        <v>TBD</v>
      </c>
      <c r="H207" t="str">
        <v/>
      </c>
      <c r="I207" t="str">
        <v>28/09/2026</v>
      </c>
      <c r="J207" t="str">
        <v>12:33:08</v>
      </c>
      <c r="K207">
        <v>-12.224967</v>
      </c>
      <c r="L207">
        <v>-76.97246</v>
      </c>
      <c r="M207">
        <f>HYPERLINK("https://www.google.com/maps/search/?api=1&amp;query=-12.224967,-76.97246","Calle Venecia, Villa El Salvador, Lima")</f>
      </c>
      <c r="N207">
        <v>13.1</v>
      </c>
      <c r="O207">
        <v>62</v>
      </c>
      <c r="P207">
        <v>295608.88</v>
      </c>
      <c r="Q207" t="str">
        <v>130.18</v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207</v>
      </c>
      <c r="B208" t="str">
        <v>MASS BSF</v>
      </c>
      <c r="C208" t="str">
        <v>C6E-921</v>
      </c>
      <c r="D208" t="str">
        <v>C6E-921</v>
      </c>
      <c r="E208" t="str">
        <v/>
      </c>
      <c r="F208" t="str">
        <v>867806078831353</v>
      </c>
      <c r="G208" t="str">
        <v>TBD</v>
      </c>
      <c r="H208" t="str">
        <v/>
      </c>
      <c r="I208" t="str">
        <v>28/09/2026</v>
      </c>
      <c r="J208" t="str">
        <v>12:33:13</v>
      </c>
      <c r="K208">
        <v>-12.22508</v>
      </c>
      <c r="L208">
        <v>-76.97236</v>
      </c>
      <c r="M208">
        <f>HYPERLINK("https://www.google.com/maps/search/?api=1&amp;query=-12.22508,-76.97236","Carretera Panamericana Sur, Villa El Salvador, Lima")</f>
      </c>
      <c r="N208">
        <v>16.6</v>
      </c>
      <c r="O208">
        <v>62</v>
      </c>
      <c r="P208">
        <v>295608.9</v>
      </c>
      <c r="Q208" t="str">
        <v>130.18</v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208</v>
      </c>
      <c r="B209" t="str">
        <v>MASS BSF</v>
      </c>
      <c r="C209" t="str">
        <v>C6E-921</v>
      </c>
      <c r="D209" t="str">
        <v>C6E-921</v>
      </c>
      <c r="E209" t="str">
        <v/>
      </c>
      <c r="F209" t="str">
        <v>867806078831353</v>
      </c>
      <c r="G209" t="str">
        <v>TBD</v>
      </c>
      <c r="H209" t="str">
        <v/>
      </c>
      <c r="I209" t="str">
        <v>28/09/2026</v>
      </c>
      <c r="J209" t="str">
        <v>12:33:40</v>
      </c>
      <c r="K209">
        <v>-12.22673</v>
      </c>
      <c r="L209">
        <v>-76.97094</v>
      </c>
      <c r="M209">
        <f>HYPERLINK("https://www.google.com/maps/search/?api=1&amp;query=-12.22673,-76.97094","Carretera Panamericana Sur, Villa El Salvador, Lima")</f>
      </c>
      <c r="N209">
        <v>35</v>
      </c>
      <c r="O209">
        <v>62</v>
      </c>
      <c r="P209">
        <v>295609.12</v>
      </c>
      <c r="Q209" t="str">
        <v>130.18</v>
      </c>
      <c r="R209" t="str">
        <v>Bache</v>
      </c>
      <c r="S209" t="str">
        <v/>
      </c>
      <c r="T209" t="str">
        <v/>
      </c>
      <c r="U209" t="str">
        <v/>
      </c>
    </row>
    <row r="210">
      <c r="A210" t="str">
        <v>209</v>
      </c>
      <c r="B210" t="str">
        <v>MASS BSF</v>
      </c>
      <c r="C210" t="str">
        <v>C6E-921</v>
      </c>
      <c r="D210" t="str">
        <v>C6E-921</v>
      </c>
      <c r="E210" t="str">
        <v/>
      </c>
      <c r="F210" t="str">
        <v>867806078831353</v>
      </c>
      <c r="G210" t="str">
        <v>TBD</v>
      </c>
      <c r="H210" t="str">
        <v/>
      </c>
      <c r="I210" t="str">
        <v>28/09/2026</v>
      </c>
      <c r="J210" t="str">
        <v>12:33:48</v>
      </c>
      <c r="K210">
        <v>-12.227302</v>
      </c>
      <c r="L210">
        <v>-76.97037</v>
      </c>
      <c r="M210">
        <f>HYPERLINK("https://www.google.com/maps/search/?api=1&amp;query=-12.227302,-76.97037","Carretera Panamericana Sur, Villa El Salvador, Lima")</f>
      </c>
      <c r="N210">
        <v>42.5</v>
      </c>
      <c r="O210">
        <v>62</v>
      </c>
      <c r="P210">
        <v>295609.21</v>
      </c>
      <c r="Q210" t="str">
        <v>130.18</v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210</v>
      </c>
      <c r="B211" t="str">
        <v>MASS BSF</v>
      </c>
      <c r="C211" t="str">
        <v>C6E-921</v>
      </c>
      <c r="D211" t="str">
        <v>C6E-921</v>
      </c>
      <c r="E211" t="str">
        <v/>
      </c>
      <c r="F211" t="str">
        <v>867806078831353</v>
      </c>
      <c r="G211" t="str">
        <v>TBD</v>
      </c>
      <c r="H211" t="str">
        <v/>
      </c>
      <c r="I211" t="str">
        <v>28/09/2026</v>
      </c>
      <c r="J211" t="str">
        <v>12:33:57</v>
      </c>
      <c r="K211">
        <v>-12.22802</v>
      </c>
      <c r="L211">
        <v>-76.96951</v>
      </c>
      <c r="M211">
        <f>HYPERLINK("https://www.google.com/maps/search/?api=1&amp;query=-12.22802,-76.96951","Carretera Panamericana Sur, Villa El Salvador, Lima")</f>
      </c>
      <c r="N211">
        <v>52</v>
      </c>
      <c r="O211">
        <v>62</v>
      </c>
      <c r="P211">
        <v>295609.34</v>
      </c>
      <c r="Q211" t="str">
        <v>130.18</v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211</v>
      </c>
      <c r="B212" t="str">
        <v>MASS BSF</v>
      </c>
      <c r="C212" t="str">
        <v>C6E-921</v>
      </c>
      <c r="D212" t="str">
        <v>C6E-921</v>
      </c>
      <c r="E212" t="str">
        <v/>
      </c>
      <c r="F212" t="str">
        <v>867806078831353</v>
      </c>
      <c r="G212" t="str">
        <v>TBD</v>
      </c>
      <c r="H212" t="str">
        <v/>
      </c>
      <c r="I212" t="str">
        <v>28/09/2026</v>
      </c>
      <c r="J212" t="str">
        <v>12:34:00</v>
      </c>
      <c r="K212">
        <v>-12.228287</v>
      </c>
      <c r="L212">
        <v>-76.96922</v>
      </c>
      <c r="M212">
        <f>HYPERLINK("https://www.google.com/maps/search/?api=1&amp;query=-12.228287,-76.96922","Carretera Panamericana Sur, Villa El Salvador, Lima")</f>
      </c>
      <c r="N212">
        <v>53.7</v>
      </c>
      <c r="O212">
        <v>62</v>
      </c>
      <c r="P212">
        <v>295609.38</v>
      </c>
      <c r="Q212" t="str">
        <v>130.18</v>
      </c>
      <c r="R212" t="str">
        <v>Bache</v>
      </c>
      <c r="S212" t="str">
        <v/>
      </c>
      <c r="T212" t="str">
        <v/>
      </c>
      <c r="U212" t="str">
        <v/>
      </c>
    </row>
    <row r="213">
      <c r="A213" t="str">
        <v>212</v>
      </c>
      <c r="B213" t="str">
        <v>MASS BSF</v>
      </c>
      <c r="C213" t="str">
        <v>C6E-921</v>
      </c>
      <c r="D213" t="str">
        <v>C6E-921</v>
      </c>
      <c r="E213" t="str">
        <v/>
      </c>
      <c r="F213" t="str">
        <v>867806078831353</v>
      </c>
      <c r="G213" t="str">
        <v>TBD</v>
      </c>
      <c r="H213" t="str">
        <v/>
      </c>
      <c r="I213" t="str">
        <v>28/09/2026</v>
      </c>
      <c r="J213" t="str">
        <v>12:34:25</v>
      </c>
      <c r="K213">
        <v>-12.230817</v>
      </c>
      <c r="L213">
        <v>-76.96637</v>
      </c>
      <c r="M213">
        <f>HYPERLINK("https://www.google.com/maps/search/?api=1&amp;query=-12.230817,-76.96637","Carretera Panamericana Sur, Villa El Salvador, Lima")</f>
      </c>
      <c r="N213">
        <v>66.3</v>
      </c>
      <c r="O213">
        <v>62</v>
      </c>
      <c r="P213">
        <v>295609.8</v>
      </c>
      <c r="Q213" t="str">
        <v>130.18</v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213</v>
      </c>
      <c r="B214" t="str">
        <v>MASS BSF</v>
      </c>
      <c r="C214" t="str">
        <v>C6E-921</v>
      </c>
      <c r="D214" t="str">
        <v>C6E-921</v>
      </c>
      <c r="E214" t="str">
        <v/>
      </c>
      <c r="F214" t="str">
        <v>867806078831353</v>
      </c>
      <c r="G214" t="str">
        <v>TBD</v>
      </c>
      <c r="H214" t="str">
        <v/>
      </c>
      <c r="I214" t="str">
        <v>28/09/2026</v>
      </c>
      <c r="J214" t="str">
        <v>12:34:52</v>
      </c>
      <c r="K214">
        <v>-12.233104</v>
      </c>
      <c r="L214">
        <v>-76.96215</v>
      </c>
      <c r="M214">
        <f>HYPERLINK("https://www.google.com/maps/search/?api=1&amp;query=-12.233104,-76.96215","Carretera Panamericana Sur, Villa El Salvador, Lima")</f>
      </c>
      <c r="N214">
        <v>70.3</v>
      </c>
      <c r="O214">
        <v>62</v>
      </c>
      <c r="P214">
        <v>295610.3</v>
      </c>
      <c r="Q214" t="str">
        <v>130.18</v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214</v>
      </c>
      <c r="B215" t="str">
        <v>MASS BSF</v>
      </c>
      <c r="C215" t="str">
        <v>C6E-921</v>
      </c>
      <c r="D215" t="str">
        <v>C6E-921</v>
      </c>
      <c r="E215" t="str">
        <v/>
      </c>
      <c r="F215" t="str">
        <v>867806078831353</v>
      </c>
      <c r="G215" t="str">
        <v>TBD</v>
      </c>
      <c r="H215" t="str">
        <v/>
      </c>
      <c r="I215" t="str">
        <v>28/09/2026</v>
      </c>
      <c r="J215" t="str">
        <v>12:35:36</v>
      </c>
      <c r="K215">
        <v>-12.236667</v>
      </c>
      <c r="L215">
        <v>-76.955154</v>
      </c>
      <c r="M215">
        <f>HYPERLINK("https://www.google.com/maps/search/?api=1&amp;query=-12.236667,-76.955154","Carretera Panamericana Sur, Villa El Salvador, Lima")</f>
      </c>
      <c r="N215">
        <v>71.8</v>
      </c>
      <c r="O215">
        <v>62</v>
      </c>
      <c r="P215">
        <v>295611.2</v>
      </c>
      <c r="Q215" t="str">
        <v>130.18</v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215</v>
      </c>
      <c r="B216" t="str">
        <v>MASS BSF</v>
      </c>
      <c r="C216" t="str">
        <v>C6E-921</v>
      </c>
      <c r="D216" t="str">
        <v>C6E-921</v>
      </c>
      <c r="E216" t="str">
        <v/>
      </c>
      <c r="F216" t="str">
        <v>867806078831353</v>
      </c>
      <c r="G216" t="str">
        <v>TBD</v>
      </c>
      <c r="H216" t="str">
        <v/>
      </c>
      <c r="I216" t="str">
        <v>28/09/2026</v>
      </c>
      <c r="J216" t="str">
        <v>12:36:18</v>
      </c>
      <c r="K216">
        <v>-12.24022</v>
      </c>
      <c r="L216">
        <v>-76.9483</v>
      </c>
      <c r="M216">
        <f>HYPERLINK("https://www.google.com/maps/search/?api=1&amp;query=-12.24022,-76.9483","Carretera Panamericana Sur, Villa El Salvador, Lima")</f>
      </c>
      <c r="N216">
        <v>71.3</v>
      </c>
      <c r="O216">
        <v>62</v>
      </c>
      <c r="P216">
        <v>295612</v>
      </c>
      <c r="Q216" t="str">
        <v>130.18</v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216</v>
      </c>
      <c r="B217" t="str">
        <v>MASS BSF</v>
      </c>
      <c r="C217" t="str">
        <v>C6E-921</v>
      </c>
      <c r="D217" t="str">
        <v>C6E-921</v>
      </c>
      <c r="E217" t="str">
        <v/>
      </c>
      <c r="F217" t="str">
        <v>867806078831353</v>
      </c>
      <c r="G217" t="str">
        <v>TBD</v>
      </c>
      <c r="H217" t="str">
        <v/>
      </c>
      <c r="I217" t="str">
        <v>28/09/2026</v>
      </c>
      <c r="J217" t="str">
        <v>12:37:01</v>
      </c>
      <c r="K217">
        <v>-12.243818</v>
      </c>
      <c r="L217">
        <v>-76.94136</v>
      </c>
      <c r="M217">
        <f>HYPERLINK("https://www.google.com/maps/search/?api=1&amp;query=-12.243818,-76.94136","Carretera Panamericana Sur, Villa El Salvador, Lima")</f>
      </c>
      <c r="N217">
        <v>70.3</v>
      </c>
      <c r="O217">
        <v>62</v>
      </c>
      <c r="P217">
        <v>295612.84</v>
      </c>
      <c r="Q217" t="str">
        <v>130.18</v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217</v>
      </c>
      <c r="B218" t="str">
        <v>MASS BSF</v>
      </c>
      <c r="C218" t="str">
        <v>C6E-921</v>
      </c>
      <c r="D218" t="str">
        <v>C6E-921</v>
      </c>
      <c r="E218" t="str">
        <v/>
      </c>
      <c r="F218" t="str">
        <v>867806078831353</v>
      </c>
      <c r="G218" t="str">
        <v>TBD</v>
      </c>
      <c r="H218" t="str">
        <v/>
      </c>
      <c r="I218" t="str">
        <v>28/09/2026</v>
      </c>
      <c r="J218" t="str">
        <v>12:37:44</v>
      </c>
      <c r="K218">
        <v>-12.247467</v>
      </c>
      <c r="L218">
        <v>-76.9345</v>
      </c>
      <c r="M218">
        <f>HYPERLINK("https://www.google.com/maps/search/?api=1&amp;query=-12.247467,-76.9345","Carretera Panamericana Sur, Lurín, Lima")</f>
      </c>
      <c r="N218">
        <v>70.9</v>
      </c>
      <c r="O218">
        <v>62</v>
      </c>
      <c r="P218">
        <v>295613.7</v>
      </c>
      <c r="Q218" t="str">
        <v>130.18</v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218</v>
      </c>
      <c r="B219" t="str">
        <v>MASS BSF</v>
      </c>
      <c r="C219" t="str">
        <v>C6E-921</v>
      </c>
      <c r="D219" t="str">
        <v>C6E-921</v>
      </c>
      <c r="E219" t="str">
        <v/>
      </c>
      <c r="F219" t="str">
        <v>867806078831353</v>
      </c>
      <c r="G219" t="str">
        <v>TBD</v>
      </c>
      <c r="H219" t="str">
        <v/>
      </c>
      <c r="I219" t="str">
        <v>28/09/2026</v>
      </c>
      <c r="J219" t="str">
        <v>12:38:27</v>
      </c>
      <c r="K219">
        <v>-12.25198</v>
      </c>
      <c r="L219">
        <v>-76.92854</v>
      </c>
      <c r="M219">
        <f>HYPERLINK("https://www.google.com/maps/search/?api=1&amp;query=-12.25198,-76.92854","Carretera Panamericana Sur, Lurín, Lima")</f>
      </c>
      <c r="N219">
        <v>69.8</v>
      </c>
      <c r="O219">
        <v>62</v>
      </c>
      <c r="P219">
        <v>295614.5</v>
      </c>
      <c r="Q219" t="str">
        <v>130.18</v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219</v>
      </c>
      <c r="B220" t="str">
        <v>MASS BSF</v>
      </c>
      <c r="C220" t="str">
        <v>C6E-921</v>
      </c>
      <c r="D220" t="str">
        <v>C6E-921</v>
      </c>
      <c r="E220" t="str">
        <v/>
      </c>
      <c r="F220" t="str">
        <v>867806078831353</v>
      </c>
      <c r="G220" t="str">
        <v>TBD</v>
      </c>
      <c r="H220" t="str">
        <v/>
      </c>
      <c r="I220" t="str">
        <v>28/09/2026</v>
      </c>
      <c r="J220" t="str">
        <v>12:39:10</v>
      </c>
      <c r="K220">
        <v>-12.25592</v>
      </c>
      <c r="L220">
        <v>-76.922005</v>
      </c>
      <c r="M220">
        <f>HYPERLINK("https://www.google.com/maps/search/?api=1&amp;query=-12.25592,-76.922005","Carretera Panamericana Sur, Lurín, Lima")</f>
      </c>
      <c r="N220">
        <v>71.6</v>
      </c>
      <c r="O220">
        <v>62</v>
      </c>
      <c r="P220">
        <v>295615.34</v>
      </c>
      <c r="Q220" t="str">
        <v>130.18</v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220</v>
      </c>
      <c r="B221" t="str">
        <v>MASS BSF</v>
      </c>
      <c r="C221" t="str">
        <v>C6E-921</v>
      </c>
      <c r="D221" t="str">
        <v>C6E-921</v>
      </c>
      <c r="E221" t="str">
        <v/>
      </c>
      <c r="F221" t="str">
        <v>867806078831353</v>
      </c>
      <c r="G221" t="str">
        <v>TBD</v>
      </c>
      <c r="H221" t="str">
        <v/>
      </c>
      <c r="I221" t="str">
        <v>28/09/2026</v>
      </c>
      <c r="J221" t="str">
        <v>12:39:53</v>
      </c>
      <c r="K221">
        <v>-12.25998</v>
      </c>
      <c r="L221">
        <v>-76.915535</v>
      </c>
      <c r="M221">
        <f>HYPERLINK("https://www.google.com/maps/search/?api=1&amp;query=-12.25998,-76.915535","Carretera Panamericana Sur, Lurín, Lima")</f>
      </c>
      <c r="N221">
        <v>69.4</v>
      </c>
      <c r="O221">
        <v>62</v>
      </c>
      <c r="P221">
        <v>295616.2</v>
      </c>
      <c r="Q221" t="str">
        <v>130.18</v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221</v>
      </c>
      <c r="B222" t="str">
        <v>MASS BSF</v>
      </c>
      <c r="C222" t="str">
        <v>C6E-921</v>
      </c>
      <c r="D222" t="str">
        <v>C6E-921</v>
      </c>
      <c r="E222" t="str">
        <v/>
      </c>
      <c r="F222" t="str">
        <v>867806078831353</v>
      </c>
      <c r="G222" t="str">
        <v>TBD</v>
      </c>
      <c r="H222" t="str">
        <v/>
      </c>
      <c r="I222" t="str">
        <v>28/09/2026</v>
      </c>
      <c r="J222" t="str">
        <v>12:40:36</v>
      </c>
      <c r="K222">
        <v>-12.264007</v>
      </c>
      <c r="L222">
        <v>-76.90914</v>
      </c>
      <c r="M222">
        <f>HYPERLINK("https://www.google.com/maps/search/?api=1&amp;query=-12.264007,-76.90914","Carretera Panamericana Sur, Lurín, Lima")</f>
      </c>
      <c r="N222">
        <v>68.5</v>
      </c>
      <c r="O222">
        <v>62</v>
      </c>
      <c r="P222">
        <v>295617</v>
      </c>
      <c r="Q222" t="str">
        <v>130.18</v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222</v>
      </c>
      <c r="B223" t="str">
        <v>MASS BSF</v>
      </c>
      <c r="C223" t="str">
        <v>C6E-921</v>
      </c>
      <c r="D223" t="str">
        <v>C6E-921</v>
      </c>
      <c r="E223" t="str">
        <v/>
      </c>
      <c r="F223" t="str">
        <v>867806078831353</v>
      </c>
      <c r="G223" t="str">
        <v>TBD</v>
      </c>
      <c r="H223" t="str">
        <v/>
      </c>
      <c r="I223" t="str">
        <v>28/09/2026</v>
      </c>
      <c r="J223" t="str">
        <v>12:41:19</v>
      </c>
      <c r="K223">
        <v>-12.268066</v>
      </c>
      <c r="L223">
        <v>-76.90268</v>
      </c>
      <c r="M223">
        <f>HYPERLINK("https://www.google.com/maps/search/?api=1&amp;query=-12.268066,-76.90268","Carretera Panamericana Sur, Lurín, Lima")</f>
      </c>
      <c r="N223">
        <v>70</v>
      </c>
      <c r="O223">
        <v>62</v>
      </c>
      <c r="P223">
        <v>295617.8</v>
      </c>
      <c r="Q223" t="str">
        <v>130.18</v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223</v>
      </c>
      <c r="B224" t="str">
        <v>MASS BSF</v>
      </c>
      <c r="C224" t="str">
        <v>C6E-921</v>
      </c>
      <c r="D224" t="str">
        <v>C6E-921</v>
      </c>
      <c r="E224" t="str">
        <v/>
      </c>
      <c r="F224" t="str">
        <v>867806078831353</v>
      </c>
      <c r="G224" t="str">
        <v>TBD</v>
      </c>
      <c r="H224" t="str">
        <v/>
      </c>
      <c r="I224" t="str">
        <v>28/09/2026</v>
      </c>
      <c r="J224" t="str">
        <v>12:42:02</v>
      </c>
      <c r="K224">
        <v>-12.272153</v>
      </c>
      <c r="L224">
        <v>-76.89618</v>
      </c>
      <c r="M224">
        <f>HYPERLINK("https://www.google.com/maps/search/?api=1&amp;query=-12.272153,-76.89618","Carretera Panamericana Sur, Lurín, Lima")</f>
      </c>
      <c r="N224">
        <v>70.9</v>
      </c>
      <c r="O224">
        <v>62</v>
      </c>
      <c r="P224">
        <v>295618.65</v>
      </c>
      <c r="Q224" t="str">
        <v>130.18</v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224</v>
      </c>
      <c r="B225" t="str">
        <v>MASS BSF</v>
      </c>
      <c r="C225" t="str">
        <v>C6E-921</v>
      </c>
      <c r="D225" t="str">
        <v>C6E-921</v>
      </c>
      <c r="E225" t="str">
        <v/>
      </c>
      <c r="F225" t="str">
        <v>867806078831353</v>
      </c>
      <c r="G225" t="str">
        <v>TBD</v>
      </c>
      <c r="H225" t="str">
        <v/>
      </c>
      <c r="I225" t="str">
        <v>28/09/2026</v>
      </c>
      <c r="J225" t="str">
        <v>12:42:45</v>
      </c>
      <c r="K225">
        <v>-12.276215</v>
      </c>
      <c r="L225">
        <v>-76.88972</v>
      </c>
      <c r="M225">
        <f>HYPERLINK("https://www.google.com/maps/search/?api=1&amp;query=-12.276215,-76.88972","Carretera Panamericana Sur, Lurín, Lima")</f>
      </c>
      <c r="N225">
        <v>70</v>
      </c>
      <c r="O225">
        <v>62</v>
      </c>
      <c r="P225">
        <v>295619.5</v>
      </c>
      <c r="Q225" t="str">
        <v>130.18</v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225</v>
      </c>
      <c r="B226" t="str">
        <v>MASS BSF</v>
      </c>
      <c r="C226" t="str">
        <v>C6E-921</v>
      </c>
      <c r="D226" t="str">
        <v>C6E-921</v>
      </c>
      <c r="E226" t="str">
        <v/>
      </c>
      <c r="F226" t="str">
        <v>867806078831353</v>
      </c>
      <c r="G226" t="str">
        <v>TBD</v>
      </c>
      <c r="H226" t="str">
        <v/>
      </c>
      <c r="I226" t="str">
        <v>28/09/2026</v>
      </c>
      <c r="J226" t="str">
        <v>12:43:28</v>
      </c>
      <c r="K226">
        <v>-12.280211</v>
      </c>
      <c r="L226">
        <v>-76.88334</v>
      </c>
      <c r="M226">
        <f>HYPERLINK("https://www.google.com/maps/search/?api=1&amp;query=-12.280211,-76.88334","Carretera Panamericana Sur, Lurín, Lima")</f>
      </c>
      <c r="N226">
        <v>70.3</v>
      </c>
      <c r="O226">
        <v>62</v>
      </c>
      <c r="P226">
        <v>295620.3</v>
      </c>
      <c r="Q226" t="str">
        <v>130.18</v>
      </c>
      <c r="R226" t="str">
        <v/>
      </c>
      <c r="S226" t="str">
        <v/>
      </c>
      <c r="T226" t="str">
        <v/>
      </c>
      <c r="U226" t="str">
        <v/>
      </c>
    </row>
    <row r="227">
      <c r="A227" t="str">
        <v>226</v>
      </c>
      <c r="B227" t="str">
        <v>MASS BSF</v>
      </c>
      <c r="C227" t="str">
        <v>C6E-921</v>
      </c>
      <c r="D227" t="str">
        <v>C6E-921</v>
      </c>
      <c r="E227" t="str">
        <v/>
      </c>
      <c r="F227" t="str">
        <v>867806078831353</v>
      </c>
      <c r="G227" t="str">
        <v>TBD</v>
      </c>
      <c r="H227" t="str">
        <v/>
      </c>
      <c r="I227" t="str">
        <v>28/09/2026</v>
      </c>
      <c r="J227" t="str">
        <v>12:44:11</v>
      </c>
      <c r="K227">
        <v>-12.284239</v>
      </c>
      <c r="L227">
        <v>-76.87692</v>
      </c>
      <c r="M227">
        <f>HYPERLINK("https://www.google.com/maps/search/?api=1&amp;query=-12.284239,-76.87692","Carretera Panamericana Sur, Lurín, Lima")</f>
      </c>
      <c r="N227">
        <v>69.4</v>
      </c>
      <c r="O227">
        <v>62</v>
      </c>
      <c r="P227">
        <v>295621.12</v>
      </c>
      <c r="Q227" t="str">
        <v>130.18</v>
      </c>
      <c r="R227" t="str">
        <v/>
      </c>
      <c r="S227" t="str">
        <v/>
      </c>
      <c r="T227" t="str">
        <v/>
      </c>
      <c r="U227" t="str">
        <v/>
      </c>
    </row>
    <row r="228">
      <c r="A228" t="str">
        <v>227</v>
      </c>
      <c r="B228" t="str">
        <v>MASS BSF</v>
      </c>
      <c r="C228" t="str">
        <v>C6E-921</v>
      </c>
      <c r="D228" t="str">
        <v>C6E-921</v>
      </c>
      <c r="E228" t="str">
        <v/>
      </c>
      <c r="F228" t="str">
        <v>867806078831353</v>
      </c>
      <c r="G228" t="str">
        <v>TBD</v>
      </c>
      <c r="H228" t="str">
        <v/>
      </c>
      <c r="I228" t="str">
        <v>28/09/2026</v>
      </c>
      <c r="J228" t="str">
        <v>12:44:54</v>
      </c>
      <c r="K228">
        <v>-12.288315</v>
      </c>
      <c r="L228">
        <v>-76.87042</v>
      </c>
      <c r="M228">
        <f>HYPERLINK("https://www.google.com/maps/search/?api=1&amp;query=-12.288315,-76.87042","Carretera Panamericana Sur, Lurín, Lima")</f>
      </c>
      <c r="N228">
        <v>69</v>
      </c>
      <c r="O228">
        <v>62</v>
      </c>
      <c r="P228">
        <v>295621.96</v>
      </c>
      <c r="Q228" t="str">
        <v>130.18</v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228</v>
      </c>
      <c r="B229" t="str">
        <v>MASS BSF</v>
      </c>
      <c r="C229" t="str">
        <v>C6E-921</v>
      </c>
      <c r="D229" t="str">
        <v>C6E-921</v>
      </c>
      <c r="E229" t="str">
        <v/>
      </c>
      <c r="F229" t="str">
        <v>867806078831353</v>
      </c>
      <c r="G229" t="str">
        <v>TBD</v>
      </c>
      <c r="H229" t="str">
        <v/>
      </c>
      <c r="I229" t="str">
        <v>28/09/2026</v>
      </c>
      <c r="J229" t="str">
        <v>12:45:37</v>
      </c>
      <c r="K229">
        <v>-12.292367</v>
      </c>
      <c r="L229">
        <v>-76.86396</v>
      </c>
      <c r="M229">
        <f>HYPERLINK("https://www.google.com/maps/search/?api=1&amp;query=-12.292367,-76.86396","Carretera Panamericana Sur, Lurín, Lima")</f>
      </c>
      <c r="N229">
        <v>69.6</v>
      </c>
      <c r="O229">
        <v>62</v>
      </c>
      <c r="P229">
        <v>295622.78</v>
      </c>
      <c r="Q229" t="str">
        <v>130.18</v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229</v>
      </c>
      <c r="B230" t="str">
        <v>MASS BSF</v>
      </c>
      <c r="C230" t="str">
        <v>C6E-921</v>
      </c>
      <c r="D230" t="str">
        <v>C6E-921</v>
      </c>
      <c r="E230" t="str">
        <v/>
      </c>
      <c r="F230" t="str">
        <v>867806078831353</v>
      </c>
      <c r="G230" t="str">
        <v>TBD</v>
      </c>
      <c r="H230" t="str">
        <v/>
      </c>
      <c r="I230" t="str">
        <v>28/09/2026</v>
      </c>
      <c r="J230" t="str">
        <v>12:46:20</v>
      </c>
      <c r="K230">
        <v>-12.296311</v>
      </c>
      <c r="L230">
        <v>-76.857445</v>
      </c>
      <c r="M230">
        <f>HYPERLINK("https://www.google.com/maps/search/?api=1&amp;query=-12.296311,-76.857445","Carretera Panamericana Sur, Lurín, Lima")</f>
      </c>
      <c r="N230">
        <v>69</v>
      </c>
      <c r="O230">
        <v>62</v>
      </c>
      <c r="P230">
        <v>295623.62</v>
      </c>
      <c r="Q230" t="str">
        <v>130.18</v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230</v>
      </c>
      <c r="B231" t="str">
        <v>MASS BSF</v>
      </c>
      <c r="C231" t="str">
        <v>C6E-921</v>
      </c>
      <c r="D231" t="str">
        <v>C6E-921</v>
      </c>
      <c r="E231" t="str">
        <v/>
      </c>
      <c r="F231" t="str">
        <v>867806078831353</v>
      </c>
      <c r="G231" t="str">
        <v>TBD</v>
      </c>
      <c r="H231" t="str">
        <v/>
      </c>
      <c r="I231" t="str">
        <v>28/09/2026</v>
      </c>
      <c r="J231" t="str">
        <v>12:47:06</v>
      </c>
      <c r="K231">
        <v>-12.29951</v>
      </c>
      <c r="L231">
        <v>-76.85025</v>
      </c>
      <c r="M231">
        <f>HYPERLINK("https://www.google.com/maps/search/?api=1&amp;query=-12.29951,-76.85025","Carretera Panamericana Sur, Lurín, Lima")</f>
      </c>
      <c r="N231">
        <v>65.3</v>
      </c>
      <c r="O231">
        <v>62</v>
      </c>
      <c r="P231">
        <v>295624.46</v>
      </c>
      <c r="Q231" t="str">
        <v>130.18</v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231</v>
      </c>
      <c r="B232" t="str">
        <v>MASS BSF</v>
      </c>
      <c r="C232" t="str">
        <v>C6E-921</v>
      </c>
      <c r="D232" t="str">
        <v>C6E-921</v>
      </c>
      <c r="E232" t="str">
        <v/>
      </c>
      <c r="F232" t="str">
        <v>867806078831353</v>
      </c>
      <c r="G232" t="str">
        <v>TBD</v>
      </c>
      <c r="H232" t="str">
        <v/>
      </c>
      <c r="I232" t="str">
        <v>28/09/2026</v>
      </c>
      <c r="J232" t="str">
        <v>12:47:52</v>
      </c>
      <c r="K232">
        <v>-12.302707</v>
      </c>
      <c r="L232">
        <v>-76.84314</v>
      </c>
      <c r="M232">
        <f>HYPERLINK("https://www.google.com/maps/search/?api=1&amp;query=-12.302707,-76.84314","Carretera Panamericana Sur, Lurín, Lima")</f>
      </c>
      <c r="N232">
        <v>61.8</v>
      </c>
      <c r="O232">
        <v>62</v>
      </c>
      <c r="P232">
        <v>295625.3</v>
      </c>
      <c r="Q232" t="str">
        <v>130.18</v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232</v>
      </c>
      <c r="B233" t="str">
        <v>MASS BSF</v>
      </c>
      <c r="C233" t="str">
        <v>C6E-921</v>
      </c>
      <c r="D233" t="str">
        <v>C6E-921</v>
      </c>
      <c r="E233" t="str">
        <v/>
      </c>
      <c r="F233" t="str">
        <v>867806078831353</v>
      </c>
      <c r="G233" t="str">
        <v>TBD</v>
      </c>
      <c r="H233" t="str">
        <v/>
      </c>
      <c r="I233" t="str">
        <v>28/09/2026</v>
      </c>
      <c r="J233" t="str">
        <v>12:48:12</v>
      </c>
      <c r="K233">
        <v>-12.304394</v>
      </c>
      <c r="L233">
        <v>-76.840515</v>
      </c>
      <c r="M233">
        <f>HYPERLINK("https://www.google.com/maps/search/?api=1&amp;query=-12.304394,-76.840515","Carretera Panamericana Sur, Lurín, Lima")</f>
      </c>
      <c r="N233">
        <v>62.5</v>
      </c>
      <c r="O233">
        <v>62</v>
      </c>
      <c r="P233">
        <v>295625.65</v>
      </c>
      <c r="Q233" t="str">
        <v>130.18</v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233</v>
      </c>
      <c r="B234" t="str">
        <v>MASS BSF</v>
      </c>
      <c r="C234" t="str">
        <v>C6E-921</v>
      </c>
      <c r="D234" t="str">
        <v>C6E-921</v>
      </c>
      <c r="E234" t="str">
        <v/>
      </c>
      <c r="F234" t="str">
        <v>867806078831353</v>
      </c>
      <c r="G234" t="str">
        <v>TBD</v>
      </c>
      <c r="H234" t="str">
        <v/>
      </c>
      <c r="I234" t="str">
        <v>28/09/2026</v>
      </c>
      <c r="J234" t="str">
        <v>12:48:33</v>
      </c>
      <c r="K234">
        <v>-12.30667</v>
      </c>
      <c r="L234">
        <v>-76.83806</v>
      </c>
      <c r="M234">
        <f>HYPERLINK("https://www.google.com/maps/search/?api=1&amp;query=-12.30667,-76.83806","Carretera Panamericana Sur, Punta Hermosa, Lima")</f>
      </c>
      <c r="N234">
        <v>66.4</v>
      </c>
      <c r="O234">
        <v>62</v>
      </c>
      <c r="P234">
        <v>295626.03</v>
      </c>
      <c r="Q234" t="str">
        <v>130.18</v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234</v>
      </c>
      <c r="B235" t="str">
        <v>MASS BSF</v>
      </c>
      <c r="C235" t="str">
        <v>C6E-921</v>
      </c>
      <c r="D235" t="str">
        <v>C6E-921</v>
      </c>
      <c r="E235" t="str">
        <v/>
      </c>
      <c r="F235" t="str">
        <v>867806078831353</v>
      </c>
      <c r="G235" t="str">
        <v>TBD</v>
      </c>
      <c r="H235" t="str">
        <v/>
      </c>
      <c r="I235" t="str">
        <v>28/09/2026</v>
      </c>
      <c r="J235" t="str">
        <v>12:49:14</v>
      </c>
      <c r="K235">
        <v>-12.312275</v>
      </c>
      <c r="L235">
        <v>-76.83409</v>
      </c>
      <c r="M235">
        <f>HYPERLINK("https://www.google.com/maps/search/?api=1&amp;query=-12.312275,-76.83409","Carretera Panamericana Sur, Punta Hermosa, Lima")</f>
      </c>
      <c r="N235">
        <v>66.3</v>
      </c>
      <c r="O235">
        <v>62</v>
      </c>
      <c r="P235">
        <v>295626.78</v>
      </c>
      <c r="Q235" t="str">
        <v>130.18</v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235</v>
      </c>
      <c r="B236" t="str">
        <v>MASS BSF</v>
      </c>
      <c r="C236" t="str">
        <v>C6E-921</v>
      </c>
      <c r="D236" t="str">
        <v>C6E-921</v>
      </c>
      <c r="E236" t="str">
        <v/>
      </c>
      <c r="F236" t="str">
        <v>867806078831353</v>
      </c>
      <c r="G236" t="str">
        <v>TBD</v>
      </c>
      <c r="H236" t="str">
        <v/>
      </c>
      <c r="I236" t="str">
        <v>28/09/2026</v>
      </c>
      <c r="J236" t="str">
        <v>12:49:55</v>
      </c>
      <c r="K236">
        <v>-12.318006</v>
      </c>
      <c r="L236">
        <v>-76.83031</v>
      </c>
      <c r="M236">
        <f>HYPERLINK("https://www.google.com/maps/search/?api=1&amp;query=-12.318006,-76.83031","Carretera Panamericana Sur, Punta Hermosa, Lima")</f>
      </c>
      <c r="N236">
        <v>65.5</v>
      </c>
      <c r="O236">
        <v>71</v>
      </c>
      <c r="P236">
        <v>295627.53</v>
      </c>
      <c r="Q236" t="str">
        <v>130.18</v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236</v>
      </c>
      <c r="B237" t="str">
        <v>MASS BSF</v>
      </c>
      <c r="C237" t="str">
        <v>C6E-921</v>
      </c>
      <c r="D237" t="str">
        <v>C6E-921</v>
      </c>
      <c r="E237" t="str">
        <v/>
      </c>
      <c r="F237" t="str">
        <v>867806078831353</v>
      </c>
      <c r="G237" t="str">
        <v>TBD</v>
      </c>
      <c r="H237" t="str">
        <v/>
      </c>
      <c r="I237" t="str">
        <v>28/09/2026</v>
      </c>
      <c r="J237" t="str">
        <v>12:50:35</v>
      </c>
      <c r="K237">
        <v>-12.323664</v>
      </c>
      <c r="L237">
        <v>-76.82654</v>
      </c>
      <c r="M237">
        <f>HYPERLINK("https://www.google.com/maps/search/?api=1&amp;query=-12.323664,-76.82654","Carretera Panamericana Sur, Punta Hermosa, Lima")</f>
      </c>
      <c r="N237">
        <v>67.9</v>
      </c>
      <c r="O237">
        <v>71</v>
      </c>
      <c r="P237">
        <v>295628.28</v>
      </c>
      <c r="Q237" t="str">
        <v>130.18</v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237</v>
      </c>
      <c r="B238" t="str">
        <v>MASS BSF</v>
      </c>
      <c r="C238" t="str">
        <v>C6E-921</v>
      </c>
      <c r="D238" t="str">
        <v>C6E-921</v>
      </c>
      <c r="E238" t="str">
        <v/>
      </c>
      <c r="F238" t="str">
        <v>867806078831353</v>
      </c>
      <c r="G238" t="str">
        <v>TBD</v>
      </c>
      <c r="H238" t="str">
        <v/>
      </c>
      <c r="I238" t="str">
        <v>28/09/2026</v>
      </c>
      <c r="J238" t="str">
        <v>12:51:14</v>
      </c>
      <c r="K238">
        <v>-12.329322</v>
      </c>
      <c r="L238">
        <v>-76.82275</v>
      </c>
      <c r="M238">
        <f>HYPERLINK("https://www.google.com/maps/search/?api=1&amp;query=-12.329322,-76.82275","Carretera Panamericana Sur, Punta Hermosa, Lima")</f>
      </c>
      <c r="N238">
        <v>69.2</v>
      </c>
      <c r="O238">
        <v>71</v>
      </c>
      <c r="P238">
        <v>295629.03</v>
      </c>
      <c r="Q238" t="str">
        <v>130.18</v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238</v>
      </c>
      <c r="B239" t="str">
        <v>MASS BSF</v>
      </c>
      <c r="C239" t="str">
        <v>C6E-921</v>
      </c>
      <c r="D239" t="str">
        <v>C6E-921</v>
      </c>
      <c r="E239" t="str">
        <v/>
      </c>
      <c r="F239" t="str">
        <v>867806078831353</v>
      </c>
      <c r="G239" t="str">
        <v>TBD</v>
      </c>
      <c r="H239" t="str">
        <v/>
      </c>
      <c r="I239" t="str">
        <v>28/09/2026</v>
      </c>
      <c r="J239" t="str">
        <v>12:52:04</v>
      </c>
      <c r="K239">
        <v>-12.334993</v>
      </c>
      <c r="L239">
        <v>-76.819046</v>
      </c>
      <c r="M239">
        <f>HYPERLINK("https://www.google.com/maps/search/?api=1&amp;query=-12.334993,-76.819046","Carretera Panamericana Sur, Punta Hermosa, Lima")</f>
      </c>
      <c r="N239">
        <v>35.3</v>
      </c>
      <c r="O239">
        <v>71</v>
      </c>
      <c r="P239">
        <v>295629.75</v>
      </c>
      <c r="Q239" t="str">
        <v>130.18</v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239</v>
      </c>
      <c r="B240" t="str">
        <v>MASS BSF</v>
      </c>
      <c r="C240" t="str">
        <v>C6E-921</v>
      </c>
      <c r="D240" t="str">
        <v>C6E-921</v>
      </c>
      <c r="E240" t="str">
        <v/>
      </c>
      <c r="F240" t="str">
        <v>867806078831353</v>
      </c>
      <c r="G240" t="str">
        <v>TBD</v>
      </c>
      <c r="H240" t="str">
        <v/>
      </c>
      <c r="I240" t="str">
        <v>28/09/2026</v>
      </c>
      <c r="J240" t="str">
        <v>12:52:10</v>
      </c>
      <c r="K240">
        <v>-12.335415</v>
      </c>
      <c r="L240">
        <v>-76.81882</v>
      </c>
      <c r="M240">
        <f>HYPERLINK("https://www.google.com/maps/search/?api=1&amp;query=-12.335415,-76.81882","Carretera Panamericana Sur, Punta Hermosa, Lima")</f>
      </c>
      <c r="N240">
        <v>27</v>
      </c>
      <c r="O240">
        <v>71</v>
      </c>
      <c r="P240">
        <v>295629.8</v>
      </c>
      <c r="Q240" t="str">
        <v>130.18</v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240</v>
      </c>
      <c r="B241" t="str">
        <v>MASS BSF</v>
      </c>
      <c r="C241" t="str">
        <v>C6E-921</v>
      </c>
      <c r="D241" t="str">
        <v>C6E-921</v>
      </c>
      <c r="E241" t="str">
        <v/>
      </c>
      <c r="F241" t="str">
        <v>867806078831353</v>
      </c>
      <c r="G241" t="str">
        <v>TBD</v>
      </c>
      <c r="H241" t="str">
        <v/>
      </c>
      <c r="I241" t="str">
        <v>28/09/2026</v>
      </c>
      <c r="J241" t="str">
        <v>12:52:15</v>
      </c>
      <c r="K241">
        <v>-12.33572</v>
      </c>
      <c r="L241">
        <v>-76.818825</v>
      </c>
      <c r="M241">
        <f>HYPERLINK("https://www.google.com/maps/search/?api=1&amp;query=-12.33572,-76.818825","Carretera Panamericana Sur, Punta Hermosa, Lima")</f>
      </c>
      <c r="N241">
        <v>22.2</v>
      </c>
      <c r="O241">
        <v>71</v>
      </c>
      <c r="P241">
        <v>295629.84</v>
      </c>
      <c r="Q241" t="str">
        <v>130.18</v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241</v>
      </c>
      <c r="B242" t="str">
        <v>MASS BSF</v>
      </c>
      <c r="C242" t="str">
        <v>C6E-921</v>
      </c>
      <c r="D242" t="str">
        <v>C6E-921</v>
      </c>
      <c r="E242" t="str">
        <v/>
      </c>
      <c r="F242" t="str">
        <v>867806078831353</v>
      </c>
      <c r="G242" t="str">
        <v>TBD</v>
      </c>
      <c r="H242" t="str">
        <v/>
      </c>
      <c r="I242" t="str">
        <v>28/09/2026</v>
      </c>
      <c r="J242" t="str">
        <v>12:52:20</v>
      </c>
      <c r="K242">
        <v>-12.335863</v>
      </c>
      <c r="L242">
        <v>-76.818985</v>
      </c>
      <c r="M242">
        <f>HYPERLINK("https://www.google.com/maps/search/?api=1&amp;query=-12.335863,-76.818985","Antigua Panamericana Sur, Punta Hermosa, Lima")</f>
      </c>
      <c r="N242">
        <v>14.4</v>
      </c>
      <c r="O242">
        <v>71</v>
      </c>
      <c r="P242">
        <v>295629.88</v>
      </c>
      <c r="Q242" t="str">
        <v>130.18</v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242</v>
      </c>
      <c r="B243" t="str">
        <v>MASS BSF</v>
      </c>
      <c r="C243" t="str">
        <v>C6E-921</v>
      </c>
      <c r="D243" t="str">
        <v>C6E-921</v>
      </c>
      <c r="E243" t="str">
        <v/>
      </c>
      <c r="F243" t="str">
        <v>867806078831353</v>
      </c>
      <c r="G243" t="str">
        <v>TBD</v>
      </c>
      <c r="H243" t="str">
        <v/>
      </c>
      <c r="I243" t="str">
        <v>28/09/2026</v>
      </c>
      <c r="J243" t="str">
        <v>12:52:25</v>
      </c>
      <c r="K243">
        <v>-12.335842</v>
      </c>
      <c r="L243">
        <v>-76.819145</v>
      </c>
      <c r="M243">
        <f>HYPERLINK("https://www.google.com/maps/search/?api=1&amp;query=-12.335842,-76.819145","Antigua Panamericana Sur, Punta Hermosa, Lima")</f>
      </c>
      <c r="N243">
        <v>13.8</v>
      </c>
      <c r="O243">
        <v>71</v>
      </c>
      <c r="P243">
        <v>295629.88</v>
      </c>
      <c r="Q243" t="str">
        <v>130.18</v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243</v>
      </c>
      <c r="B244" t="str">
        <v>MASS BSF</v>
      </c>
      <c r="C244" t="str">
        <v>C6E-921</v>
      </c>
      <c r="D244" t="str">
        <v>C6E-921</v>
      </c>
      <c r="E244" t="str">
        <v/>
      </c>
      <c r="F244" t="str">
        <v>867806078831353</v>
      </c>
      <c r="G244" t="str">
        <v>TBD</v>
      </c>
      <c r="H244" t="str">
        <v/>
      </c>
      <c r="I244" t="str">
        <v>28/09/2026</v>
      </c>
      <c r="J244" t="str">
        <v>12:52:30</v>
      </c>
      <c r="K244">
        <v>-12.335637</v>
      </c>
      <c r="L244">
        <v>-76.819275</v>
      </c>
      <c r="M244">
        <f>HYPERLINK("https://www.google.com/maps/search/?api=1&amp;query=-12.335637,-76.819275","Antigua Panamericana Sur, Punta Hermosa, Lima")</f>
      </c>
      <c r="N244">
        <v>22.2</v>
      </c>
      <c r="O244">
        <v>62</v>
      </c>
      <c r="P244">
        <v>295629.9</v>
      </c>
      <c r="Q244" t="str">
        <v>130.18</v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244</v>
      </c>
      <c r="B245" t="str">
        <v>MASS BSF</v>
      </c>
      <c r="C245" t="str">
        <v>C6E-921</v>
      </c>
      <c r="D245" t="str">
        <v>C6E-921</v>
      </c>
      <c r="E245" t="str">
        <v/>
      </c>
      <c r="F245" t="str">
        <v>867806078831353</v>
      </c>
      <c r="G245" t="str">
        <v>TBD</v>
      </c>
      <c r="H245" t="str">
        <v/>
      </c>
      <c r="I245" t="str">
        <v>28/09/2026</v>
      </c>
      <c r="J245" t="str">
        <v>12:52:44</v>
      </c>
      <c r="K245">
        <v>-12.33484</v>
      </c>
      <c r="L245">
        <v>-76.81982</v>
      </c>
      <c r="M245">
        <f>HYPERLINK("https://www.google.com/maps/search/?api=1&amp;query=-12.33484,-76.81982","Antigua Panamericana Sur, Punta Hermosa, Lima")</f>
      </c>
      <c r="N245">
        <v>23.3</v>
      </c>
      <c r="O245">
        <v>62</v>
      </c>
      <c r="P245">
        <v>295630.03</v>
      </c>
      <c r="Q245" t="str">
        <v>131.28</v>
      </c>
      <c r="R245" t="str">
        <v>Bache</v>
      </c>
      <c r="S245" t="str">
        <v/>
      </c>
      <c r="T245" t="str">
        <v/>
      </c>
      <c r="U245" t="str">
        <v/>
      </c>
    </row>
    <row r="246">
      <c r="A246" t="str">
        <v>245</v>
      </c>
      <c r="B246" t="str">
        <v>MASS BSF</v>
      </c>
      <c r="C246" t="str">
        <v>C6E-921</v>
      </c>
      <c r="D246" t="str">
        <v>C6E-921</v>
      </c>
      <c r="E246" t="str">
        <v/>
      </c>
      <c r="F246" t="str">
        <v>867806078831353</v>
      </c>
      <c r="G246" t="str">
        <v>TBD</v>
      </c>
      <c r="H246" t="str">
        <v/>
      </c>
      <c r="I246" t="str">
        <v>28/09/2026</v>
      </c>
      <c r="J246" t="str">
        <v>12:53:02</v>
      </c>
      <c r="K246">
        <v>-12.333821</v>
      </c>
      <c r="L246">
        <v>-76.8205</v>
      </c>
      <c r="M246">
        <f>HYPERLINK("https://www.google.com/maps/search/?api=1&amp;query=-12.333821,-76.8205","Antigua Panamericana Sur, Punta Hermosa, Lima")</f>
      </c>
      <c r="N246">
        <v>13.8</v>
      </c>
      <c r="O246">
        <v>62</v>
      </c>
      <c r="P246">
        <v>295630.15</v>
      </c>
      <c r="Q246" t="str">
        <v>130.18</v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246</v>
      </c>
      <c r="B247" t="str">
        <v>MASS BSF</v>
      </c>
      <c r="C247" t="str">
        <v>C6E-921</v>
      </c>
      <c r="D247" t="str">
        <v>C6E-921</v>
      </c>
      <c r="E247" t="str">
        <v/>
      </c>
      <c r="F247" t="str">
        <v>867806078831353</v>
      </c>
      <c r="G247" t="str">
        <v>TBD</v>
      </c>
      <c r="H247" t="str">
        <v/>
      </c>
      <c r="I247" t="str">
        <v>28/09/2026</v>
      </c>
      <c r="J247" t="str">
        <v>12:53:07</v>
      </c>
      <c r="K247">
        <v>-12.333695</v>
      </c>
      <c r="L247">
        <v>-76.8204</v>
      </c>
      <c r="M247">
        <f>HYPERLINK("https://www.google.com/maps/search/?api=1&amp;query=-12.333695,-76.8204","Antigua Panamericana Sur, Punta Hermosa, Lima")</f>
      </c>
      <c r="N247">
        <v>19.6</v>
      </c>
      <c r="O247">
        <v>62</v>
      </c>
      <c r="P247">
        <v>295630.2</v>
      </c>
      <c r="Q247" t="str">
        <v>130.18</v>
      </c>
      <c r="R247" t="str">
        <v/>
      </c>
      <c r="S247" t="str">
        <v/>
      </c>
      <c r="T247" t="str">
        <v/>
      </c>
      <c r="U247" t="str">
        <v/>
      </c>
    </row>
    <row r="248">
      <c r="A248" t="str">
        <v>247</v>
      </c>
      <c r="B248" t="str">
        <v>MASS BSF</v>
      </c>
      <c r="C248" t="str">
        <v>C6E-921</v>
      </c>
      <c r="D248" t="str">
        <v>C6E-921</v>
      </c>
      <c r="E248" t="str">
        <v/>
      </c>
      <c r="F248" t="str">
        <v>867806078831353</v>
      </c>
      <c r="G248" t="str">
        <v>TBD</v>
      </c>
      <c r="H248" t="str">
        <v/>
      </c>
      <c r="I248" t="str">
        <v>28/09/2026</v>
      </c>
      <c r="J248" t="str">
        <v>12:53:13</v>
      </c>
      <c r="K248">
        <v>-12.333705</v>
      </c>
      <c r="L248">
        <v>-76.82001</v>
      </c>
      <c r="M248">
        <f>HYPERLINK("https://www.google.com/maps/search/?api=1&amp;query=-12.333705,-76.82001","Carretera Panamericana Sur, Punta Hermosa, Lima")</f>
      </c>
      <c r="N248">
        <v>29</v>
      </c>
      <c r="O248">
        <v>62</v>
      </c>
      <c r="P248">
        <v>295630.21</v>
      </c>
      <c r="Q248" t="str">
        <v>130.18</v>
      </c>
      <c r="R248" t="str">
        <v/>
      </c>
      <c r="S248" t="str">
        <v/>
      </c>
      <c r="T248" t="str">
        <v/>
      </c>
      <c r="U248" t="str">
        <v/>
      </c>
    </row>
    <row r="249">
      <c r="A249" t="str">
        <v>248</v>
      </c>
      <c r="B249" t="str">
        <v>MASS BSF</v>
      </c>
      <c r="C249" t="str">
        <v>C6E-921</v>
      </c>
      <c r="D249" t="str">
        <v>C6E-921</v>
      </c>
      <c r="E249" t="str">
        <v/>
      </c>
      <c r="F249" t="str">
        <v>867806078831353</v>
      </c>
      <c r="G249" t="str">
        <v>TBD</v>
      </c>
      <c r="H249" t="str">
        <v/>
      </c>
      <c r="I249" t="str">
        <v>28/09/2026</v>
      </c>
      <c r="J249" t="str">
        <v>12:53:18</v>
      </c>
      <c r="K249">
        <v>-12.333558</v>
      </c>
      <c r="L249">
        <v>-76.8197</v>
      </c>
      <c r="M249">
        <f>HYPERLINK("https://www.google.com/maps/search/?api=1&amp;query=-12.333558,-76.8197","Carretera Panamericana Sur, Punta Hermosa, Lima")</f>
      </c>
      <c r="N249">
        <v>24.6</v>
      </c>
      <c r="O249">
        <v>62</v>
      </c>
      <c r="P249">
        <v>295630.25</v>
      </c>
      <c r="Q249" t="str">
        <v>130.18</v>
      </c>
      <c r="R249" t="str">
        <v/>
      </c>
      <c r="S249" t="str">
        <v/>
      </c>
      <c r="T249" t="str">
        <v/>
      </c>
      <c r="U249" t="str">
        <v/>
      </c>
    </row>
    <row r="250">
      <c r="A250" t="str">
        <v>249</v>
      </c>
      <c r="B250" t="str">
        <v>MASS BSF</v>
      </c>
      <c r="C250" t="str">
        <v>C6E-921</v>
      </c>
      <c r="D250" t="str">
        <v>C6E-921</v>
      </c>
      <c r="E250" t="str">
        <v/>
      </c>
      <c r="F250" t="str">
        <v>867806078831353</v>
      </c>
      <c r="G250" t="str">
        <v>TBD</v>
      </c>
      <c r="H250" t="str">
        <v/>
      </c>
      <c r="I250" t="str">
        <v>28/09/2026</v>
      </c>
      <c r="J250" t="str">
        <v>12:53:23</v>
      </c>
      <c r="K250">
        <v>-12.333248</v>
      </c>
      <c r="L250">
        <v>-76.81965</v>
      </c>
      <c r="M250">
        <f>HYPERLINK("https://www.google.com/maps/search/?api=1&amp;query=-12.333248,-76.81965","Carretera Panamericana Sur, Punta Hermosa, Lima")</f>
      </c>
      <c r="N250">
        <v>30.5</v>
      </c>
      <c r="O250">
        <v>62</v>
      </c>
      <c r="P250">
        <v>295630.28</v>
      </c>
      <c r="Q250" t="str">
        <v>130.18</v>
      </c>
      <c r="R250" t="str">
        <v/>
      </c>
      <c r="S250" t="str">
        <v/>
      </c>
      <c r="T250" t="str">
        <v/>
      </c>
      <c r="U250" t="str">
        <v/>
      </c>
    </row>
    <row r="251">
      <c r="A251" t="str">
        <v>250</v>
      </c>
      <c r="B251" t="str">
        <v>MASS BSF</v>
      </c>
      <c r="C251" t="str">
        <v>C6E-921</v>
      </c>
      <c r="D251" t="str">
        <v>C6E-921</v>
      </c>
      <c r="E251" t="str">
        <v/>
      </c>
      <c r="F251" t="str">
        <v>867806078831353</v>
      </c>
      <c r="G251" t="str">
        <v>TBD</v>
      </c>
      <c r="H251" t="str">
        <v/>
      </c>
      <c r="I251" t="str">
        <v>28/09/2026</v>
      </c>
      <c r="J251" t="str">
        <v>12:53:24</v>
      </c>
      <c r="K251">
        <v>-12.333248</v>
      </c>
      <c r="L251">
        <v>-76.81965</v>
      </c>
      <c r="M251">
        <f>HYPERLINK("https://www.google.com/maps/search/?api=1&amp;query=-12.333248,-76.81965","Carretera Panamericana Sur, Punta Hermosa, Lima")</f>
      </c>
      <c r="N251">
        <v>30.5</v>
      </c>
      <c r="O251">
        <v>62</v>
      </c>
      <c r="P251">
        <v>295630.28</v>
      </c>
      <c r="Q251" t="str">
        <v>131.28</v>
      </c>
      <c r="R251" t="str">
        <v>Frenado y giro brusco</v>
      </c>
      <c r="S251" t="str">
        <v/>
      </c>
      <c r="T251" t="str">
        <v/>
      </c>
      <c r="U251" t="str">
        <v/>
      </c>
    </row>
    <row r="252">
      <c r="A252" t="str">
        <v>251</v>
      </c>
      <c r="B252" t="str">
        <v>MASS BSF</v>
      </c>
      <c r="C252" t="str">
        <v>C6E-921</v>
      </c>
      <c r="D252" t="str">
        <v>C6E-921</v>
      </c>
      <c r="E252" t="str">
        <v/>
      </c>
      <c r="F252" t="str">
        <v>867806078831353</v>
      </c>
      <c r="G252" t="str">
        <v>TBD</v>
      </c>
      <c r="H252" t="str">
        <v/>
      </c>
      <c r="I252" t="str">
        <v>28/09/2026</v>
      </c>
      <c r="J252" t="str">
        <v>12:53:28</v>
      </c>
      <c r="K252">
        <v>-12.332949</v>
      </c>
      <c r="L252">
        <v>-76.81986</v>
      </c>
      <c r="M252">
        <f>HYPERLINK("https://www.google.com/maps/search/?api=1&amp;query=-12.332949,-76.81986","Carretera Panamericana Sur, Punta Hermosa, Lima")</f>
      </c>
      <c r="N252">
        <v>28.3</v>
      </c>
      <c r="O252">
        <v>62</v>
      </c>
      <c r="P252">
        <v>295630.34</v>
      </c>
      <c r="Q252" t="str">
        <v>130.18</v>
      </c>
      <c r="R252" t="str">
        <v/>
      </c>
      <c r="S252" t="str">
        <v/>
      </c>
      <c r="T252" t="str">
        <v/>
      </c>
      <c r="U252" t="str">
        <v/>
      </c>
    </row>
    <row r="253">
      <c r="A253" t="str">
        <v>252</v>
      </c>
      <c r="B253" t="str">
        <v>MASS BSF</v>
      </c>
      <c r="C253" t="str">
        <v>C6E-921</v>
      </c>
      <c r="D253" t="str">
        <v>C6E-921</v>
      </c>
      <c r="E253" t="str">
        <v/>
      </c>
      <c r="F253" t="str">
        <v>867806078831353</v>
      </c>
      <c r="G253" t="str">
        <v>TBD</v>
      </c>
      <c r="H253" t="str">
        <v/>
      </c>
      <c r="I253" t="str">
        <v>28/09/2026</v>
      </c>
      <c r="J253" t="str">
        <v>12:53:36</v>
      </c>
      <c r="K253">
        <v>-12.33244</v>
      </c>
      <c r="L253">
        <v>-76.820305</v>
      </c>
      <c r="M253">
        <f>HYPERLINK("https://www.google.com/maps/search/?api=1&amp;query=-12.33244,-76.820305","Carretera Panamericana Sur, Punta Hermosa, Lima")</f>
      </c>
      <c r="N253">
        <v>37.4</v>
      </c>
      <c r="O253">
        <v>62</v>
      </c>
      <c r="P253">
        <v>295630.4</v>
      </c>
      <c r="Q253" t="str">
        <v>130.18</v>
      </c>
      <c r="R253" t="str">
        <v/>
      </c>
      <c r="S253" t="str">
        <v/>
      </c>
      <c r="T253" t="str">
        <v/>
      </c>
      <c r="U253" t="str">
        <v/>
      </c>
    </row>
    <row r="254">
      <c r="A254" t="str">
        <v>253</v>
      </c>
      <c r="B254" t="str">
        <v>MASS BSF</v>
      </c>
      <c r="C254" t="str">
        <v>C6E-921</v>
      </c>
      <c r="D254" t="str">
        <v>C6E-921</v>
      </c>
      <c r="E254" t="str">
        <v/>
      </c>
      <c r="F254" t="str">
        <v>867806078831353</v>
      </c>
      <c r="G254" t="str">
        <v>TBD</v>
      </c>
      <c r="H254" t="str">
        <v/>
      </c>
      <c r="I254" t="str">
        <v>28/09/2026</v>
      </c>
      <c r="J254" t="str">
        <v>12:53:45</v>
      </c>
      <c r="K254">
        <v>-12.331695</v>
      </c>
      <c r="L254">
        <v>-76.820885</v>
      </c>
      <c r="M254">
        <f>HYPERLINK("https://www.google.com/maps/search/?api=1&amp;query=-12.331695,-76.820885","Carretera Panamericana Sur, Punta Hermosa, Lima")</f>
      </c>
      <c r="N254">
        <v>47.4</v>
      </c>
      <c r="O254">
        <v>62</v>
      </c>
      <c r="P254">
        <v>295630.5</v>
      </c>
      <c r="Q254" t="str">
        <v>131.28</v>
      </c>
      <c r="R254" t="str">
        <v>Ingreso a camino vecinal</v>
      </c>
      <c r="S254" t="str">
        <v/>
      </c>
      <c r="T254" t="str">
        <v/>
      </c>
      <c r="U254" t="str">
        <v/>
      </c>
    </row>
    <row r="255">
      <c r="A255" t="str">
        <v>254</v>
      </c>
      <c r="B255" t="str">
        <v>MASS BSF</v>
      </c>
      <c r="C255" t="str">
        <v>C6E-921</v>
      </c>
      <c r="D255" t="str">
        <v>C6E-921</v>
      </c>
      <c r="E255" t="str">
        <v/>
      </c>
      <c r="F255" t="str">
        <v>867806078831353</v>
      </c>
      <c r="G255" t="str">
        <v>TBD</v>
      </c>
      <c r="H255" t="str">
        <v/>
      </c>
      <c r="I255" t="str">
        <v>28/09/2026</v>
      </c>
      <c r="J255" t="str">
        <v>12:54:31</v>
      </c>
      <c r="K255">
        <v>-12.326872</v>
      </c>
      <c r="L255">
        <v>-76.82426</v>
      </c>
      <c r="M255">
        <f>HYPERLINK("https://www.google.com/maps/search/?api=1&amp;query=-12.326872,-76.82426","Carretera Panamericana Sur, Punta Hermosa, Lima")</f>
      </c>
      <c r="N255">
        <v>55.7</v>
      </c>
      <c r="O255">
        <v>62</v>
      </c>
      <c r="P255">
        <v>295631.15</v>
      </c>
      <c r="Q255" t="str">
        <v>130.18</v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255</v>
      </c>
      <c r="B256" t="str">
        <v>MASS BSF</v>
      </c>
      <c r="C256" t="str">
        <v>C6E-921</v>
      </c>
      <c r="D256" t="str">
        <v>C6E-921</v>
      </c>
      <c r="E256" t="str">
        <v/>
      </c>
      <c r="F256" t="str">
        <v>867806078831353</v>
      </c>
      <c r="G256" t="str">
        <v>TBD</v>
      </c>
      <c r="H256" t="str">
        <v/>
      </c>
      <c r="I256" t="str">
        <v>28/09/2026</v>
      </c>
      <c r="J256" t="str">
        <v>12:54:45</v>
      </c>
      <c r="K256">
        <v>-12.325165</v>
      </c>
      <c r="L256">
        <v>-76.82535</v>
      </c>
      <c r="M256">
        <f>HYPERLINK("https://www.google.com/maps/search/?api=1&amp;query=-12.325165,-76.82535","Carretera Panamericana Sur, Punta Hermosa, Lima")</f>
      </c>
      <c r="N256">
        <v>60.7</v>
      </c>
      <c r="O256">
        <v>62</v>
      </c>
      <c r="P256">
        <v>295631.38</v>
      </c>
      <c r="Q256" t="str">
        <v>131.28</v>
      </c>
      <c r="R256" t="str">
        <v>Salida de camino vecinal</v>
      </c>
      <c r="S256" t="str">
        <v/>
      </c>
      <c r="T256" t="str">
        <v/>
      </c>
      <c r="U256" t="str">
        <v/>
      </c>
    </row>
    <row r="257">
      <c r="A257" t="str">
        <v>256</v>
      </c>
      <c r="B257" t="str">
        <v>MASS BSF</v>
      </c>
      <c r="C257" t="str">
        <v>C6E-921</v>
      </c>
      <c r="D257" t="str">
        <v>C6E-921</v>
      </c>
      <c r="E257" t="str">
        <v/>
      </c>
      <c r="F257" t="str">
        <v>867806078831353</v>
      </c>
      <c r="G257" t="str">
        <v>TBD</v>
      </c>
      <c r="H257" t="str">
        <v/>
      </c>
      <c r="I257" t="str">
        <v>28/09/2026</v>
      </c>
      <c r="J257" t="str">
        <v>12:55:14</v>
      </c>
      <c r="K257">
        <v>-12.32112</v>
      </c>
      <c r="L257">
        <v>-76.82805</v>
      </c>
      <c r="M257">
        <f>HYPERLINK("https://www.google.com/maps/search/?api=1&amp;query=-12.32112,-76.82805","Carretera Panamericana Sur, Punta Hermosa, Lima")</f>
      </c>
      <c r="N257">
        <v>70.9</v>
      </c>
      <c r="O257">
        <v>62</v>
      </c>
      <c r="P257">
        <v>295631.9</v>
      </c>
      <c r="Q257" t="str">
        <v>130.18</v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257</v>
      </c>
      <c r="B258" t="str">
        <v>MASS BSF</v>
      </c>
      <c r="C258" t="str">
        <v>C6E-921</v>
      </c>
      <c r="D258" t="str">
        <v>C6E-921</v>
      </c>
      <c r="E258" t="str">
        <v/>
      </c>
      <c r="F258" t="str">
        <v>867806078831353</v>
      </c>
      <c r="G258" t="str">
        <v>TBD</v>
      </c>
      <c r="H258" t="str">
        <v/>
      </c>
      <c r="I258" t="str">
        <v>28/09/2026</v>
      </c>
      <c r="J258" t="str">
        <v>12:55:31</v>
      </c>
      <c r="K258">
        <v>-12.318698</v>
      </c>
      <c r="L258">
        <v>-76.82957</v>
      </c>
      <c r="M258">
        <f>HYPERLINK("https://www.google.com/maps/search/?api=1&amp;query=-12.318698,-76.82957","Carretera Panamericana Sur, Punta Hermosa, Lima")</f>
      </c>
      <c r="N258">
        <v>55.5</v>
      </c>
      <c r="O258">
        <v>62</v>
      </c>
      <c r="P258">
        <v>295632.21</v>
      </c>
      <c r="Q258" t="str">
        <v>131.28</v>
      </c>
      <c r="R258" t="str">
        <v>Bache</v>
      </c>
      <c r="S258" t="str">
        <v/>
      </c>
      <c r="T258" t="str">
        <v/>
      </c>
      <c r="U258" t="str">
        <v/>
      </c>
    </row>
    <row r="259">
      <c r="A259" t="str">
        <v>258</v>
      </c>
      <c r="B259" t="str">
        <v>MASS BSF</v>
      </c>
      <c r="C259" t="str">
        <v>C6E-921</v>
      </c>
      <c r="D259" t="str">
        <v>C6E-921</v>
      </c>
      <c r="E259" t="str">
        <v/>
      </c>
      <c r="F259" t="str">
        <v>867806078831353</v>
      </c>
      <c r="G259" t="str">
        <v>TBD</v>
      </c>
      <c r="H259" t="str">
        <v/>
      </c>
      <c r="I259" t="str">
        <v>28/09/2026</v>
      </c>
      <c r="J259" t="str">
        <v>12:55:36</v>
      </c>
      <c r="K259">
        <v>-12.318198</v>
      </c>
      <c r="L259">
        <v>-76.829796</v>
      </c>
      <c r="M259">
        <f>HYPERLINK("https://www.google.com/maps/search/?api=1&amp;query=-12.318198,-76.829796","Carretera Panamericana Sur, Punta Hermosa, Lima")</f>
      </c>
      <c r="N259">
        <v>32.9</v>
      </c>
      <c r="O259">
        <v>62</v>
      </c>
      <c r="P259">
        <v>295632.28</v>
      </c>
      <c r="Q259" t="str">
        <v>130.18</v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259</v>
      </c>
      <c r="B260" t="str">
        <v>MASS BSF</v>
      </c>
      <c r="C260" t="str">
        <v>C6E-921</v>
      </c>
      <c r="D260" t="str">
        <v>C6E-921</v>
      </c>
      <c r="E260" t="str">
        <v/>
      </c>
      <c r="F260" t="str">
        <v>867806078831353</v>
      </c>
      <c r="G260" t="str">
        <v>TBD</v>
      </c>
      <c r="H260" t="str">
        <v/>
      </c>
      <c r="I260" t="str">
        <v>28/09/2026</v>
      </c>
      <c r="J260" t="str">
        <v>12:55:41</v>
      </c>
      <c r="K260">
        <v>-12.317863</v>
      </c>
      <c r="L260">
        <v>-76.82979</v>
      </c>
      <c r="M260">
        <f>HYPERLINK("https://www.google.com/maps/search/?api=1&amp;query=-12.317863,-76.82979","Punta Hermosa, Lima")</f>
      </c>
      <c r="N260">
        <v>23.3</v>
      </c>
      <c r="O260">
        <v>62</v>
      </c>
      <c r="P260">
        <v>295632.3</v>
      </c>
      <c r="Q260" t="str">
        <v>130.18</v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260</v>
      </c>
      <c r="B261" t="str">
        <v>MASS BSF</v>
      </c>
      <c r="C261" t="str">
        <v>C6E-921</v>
      </c>
      <c r="D261" t="str">
        <v>C6E-921</v>
      </c>
      <c r="E261" t="str">
        <v/>
      </c>
      <c r="F261" t="str">
        <v>867806078831353</v>
      </c>
      <c r="G261" t="str">
        <v>TBD</v>
      </c>
      <c r="H261" t="str">
        <v/>
      </c>
      <c r="I261" t="str">
        <v>28/09/2026</v>
      </c>
      <c r="J261" t="str">
        <v>12:55:46</v>
      </c>
      <c r="K261">
        <v>-12.317654</v>
      </c>
      <c r="L261">
        <v>-76.82972</v>
      </c>
      <c r="M261">
        <f>HYPERLINK("https://www.google.com/maps/search/?api=1&amp;query=-12.317654,-76.82972","Punta Hermosa, Lima")</f>
      </c>
      <c r="N261">
        <v>13.3</v>
      </c>
      <c r="O261">
        <v>62</v>
      </c>
      <c r="P261">
        <v>295632.34</v>
      </c>
      <c r="Q261" t="str">
        <v>130.18</v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261</v>
      </c>
      <c r="B262" t="str">
        <v>MASS BSF</v>
      </c>
      <c r="C262" t="str">
        <v>C6E-921</v>
      </c>
      <c r="D262" t="str">
        <v>C6E-921</v>
      </c>
      <c r="E262" t="str">
        <v/>
      </c>
      <c r="F262" t="str">
        <v>867806078831353</v>
      </c>
      <c r="G262" t="str">
        <v>TBD</v>
      </c>
      <c r="H262" t="str">
        <v/>
      </c>
      <c r="I262" t="str">
        <v>28/09/2026</v>
      </c>
      <c r="J262" t="str">
        <v>12:56:21</v>
      </c>
      <c r="K262">
        <v>-12.31754</v>
      </c>
      <c r="L262">
        <v>-76.829605</v>
      </c>
      <c r="M262">
        <f>HYPERLINK("https://www.google.com/maps/search/?api=1&amp;query=-12.31754,-76.829605","Punta Hermosa, Lima")</f>
      </c>
      <c r="N262">
        <v>0</v>
      </c>
      <c r="O262">
        <v>62</v>
      </c>
      <c r="P262">
        <v>295632.38</v>
      </c>
      <c r="Q262" t="str">
        <v>131.28</v>
      </c>
      <c r="R262" t="str">
        <v>Vehículo encendido</v>
      </c>
      <c r="S262" t="str">
        <v/>
      </c>
      <c r="T262" t="str">
        <v/>
      </c>
      <c r="U262" t="str">
        <v/>
      </c>
    </row>
    <row r="263">
      <c r="A263" t="str">
        <v>262</v>
      </c>
      <c r="B263" t="str">
        <v>MASS BSF</v>
      </c>
      <c r="C263" t="str">
        <v>C6E-921</v>
      </c>
      <c r="D263" t="str">
        <v>C6E-921</v>
      </c>
      <c r="E263" t="str">
        <v/>
      </c>
      <c r="F263" t="str">
        <v>867806078831353</v>
      </c>
      <c r="G263" t="str">
        <v>TBD</v>
      </c>
      <c r="H263" t="str">
        <v/>
      </c>
      <c r="I263" t="str">
        <v>28/09/2026</v>
      </c>
      <c r="J263" t="str">
        <v>12:57:21</v>
      </c>
      <c r="K263">
        <v>-12.31754</v>
      </c>
      <c r="L263">
        <v>-76.829605</v>
      </c>
      <c r="M263">
        <f>HYPERLINK("https://www.google.com/maps/search/?api=1&amp;query=-12.31754,-76.829605","Punta Hermosa, Lima")</f>
      </c>
      <c r="N263">
        <v>0</v>
      </c>
      <c r="O263">
        <v>71</v>
      </c>
      <c r="P263">
        <v>295632.38</v>
      </c>
      <c r="Q263" t="str">
        <v>130.18</v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263</v>
      </c>
      <c r="B264" t="str">
        <v>MASS BSF</v>
      </c>
      <c r="C264" t="str">
        <v>C6E-921</v>
      </c>
      <c r="D264" t="str">
        <v>C6E-921</v>
      </c>
      <c r="E264" t="str">
        <v/>
      </c>
      <c r="F264" t="str">
        <v>867806078831353</v>
      </c>
      <c r="G264" t="str">
        <v>TBD</v>
      </c>
      <c r="H264" t="str">
        <v/>
      </c>
      <c r="I264" t="str">
        <v>28/09/2026</v>
      </c>
      <c r="J264" t="str">
        <v>12:57:57</v>
      </c>
      <c r="K264">
        <v>-12.316642</v>
      </c>
      <c r="L264">
        <v>-76.82818</v>
      </c>
      <c r="M264">
        <f>HYPERLINK("https://www.google.com/maps/search/?api=1&amp;query=-12.316642,-76.82818","Punta Hermosa, Lima")</f>
      </c>
      <c r="N264">
        <v>16.1</v>
      </c>
      <c r="O264">
        <v>71</v>
      </c>
      <c r="P264">
        <v>295632.38</v>
      </c>
      <c r="Q264" t="str">
        <v>130.18</v>
      </c>
      <c r="R264" t="str">
        <v/>
      </c>
      <c r="S264" t="str">
        <v/>
      </c>
      <c r="T264" t="str">
        <v/>
      </c>
      <c r="U264" t="str">
        <v/>
      </c>
    </row>
    <row r="265">
      <c r="A265" t="str">
        <v>264</v>
      </c>
      <c r="B265" t="str">
        <v>MASS BSF</v>
      </c>
      <c r="C265" t="str">
        <v>C6E-921</v>
      </c>
      <c r="D265" t="str">
        <v>C6E-921</v>
      </c>
      <c r="E265" t="str">
        <v/>
      </c>
      <c r="F265" t="str">
        <v>867806078831353</v>
      </c>
      <c r="G265" t="str">
        <v>TBD</v>
      </c>
      <c r="H265" t="str">
        <v/>
      </c>
      <c r="I265" t="str">
        <v>28/09/2026</v>
      </c>
      <c r="J265" t="str">
        <v>12:58:22</v>
      </c>
      <c r="K265">
        <v>-12.316129</v>
      </c>
      <c r="L265">
        <v>-76.8272</v>
      </c>
      <c r="M265">
        <f>HYPERLINK("https://www.google.com/maps/search/?api=1&amp;query=-12.316129,-76.8272","Punta Hermosa, Lima")</f>
      </c>
      <c r="N265">
        <v>15.9</v>
      </c>
      <c r="O265">
        <v>62</v>
      </c>
      <c r="P265">
        <v>295632.46</v>
      </c>
      <c r="Q265" t="str">
        <v>130.18</v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265</v>
      </c>
      <c r="B266" t="str">
        <v>MASS BSF</v>
      </c>
      <c r="C266" t="str">
        <v>C6E-921</v>
      </c>
      <c r="D266" t="str">
        <v>C6E-921</v>
      </c>
      <c r="E266" t="str">
        <v/>
      </c>
      <c r="F266" t="str">
        <v>867806078831353</v>
      </c>
      <c r="G266" t="str">
        <v>TBD</v>
      </c>
      <c r="H266" t="str">
        <v/>
      </c>
      <c r="I266" t="str">
        <v>28/09/2026</v>
      </c>
      <c r="J266" t="str">
        <v>12:58:25</v>
      </c>
      <c r="K266">
        <v>-12.316113</v>
      </c>
      <c r="L266">
        <v>-76.827126</v>
      </c>
      <c r="M266">
        <f>HYPERLINK("https://www.google.com/maps/search/?api=1&amp;query=-12.316113,-76.827126","Punta Hermosa, Lima")</f>
      </c>
      <c r="N266">
        <v>15</v>
      </c>
      <c r="O266">
        <v>62</v>
      </c>
      <c r="P266">
        <v>295632.5</v>
      </c>
      <c r="Q266" t="str">
        <v>131.28</v>
      </c>
      <c r="R266" t="str">
        <v>Bache</v>
      </c>
      <c r="S266" t="str">
        <v/>
      </c>
      <c r="T266" t="str">
        <v/>
      </c>
      <c r="U266" t="str">
        <v/>
      </c>
    </row>
    <row r="267">
      <c r="A267" t="str">
        <v>266</v>
      </c>
      <c r="B267" t="str">
        <v>MASS BSF</v>
      </c>
      <c r="C267" t="str">
        <v>C6E-921</v>
      </c>
      <c r="D267" t="str">
        <v>C6E-921</v>
      </c>
      <c r="E267" t="str">
        <v/>
      </c>
      <c r="F267" t="str">
        <v>867806078831353</v>
      </c>
      <c r="G267" t="str">
        <v>TBD</v>
      </c>
      <c r="H267" t="str">
        <v/>
      </c>
      <c r="I267" t="str">
        <v>28/09/2026</v>
      </c>
      <c r="J267" t="str">
        <v>12:58:27</v>
      </c>
      <c r="K267">
        <v>-12.31616</v>
      </c>
      <c r="L267">
        <v>-76.827034</v>
      </c>
      <c r="M267">
        <f>HYPERLINK("https://www.google.com/maps/search/?api=1&amp;query=-12.31616,-76.827034","Punta Hermosa, Lima")</f>
      </c>
      <c r="N267">
        <v>16.1</v>
      </c>
      <c r="O267">
        <v>78</v>
      </c>
      <c r="P267">
        <v>295632.5</v>
      </c>
      <c r="Q267" t="str">
        <v>130.18</v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267</v>
      </c>
      <c r="B268" t="str">
        <v>MASS BSF</v>
      </c>
      <c r="C268" t="str">
        <v>C6E-921</v>
      </c>
      <c r="D268" t="str">
        <v>C6E-921</v>
      </c>
      <c r="E268" t="str">
        <v/>
      </c>
      <c r="F268" t="str">
        <v>867806078831353</v>
      </c>
      <c r="G268" t="str">
        <v>TBD</v>
      </c>
      <c r="H268" t="str">
        <v/>
      </c>
      <c r="I268" t="str">
        <v>28/09/2026</v>
      </c>
      <c r="J268" t="str">
        <v>12:58:32</v>
      </c>
      <c r="K268">
        <v>-12.316381</v>
      </c>
      <c r="L268">
        <v>-76.826935</v>
      </c>
      <c r="M268">
        <f>HYPERLINK("https://www.google.com/maps/search/?api=1&amp;query=-12.316381,-76.826935","Punta Hermosa, Lima")</f>
      </c>
      <c r="N268">
        <v>20.9</v>
      </c>
      <c r="O268">
        <v>70</v>
      </c>
      <c r="P268">
        <v>295632.8</v>
      </c>
      <c r="Q268" t="str">
        <v>130.18</v>
      </c>
      <c r="R268" t="str">
        <v>Llegó a la zona</v>
      </c>
      <c r="S268" t="str">
        <v>MASS BSF 1</v>
      </c>
      <c r="T268" t="str">
        <v xml:space="preserve"> </v>
      </c>
      <c r="U268" t="str">
        <v/>
      </c>
    </row>
    <row r="269">
      <c r="A269" t="str">
        <v>268</v>
      </c>
      <c r="B269" t="str">
        <v>MASS BSF</v>
      </c>
      <c r="C269" t="str">
        <v>C6E-921</v>
      </c>
      <c r="D269" t="str">
        <v>C6E-921</v>
      </c>
      <c r="E269" t="str">
        <v/>
      </c>
      <c r="F269" t="str">
        <v>867806078831353</v>
      </c>
      <c r="G269" t="str">
        <v>TBD</v>
      </c>
      <c r="H269" t="str">
        <v/>
      </c>
      <c r="I269" t="str">
        <v>28/09/2026</v>
      </c>
      <c r="J269" t="str">
        <v>12:58:32</v>
      </c>
      <c r="K269">
        <v>-12.316381</v>
      </c>
      <c r="L269">
        <v>-76.826935</v>
      </c>
      <c r="M269">
        <f>HYPERLINK("https://www.google.com/maps/search/?api=1&amp;query=-12.316381,-76.826935","Punta Hermosa, Lima")</f>
      </c>
      <c r="N269">
        <v>20.9</v>
      </c>
      <c r="O269">
        <v>71</v>
      </c>
      <c r="P269">
        <v>295632.53</v>
      </c>
      <c r="Q269" t="str">
        <v>130.18</v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269</v>
      </c>
      <c r="B270" t="str">
        <v>MASS BSF</v>
      </c>
      <c r="C270" t="str">
        <v>C6E-921</v>
      </c>
      <c r="D270" t="str">
        <v>C6E-921</v>
      </c>
      <c r="E270" t="str">
        <v/>
      </c>
      <c r="F270" t="str">
        <v>867806078831353</v>
      </c>
      <c r="G270" t="str">
        <v>TBD</v>
      </c>
      <c r="H270" t="str">
        <v/>
      </c>
      <c r="I270" t="str">
        <v>28/09/2026</v>
      </c>
      <c r="J270" t="str">
        <v>12:58:43</v>
      </c>
      <c r="K270">
        <v>-12.316941</v>
      </c>
      <c r="L270">
        <v>-76.82665</v>
      </c>
      <c r="M270">
        <f>HYPERLINK("https://www.google.com/maps/search/?api=1&amp;query=-12.316941,-76.82665","Punta Hermosa, Lima")</f>
      </c>
      <c r="N270">
        <v>21.8</v>
      </c>
      <c r="O270">
        <v>62</v>
      </c>
      <c r="P270">
        <v>295632.59</v>
      </c>
      <c r="Q270" t="str">
        <v>130.18</v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270</v>
      </c>
      <c r="B271" t="str">
        <v>MASS BSF</v>
      </c>
      <c r="C271" t="str">
        <v>C6E-921</v>
      </c>
      <c r="D271" t="str">
        <v>C6E-921</v>
      </c>
      <c r="E271" t="str">
        <v/>
      </c>
      <c r="F271" t="str">
        <v>867806078831353</v>
      </c>
      <c r="G271" t="str">
        <v>TBD</v>
      </c>
      <c r="H271" t="str">
        <v/>
      </c>
      <c r="I271" t="str">
        <v>28/09/2026</v>
      </c>
      <c r="J271" t="str">
        <v>12:58:51</v>
      </c>
      <c r="K271">
        <v>-12.317268</v>
      </c>
      <c r="L271">
        <v>-76.82642</v>
      </c>
      <c r="M271">
        <f>HYPERLINK("https://www.google.com/maps/search/?api=1&amp;query=-12.317268,-76.82642","Punta Hermosa, Lima")</f>
      </c>
      <c r="N271">
        <v>18.7</v>
      </c>
      <c r="O271">
        <v>71</v>
      </c>
      <c r="P271">
        <v>295632.62</v>
      </c>
      <c r="Q271" t="str">
        <v>130.18</v>
      </c>
      <c r="R271" t="str">
        <v/>
      </c>
      <c r="S271" t="str">
        <v/>
      </c>
      <c r="T271" t="str">
        <v/>
      </c>
      <c r="U271" t="str">
        <v/>
      </c>
    </row>
    <row r="272">
      <c r="A272" t="str">
        <v>271</v>
      </c>
      <c r="B272" t="str">
        <v>MASS BSF</v>
      </c>
      <c r="C272" t="str">
        <v>C6E-921</v>
      </c>
      <c r="D272" t="str">
        <v>C6E-921</v>
      </c>
      <c r="E272" t="str">
        <v/>
      </c>
      <c r="F272" t="str">
        <v>867806078831353</v>
      </c>
      <c r="G272" t="str">
        <v>TBD</v>
      </c>
      <c r="H272" t="str">
        <v/>
      </c>
      <c r="I272" t="str">
        <v>28/09/2026</v>
      </c>
      <c r="J272" t="str">
        <v>12:58:56</v>
      </c>
      <c r="K272">
        <v>-12.317337</v>
      </c>
      <c r="L272">
        <v>-76.82622</v>
      </c>
      <c r="M272">
        <f>HYPERLINK("https://www.google.com/maps/search/?api=1&amp;query=-12.317337,-76.82622","Punta Hermosa, Lima")</f>
      </c>
      <c r="N272">
        <v>17.4</v>
      </c>
      <c r="O272">
        <v>71</v>
      </c>
      <c r="P272">
        <v>295632.65</v>
      </c>
      <c r="Q272" t="str">
        <v>130.18</v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272</v>
      </c>
      <c r="B273" t="str">
        <v>MASS BSF</v>
      </c>
      <c r="C273" t="str">
        <v>C6E-921</v>
      </c>
      <c r="D273" t="str">
        <v>C6E-921</v>
      </c>
      <c r="E273" t="str">
        <v/>
      </c>
      <c r="F273" t="str">
        <v>867806078831353</v>
      </c>
      <c r="G273" t="str">
        <v>TBD</v>
      </c>
      <c r="H273" t="str">
        <v/>
      </c>
      <c r="I273" t="str">
        <v>28/09/2026</v>
      </c>
      <c r="J273" t="str">
        <v>12:59:01</v>
      </c>
      <c r="K273">
        <v>-12.31724</v>
      </c>
      <c r="L273">
        <v>-76.826004</v>
      </c>
      <c r="M273">
        <f>HYPERLINK("https://www.google.com/maps/search/?api=1&amp;query=-12.31724,-76.826004","Punta Hermosa, Lima")</f>
      </c>
      <c r="N273">
        <v>20</v>
      </c>
      <c r="O273">
        <v>71</v>
      </c>
      <c r="P273">
        <v>295632.7</v>
      </c>
      <c r="Q273" t="str">
        <v>130.18</v>
      </c>
      <c r="R273" t="str">
        <v/>
      </c>
      <c r="S273" t="str">
        <v/>
      </c>
      <c r="T273" t="str">
        <v/>
      </c>
      <c r="U273" t="str">
        <v/>
      </c>
    </row>
    <row r="274">
      <c r="A274" t="str">
        <v>273</v>
      </c>
      <c r="B274" t="str">
        <v>MASS BSF</v>
      </c>
      <c r="C274" t="str">
        <v>C6E-921</v>
      </c>
      <c r="D274" t="str">
        <v>C6E-921</v>
      </c>
      <c r="E274" t="str">
        <v/>
      </c>
      <c r="F274" t="str">
        <v>867806078831353</v>
      </c>
      <c r="G274" t="str">
        <v>TBD</v>
      </c>
      <c r="H274" t="str">
        <v/>
      </c>
      <c r="I274" t="str">
        <v>28/09/2026</v>
      </c>
      <c r="J274" t="str">
        <v>12:59:04</v>
      </c>
      <c r="K274">
        <v>-12.317182</v>
      </c>
      <c r="L274">
        <v>-76.82591</v>
      </c>
      <c r="M274">
        <f>HYPERLINK("https://www.google.com/maps/search/?api=1&amp;query=-12.317182,-76.82591","Punta Hermosa, Lima")</f>
      </c>
      <c r="N274">
        <v>22.7</v>
      </c>
      <c r="O274">
        <v>62</v>
      </c>
      <c r="P274">
        <v>295632.7</v>
      </c>
      <c r="Q274" t="str">
        <v>131.28</v>
      </c>
      <c r="R274" t="str">
        <v>Bache</v>
      </c>
      <c r="S274" t="str">
        <v/>
      </c>
      <c r="T274" t="str">
        <v/>
      </c>
      <c r="U274" t="str">
        <v/>
      </c>
    </row>
    <row r="275">
      <c r="A275" t="str">
        <v>274</v>
      </c>
      <c r="B275" t="str">
        <v>MASS BSF</v>
      </c>
      <c r="C275" t="str">
        <v>C6E-921</v>
      </c>
      <c r="D275" t="str">
        <v>C6E-921</v>
      </c>
      <c r="E275" t="str">
        <v/>
      </c>
      <c r="F275" t="str">
        <v>867806078831353</v>
      </c>
      <c r="G275" t="str">
        <v>TBD</v>
      </c>
      <c r="H275" t="str">
        <v/>
      </c>
      <c r="I275" t="str">
        <v>28/09/2026</v>
      </c>
      <c r="J275" t="str">
        <v>12:59:12</v>
      </c>
      <c r="K275">
        <v>-12.316928</v>
      </c>
      <c r="L275">
        <v>-76.825516</v>
      </c>
      <c r="M275">
        <f>HYPERLINK("https://www.google.com/maps/search/?api=1&amp;query=-12.316928,-76.825516","Punta Hermosa, Lima")</f>
      </c>
      <c r="N275">
        <v>19.8</v>
      </c>
      <c r="O275">
        <v>62</v>
      </c>
      <c r="P275">
        <v>295632.75</v>
      </c>
      <c r="Q275" t="str">
        <v>131.28</v>
      </c>
      <c r="R275" t="str">
        <v>Bache</v>
      </c>
      <c r="S275" t="str">
        <v/>
      </c>
      <c r="T275" t="str">
        <v/>
      </c>
      <c r="U275" t="str">
        <v/>
      </c>
    </row>
    <row r="276">
      <c r="A276" t="str">
        <v>275</v>
      </c>
      <c r="B276" t="str">
        <v>MASS BSF</v>
      </c>
      <c r="C276" t="str">
        <v>C6E-921</v>
      </c>
      <c r="D276" t="str">
        <v>C6E-921</v>
      </c>
      <c r="E276" t="str">
        <v/>
      </c>
      <c r="F276" t="str">
        <v>867806078831353</v>
      </c>
      <c r="G276" t="str">
        <v>TBD</v>
      </c>
      <c r="H276" t="str">
        <v/>
      </c>
      <c r="I276" t="str">
        <v>28/09/2026</v>
      </c>
      <c r="J276" t="str">
        <v>12:59:20</v>
      </c>
      <c r="K276">
        <v>-12.316742</v>
      </c>
      <c r="L276">
        <v>-76.825165</v>
      </c>
      <c r="M276">
        <f>HYPERLINK("https://www.google.com/maps/search/?api=1&amp;query=-12.316742,-76.825165","Punta Hermosa, Lima")</f>
      </c>
      <c r="N276">
        <v>12.5</v>
      </c>
      <c r="O276">
        <v>71</v>
      </c>
      <c r="P276">
        <v>295632.78</v>
      </c>
      <c r="Q276" t="str">
        <v>130.18</v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276</v>
      </c>
      <c r="B277" t="str">
        <v>MASS BSF</v>
      </c>
      <c r="C277" t="str">
        <v>C6E-921</v>
      </c>
      <c r="D277" t="str">
        <v>C6E-921</v>
      </c>
      <c r="E277" t="str">
        <v/>
      </c>
      <c r="F277" t="str">
        <v>867806078831353</v>
      </c>
      <c r="G277" t="str">
        <v>TBD</v>
      </c>
      <c r="H277" t="str">
        <v/>
      </c>
      <c r="I277" t="str">
        <v>28/09/2026</v>
      </c>
      <c r="J277" t="str">
        <v>12:59:25</v>
      </c>
      <c r="K277">
        <v>-12.316767</v>
      </c>
      <c r="L277">
        <v>-76.82501</v>
      </c>
      <c r="M277">
        <f>HYPERLINK("https://www.google.com/maps/search/?api=1&amp;query=-12.316767,-76.82501","Punta Hermosa, Lima")</f>
      </c>
      <c r="N277">
        <v>12</v>
      </c>
      <c r="O277">
        <v>71</v>
      </c>
      <c r="P277">
        <v>295632.8</v>
      </c>
      <c r="Q277" t="str">
        <v>130.18</v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277</v>
      </c>
      <c r="B278" t="str">
        <v>MASS BSF</v>
      </c>
      <c r="C278" t="str">
        <v>C6E-921</v>
      </c>
      <c r="D278" t="str">
        <v>C6E-921</v>
      </c>
      <c r="E278" t="str">
        <v/>
      </c>
      <c r="F278" t="str">
        <v>867806078831353</v>
      </c>
      <c r="G278" t="str">
        <v>TBD</v>
      </c>
      <c r="H278" t="str">
        <v/>
      </c>
      <c r="I278" t="str">
        <v>28/09/2026</v>
      </c>
      <c r="J278" t="str">
        <v>12:59:32</v>
      </c>
      <c r="K278">
        <v>-12.316983</v>
      </c>
      <c r="L278">
        <v>-76.82487</v>
      </c>
      <c r="M278">
        <f>HYPERLINK("https://www.google.com/maps/search/?api=1&amp;query=-12.316983,-76.82487","Punta Hermosa, Lima")</f>
      </c>
      <c r="N278">
        <v>18.3</v>
      </c>
      <c r="O278">
        <v>62</v>
      </c>
      <c r="P278">
        <v>295632.84</v>
      </c>
      <c r="Q278" t="str">
        <v>130.18</v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278</v>
      </c>
      <c r="B279" t="str">
        <v>MASS BSF</v>
      </c>
      <c r="C279" t="str">
        <v>C6E-921</v>
      </c>
      <c r="D279" t="str">
        <v>C6E-921</v>
      </c>
      <c r="E279" t="str">
        <v/>
      </c>
      <c r="F279" t="str">
        <v>867806078831353</v>
      </c>
      <c r="G279" t="str">
        <v>TBD</v>
      </c>
      <c r="H279" t="str">
        <v/>
      </c>
      <c r="I279" t="str">
        <v>28/09/2026</v>
      </c>
      <c r="J279" t="str">
        <v>12:59:43</v>
      </c>
      <c r="K279">
        <v>-12.317384</v>
      </c>
      <c r="L279">
        <v>-76.82458</v>
      </c>
      <c r="M279">
        <f>HYPERLINK("https://www.google.com/maps/search/?api=1&amp;query=-12.317384,-76.82458","Punta Hermosa, Lima")</f>
      </c>
      <c r="N279">
        <v>15.7</v>
      </c>
      <c r="O279">
        <v>62</v>
      </c>
      <c r="P279">
        <v>295632.88</v>
      </c>
      <c r="Q279" t="str">
        <v>130.18</v>
      </c>
      <c r="R279" t="str">
        <v/>
      </c>
      <c r="S279" t="str">
        <v/>
      </c>
      <c r="T279" t="str">
        <v/>
      </c>
      <c r="U279" t="str">
        <v/>
      </c>
    </row>
    <row r="280">
      <c r="A280" t="str">
        <v>279</v>
      </c>
      <c r="B280" t="str">
        <v>MASS BSF</v>
      </c>
      <c r="C280" t="str">
        <v>C6E-921</v>
      </c>
      <c r="D280" t="str">
        <v>C6E-921</v>
      </c>
      <c r="E280" t="str">
        <v/>
      </c>
      <c r="F280" t="str">
        <v>867806078831353</v>
      </c>
      <c r="G280" t="str">
        <v>TBD</v>
      </c>
      <c r="H280" t="str">
        <v/>
      </c>
      <c r="I280" t="str">
        <v>28/09/2026</v>
      </c>
      <c r="J280" t="str">
        <v>12:59:50</v>
      </c>
      <c r="K280">
        <v>-12.317576</v>
      </c>
      <c r="L280">
        <v>-76.824394</v>
      </c>
      <c r="M280">
        <f>HYPERLINK("https://www.google.com/maps/search/?api=1&amp;query=-12.317576,-76.824394","Punta Hermosa, Lima")</f>
      </c>
      <c r="N280">
        <v>12.9</v>
      </c>
      <c r="O280">
        <v>62</v>
      </c>
      <c r="P280">
        <v>295632.9</v>
      </c>
      <c r="Q280" t="str">
        <v>130.18</v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280</v>
      </c>
      <c r="B281" t="str">
        <v>MASS BSF</v>
      </c>
      <c r="C281" t="str">
        <v>C6E-921</v>
      </c>
      <c r="D281" t="str">
        <v>C6E-921</v>
      </c>
      <c r="E281" t="str">
        <v/>
      </c>
      <c r="F281" t="str">
        <v>867806078831353</v>
      </c>
      <c r="G281" t="str">
        <v>TBD</v>
      </c>
      <c r="H281" t="str">
        <v/>
      </c>
      <c r="I281" t="str">
        <v>28/09/2026</v>
      </c>
      <c r="J281" t="str">
        <v>13:00:50</v>
      </c>
      <c r="K281">
        <v>-12.317761</v>
      </c>
      <c r="L281">
        <v>-76.82429</v>
      </c>
      <c r="M281">
        <f>HYPERLINK("https://www.google.com/maps/search/?api=1&amp;query=-12.317761,-76.82429","Punta Hermosa, Lima")</f>
      </c>
      <c r="N281">
        <v>0</v>
      </c>
      <c r="O281">
        <v>62</v>
      </c>
      <c r="P281">
        <v>295632.94</v>
      </c>
      <c r="Q281" t="str">
        <v>130.18</v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281</v>
      </c>
      <c r="B282" t="str">
        <v>MASS BSF</v>
      </c>
      <c r="C282" t="str">
        <v>C6E-921</v>
      </c>
      <c r="D282" t="str">
        <v>C6E-921</v>
      </c>
      <c r="E282" t="str">
        <v/>
      </c>
      <c r="F282" t="str">
        <v>867806078831353</v>
      </c>
      <c r="G282" t="str">
        <v>TBD</v>
      </c>
      <c r="H282" t="str">
        <v/>
      </c>
      <c r="I282" t="str">
        <v>28/09/2026</v>
      </c>
      <c r="J282" t="str">
        <v>13:01:50</v>
      </c>
      <c r="K282">
        <v>-12.317761</v>
      </c>
      <c r="L282">
        <v>-76.82429</v>
      </c>
      <c r="M282">
        <f>HYPERLINK("https://www.google.com/maps/search/?api=1&amp;query=-12.317761,-76.82429","Punta Hermosa, Lima")</f>
      </c>
      <c r="N282">
        <v>0</v>
      </c>
      <c r="O282">
        <v>62</v>
      </c>
      <c r="P282">
        <v>295632.94</v>
      </c>
      <c r="Q282" t="str">
        <v>130.18</v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282</v>
      </c>
      <c r="B283" t="str">
        <v>MASS BSF</v>
      </c>
      <c r="C283" t="str">
        <v>C6E-921</v>
      </c>
      <c r="D283" t="str">
        <v>C6E-921</v>
      </c>
      <c r="E283" t="str">
        <v/>
      </c>
      <c r="F283" t="str">
        <v>867806078831353</v>
      </c>
      <c r="G283" t="str">
        <v>TBD</v>
      </c>
      <c r="H283" t="str">
        <v/>
      </c>
      <c r="I283" t="str">
        <v>28/09/2026</v>
      </c>
      <c r="J283" t="str">
        <v>13:02:03</v>
      </c>
      <c r="K283">
        <v>-12.317815</v>
      </c>
      <c r="L283">
        <v>-76.824295</v>
      </c>
      <c r="M283">
        <f>HYPERLINK("https://www.google.com/maps/search/?api=1&amp;query=-12.317815,-76.824295","Punta Hermosa, Lima")</f>
      </c>
      <c r="N283">
        <v>5.5</v>
      </c>
      <c r="O283">
        <v>62</v>
      </c>
      <c r="P283">
        <v>295632.94</v>
      </c>
      <c r="Q283" t="str">
        <v>130.18</v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283</v>
      </c>
      <c r="B284" t="str">
        <v>MASS BSF</v>
      </c>
      <c r="C284" t="str">
        <v>C6E-921</v>
      </c>
      <c r="D284" t="str">
        <v>C6E-921</v>
      </c>
      <c r="E284" t="str">
        <v/>
      </c>
      <c r="F284" t="str">
        <v>867806078831353</v>
      </c>
      <c r="G284" t="str">
        <v>TBD</v>
      </c>
      <c r="H284" t="str">
        <v/>
      </c>
      <c r="I284" t="str">
        <v>28/09/2026</v>
      </c>
      <c r="J284" t="str">
        <v>13:02:40</v>
      </c>
      <c r="K284">
        <v>-12.317772</v>
      </c>
      <c r="L284">
        <v>-76.82425</v>
      </c>
      <c r="M284">
        <f>HYPERLINK("https://www.google.com/maps/search/?api=1&amp;query=-12.317772,-76.82425","Punta Hermosa, Lima")</f>
      </c>
      <c r="N284">
        <v>0</v>
      </c>
      <c r="O284">
        <v>62</v>
      </c>
      <c r="P284">
        <v>295632.96</v>
      </c>
      <c r="Q284" t="str">
        <v>130.18</v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284</v>
      </c>
      <c r="B285" t="str">
        <v>MASS BSF</v>
      </c>
      <c r="C285" t="str">
        <v>C6E-921</v>
      </c>
      <c r="D285" t="str">
        <v>C6E-921</v>
      </c>
      <c r="E285" t="str">
        <v/>
      </c>
      <c r="F285" t="str">
        <v>867806078831353</v>
      </c>
      <c r="G285" t="str">
        <v>TBD</v>
      </c>
      <c r="H285" t="str">
        <v/>
      </c>
      <c r="I285" t="str">
        <v>28/09/2026</v>
      </c>
      <c r="J285" t="str">
        <v>13:02:43</v>
      </c>
      <c r="K285">
        <v>-12.317772</v>
      </c>
      <c r="L285">
        <v>-76.82425</v>
      </c>
      <c r="M285">
        <f>HYPERLINK("https://www.google.com/maps/search/?api=1&amp;query=-12.317772,-76.82425","Punta Hermosa, Lima")</f>
      </c>
      <c r="N285">
        <v>0</v>
      </c>
      <c r="O285">
        <v>62</v>
      </c>
      <c r="P285">
        <v>295632.96</v>
      </c>
      <c r="Q285" t="str">
        <v>131.28</v>
      </c>
      <c r="R285" t="str">
        <v>Vehículo apagado</v>
      </c>
      <c r="S285" t="str">
        <v/>
      </c>
      <c r="T285" t="str">
        <v/>
      </c>
      <c r="U285" t="str">
        <v/>
      </c>
    </row>
    <row r="286">
      <c r="A286" t="str">
        <v>285</v>
      </c>
      <c r="B286" t="str">
        <v>MASS BSF</v>
      </c>
      <c r="C286" t="str">
        <v>C6E-921</v>
      </c>
      <c r="D286" t="str">
        <v>C6E-921</v>
      </c>
      <c r="E286" t="str">
        <v/>
      </c>
      <c r="F286" t="str">
        <v>867806078831353</v>
      </c>
      <c r="G286" t="str">
        <v>TBD</v>
      </c>
      <c r="H286" t="str">
        <v/>
      </c>
      <c r="I286" t="str">
        <v>28/09/2026</v>
      </c>
      <c r="J286" t="str">
        <v>13:02:43</v>
      </c>
      <c r="K286">
        <v>-12.317772</v>
      </c>
      <c r="L286">
        <v>-76.82425</v>
      </c>
      <c r="M286">
        <f>HYPERLINK("https://www.google.com/maps/search/?api=1&amp;query=-12.317772,-76.82425","Punta Hermosa, Lima")</f>
      </c>
      <c r="N286">
        <v>0</v>
      </c>
      <c r="O286">
        <v>62</v>
      </c>
      <c r="P286">
        <v>295632.96</v>
      </c>
      <c r="Q286" t="str">
        <v>130.18</v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286</v>
      </c>
      <c r="B287" t="str">
        <v>MASS BSF</v>
      </c>
      <c r="C287" t="str">
        <v>C6E-921</v>
      </c>
      <c r="D287" t="str">
        <v>C6E-921</v>
      </c>
      <c r="E287" t="str">
        <v/>
      </c>
      <c r="F287" t="str">
        <v>867806078831353</v>
      </c>
      <c r="G287" t="str">
        <v>TBD</v>
      </c>
      <c r="H287" t="str">
        <v/>
      </c>
      <c r="I287" t="str">
        <v>28/09/2026</v>
      </c>
      <c r="J287" t="str">
        <v>13:12:43</v>
      </c>
      <c r="K287">
        <v>-12.317772</v>
      </c>
      <c r="L287">
        <v>-76.82425</v>
      </c>
      <c r="M287">
        <f>HYPERLINK("https://www.google.com/maps/search/?api=1&amp;query=-12.317772,-76.82425","Punta Hermosa, Lima")</f>
      </c>
      <c r="N287">
        <v>0</v>
      </c>
      <c r="O287">
        <v>62</v>
      </c>
      <c r="P287">
        <v>295632.96</v>
      </c>
      <c r="Q287" t="str">
        <v>131.45</v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287</v>
      </c>
      <c r="B288" t="str">
        <v>MASS BSF</v>
      </c>
      <c r="C288" t="str">
        <v>C6E-921</v>
      </c>
      <c r="D288" t="str">
        <v>C6E-921</v>
      </c>
      <c r="E288" t="str">
        <v/>
      </c>
      <c r="F288" t="str">
        <v>867806078831353</v>
      </c>
      <c r="G288" t="str">
        <v>TBD</v>
      </c>
      <c r="H288" t="str">
        <v/>
      </c>
      <c r="I288" t="str">
        <v>28/09/2026</v>
      </c>
      <c r="J288" t="str">
        <v>13:14:12</v>
      </c>
      <c r="K288">
        <v>-12.317772</v>
      </c>
      <c r="L288">
        <v>-76.82425</v>
      </c>
      <c r="M288">
        <f>HYPERLINK("https://www.google.com/maps/search/?api=1&amp;query=-12.317772,-76.82425","Punta Hermosa, Lima")</f>
      </c>
      <c r="N288">
        <v>0</v>
      </c>
      <c r="O288">
        <v>62</v>
      </c>
      <c r="P288">
        <v>295632.96</v>
      </c>
      <c r="Q288" t="str">
        <v>130.18</v>
      </c>
      <c r="R288" t="str">
        <v>Se detuvo</v>
      </c>
      <c r="S288" t="str">
        <v/>
      </c>
      <c r="T288" t="str">
        <v/>
      </c>
      <c r="U288" t="str">
        <v/>
      </c>
    </row>
    <row r="289">
      <c r="A289" t="str">
        <v>288</v>
      </c>
      <c r="B289" t="str">
        <v>MASS BSF</v>
      </c>
      <c r="C289" t="str">
        <v>C6E-921</v>
      </c>
      <c r="D289" t="str">
        <v>C6E-921</v>
      </c>
      <c r="E289" t="str">
        <v/>
      </c>
      <c r="F289" t="str">
        <v>867806078831353</v>
      </c>
      <c r="G289" t="str">
        <v>TBD</v>
      </c>
      <c r="H289" t="str">
        <v/>
      </c>
      <c r="I289" t="str">
        <v>28/09/2026</v>
      </c>
      <c r="J289" t="str">
        <v>13:22:43</v>
      </c>
      <c r="K289">
        <v>-12.317772</v>
      </c>
      <c r="L289">
        <v>-76.82425</v>
      </c>
      <c r="M289">
        <f>HYPERLINK("https://www.google.com/maps/search/?api=1&amp;query=-12.317772,-76.82425","Punta Hermosa, Lima")</f>
      </c>
      <c r="N289">
        <v>0</v>
      </c>
      <c r="O289">
        <v>62</v>
      </c>
      <c r="P289">
        <v>295632.96</v>
      </c>
      <c r="Q289" t="str">
        <v>131.62</v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289</v>
      </c>
      <c r="B290" t="str">
        <v>MASS BSF</v>
      </c>
      <c r="C290" t="str">
        <v>C6E-921</v>
      </c>
      <c r="D290" t="str">
        <v>C6E-921</v>
      </c>
      <c r="E290" t="str">
        <v/>
      </c>
      <c r="F290" t="str">
        <v>867806078831353</v>
      </c>
      <c r="G290" t="str">
        <v>TBD</v>
      </c>
      <c r="H290" t="str">
        <v/>
      </c>
      <c r="I290" t="str">
        <v>28/09/2026</v>
      </c>
      <c r="J290" t="str">
        <v>13:32:43</v>
      </c>
      <c r="K290">
        <v>-12.317772</v>
      </c>
      <c r="L290">
        <v>-76.82425</v>
      </c>
      <c r="M290">
        <f>HYPERLINK("https://www.google.com/maps/search/?api=1&amp;query=-12.317772,-76.82425","Punta Hermosa, Lima")</f>
      </c>
      <c r="N290">
        <v>0</v>
      </c>
      <c r="O290">
        <v>62</v>
      </c>
      <c r="P290">
        <v>295632.96</v>
      </c>
      <c r="Q290" t="str">
        <v>131.78</v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290</v>
      </c>
      <c r="B291" t="str">
        <v>MASS BSF</v>
      </c>
      <c r="C291" t="str">
        <v>C6E-921</v>
      </c>
      <c r="D291" t="str">
        <v>C6E-921</v>
      </c>
      <c r="E291" t="str">
        <v/>
      </c>
      <c r="F291" t="str">
        <v>867806078831353</v>
      </c>
      <c r="G291" t="str">
        <v>TBD</v>
      </c>
      <c r="H291" t="str">
        <v/>
      </c>
      <c r="I291" t="str">
        <v>28/09/2026</v>
      </c>
      <c r="J291" t="str">
        <v>13:42:43</v>
      </c>
      <c r="K291">
        <v>-12.317772</v>
      </c>
      <c r="L291">
        <v>-76.82425</v>
      </c>
      <c r="M291">
        <f>HYPERLINK("https://www.google.com/maps/search/?api=1&amp;query=-12.317772,-76.82425","Punta Hermosa, Lima")</f>
      </c>
      <c r="N291">
        <v>0</v>
      </c>
      <c r="O291">
        <v>62</v>
      </c>
      <c r="P291">
        <v>295632.96</v>
      </c>
      <c r="Q291" t="str">
        <v>131.95</v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291</v>
      </c>
      <c r="B292" t="str">
        <v>MASS BSF</v>
      </c>
      <c r="C292" t="str">
        <v>C6E-921</v>
      </c>
      <c r="D292" t="str">
        <v>C6E-921</v>
      </c>
      <c r="E292" t="str">
        <v/>
      </c>
      <c r="F292" t="str">
        <v>867806078831353</v>
      </c>
      <c r="G292" t="str">
        <v>TBD</v>
      </c>
      <c r="H292" t="str">
        <v/>
      </c>
      <c r="I292" t="str">
        <v>28/09/2026</v>
      </c>
      <c r="J292" t="str">
        <v>13:52:43</v>
      </c>
      <c r="K292">
        <v>-12.317772</v>
      </c>
      <c r="L292">
        <v>-76.82425</v>
      </c>
      <c r="M292">
        <f>HYPERLINK("https://www.google.com/maps/search/?api=1&amp;query=-12.317772,-76.82425","Punta Hermosa, Lima")</f>
      </c>
      <c r="N292">
        <v>0</v>
      </c>
      <c r="O292">
        <v>62</v>
      </c>
      <c r="P292">
        <v>295632.96</v>
      </c>
      <c r="Q292" t="str">
        <v>132.12</v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292</v>
      </c>
      <c r="B293" t="str">
        <v>MASS BSF</v>
      </c>
      <c r="C293" t="str">
        <v>C6E-921</v>
      </c>
      <c r="D293" t="str">
        <v>C6E-921</v>
      </c>
      <c r="E293" t="str">
        <v/>
      </c>
      <c r="F293" t="str">
        <v>867806078831353</v>
      </c>
      <c r="G293" t="str">
        <v>TBD</v>
      </c>
      <c r="H293" t="str">
        <v/>
      </c>
      <c r="I293" t="str">
        <v>28/09/2026</v>
      </c>
      <c r="J293" t="str">
        <v>14:06:20</v>
      </c>
      <c r="K293">
        <v>-12.317781</v>
      </c>
      <c r="L293">
        <v>-76.82421</v>
      </c>
      <c r="M293">
        <f>HYPERLINK("https://www.google.com/maps/search/?api=1&amp;query=-12.317781,-76.82421","Punta Hermosa, Lima")</f>
      </c>
      <c r="N293">
        <v>0</v>
      </c>
      <c r="O293">
        <v>62</v>
      </c>
      <c r="P293">
        <v>295632.96</v>
      </c>
      <c r="Q293" t="str">
        <v>132.35</v>
      </c>
      <c r="R293" t="str">
        <v/>
      </c>
      <c r="S293" t="str">
        <v/>
      </c>
      <c r="T293" t="str">
        <v/>
      </c>
      <c r="U293" t="str">
        <v/>
      </c>
    </row>
    <row r="294">
      <c r="A294" t="str">
        <v>293</v>
      </c>
      <c r="B294" t="str">
        <v>MASS BSF</v>
      </c>
      <c r="C294" t="str">
        <v>C6E-921</v>
      </c>
      <c r="D294" t="str">
        <v>C6E-921</v>
      </c>
      <c r="E294" t="str">
        <v/>
      </c>
      <c r="F294" t="str">
        <v>867806078831353</v>
      </c>
      <c r="G294" t="str">
        <v>TBD</v>
      </c>
      <c r="H294" t="str">
        <v/>
      </c>
      <c r="I294" t="str">
        <v>28/09/2026</v>
      </c>
      <c r="J294" t="str">
        <v>14:16:20</v>
      </c>
      <c r="K294">
        <v>-12.317754</v>
      </c>
      <c r="L294">
        <v>-76.82421</v>
      </c>
      <c r="M294">
        <f>HYPERLINK("https://www.google.com/maps/search/?api=1&amp;query=-12.317754,-76.82421","Punta Hermosa, Lima")</f>
      </c>
      <c r="N294">
        <v>0</v>
      </c>
      <c r="O294">
        <v>62</v>
      </c>
      <c r="P294">
        <v>295632.96</v>
      </c>
      <c r="Q294" t="str">
        <v>132.52</v>
      </c>
      <c r="R294" t="str">
        <v/>
      </c>
      <c r="S294" t="str">
        <v/>
      </c>
      <c r="T294" t="str">
        <v/>
      </c>
      <c r="U294" t="str">
        <v/>
      </c>
    </row>
    <row r="295">
      <c r="A295" t="str">
        <v>294</v>
      </c>
      <c r="B295" t="str">
        <v>MASS BSF</v>
      </c>
      <c r="C295" t="str">
        <v>C6E-921</v>
      </c>
      <c r="D295" t="str">
        <v>C6E-921</v>
      </c>
      <c r="E295" t="str">
        <v/>
      </c>
      <c r="F295" t="str">
        <v>867806078831353</v>
      </c>
      <c r="G295" t="str">
        <v>TBD</v>
      </c>
      <c r="H295" t="str">
        <v/>
      </c>
      <c r="I295" t="str">
        <v>28/09/2026</v>
      </c>
      <c r="J295" t="str">
        <v>14:26:20</v>
      </c>
      <c r="K295">
        <v>-12.317718</v>
      </c>
      <c r="L295">
        <v>-76.82419</v>
      </c>
      <c r="M295">
        <f>HYPERLINK("https://www.google.com/maps/search/?api=1&amp;query=-12.317718,-76.82419","Punta Hermosa, Lima")</f>
      </c>
      <c r="N295">
        <v>0</v>
      </c>
      <c r="O295">
        <v>62</v>
      </c>
      <c r="P295">
        <v>295632.96</v>
      </c>
      <c r="Q295" t="str">
        <v>132.68</v>
      </c>
      <c r="R295" t="str">
        <v/>
      </c>
      <c r="S295" t="str">
        <v/>
      </c>
      <c r="T295" t="str">
        <v/>
      </c>
      <c r="U295" t="str">
        <v/>
      </c>
    </row>
    <row r="296">
      <c r="A296" t="str">
        <v>295</v>
      </c>
      <c r="B296" t="str">
        <v>MASS BSF</v>
      </c>
      <c r="C296" t="str">
        <v>C6E-921</v>
      </c>
      <c r="D296" t="str">
        <v>C6E-921</v>
      </c>
      <c r="E296" t="str">
        <v/>
      </c>
      <c r="F296" t="str">
        <v>867806078831353</v>
      </c>
      <c r="G296" t="str">
        <v>TBD</v>
      </c>
      <c r="H296" t="str">
        <v/>
      </c>
      <c r="I296" t="str">
        <v>28/09/2026</v>
      </c>
      <c r="J296" t="str">
        <v>14:36:20</v>
      </c>
      <c r="K296">
        <v>-12.317779</v>
      </c>
      <c r="L296">
        <v>-76.8242</v>
      </c>
      <c r="M296">
        <f>HYPERLINK("https://www.google.com/maps/search/?api=1&amp;query=-12.317779,-76.8242","Punta Hermosa, Lima")</f>
      </c>
      <c r="N296">
        <v>0.1</v>
      </c>
      <c r="O296">
        <v>62</v>
      </c>
      <c r="P296">
        <v>295632.96</v>
      </c>
      <c r="Q296" t="str">
        <v>132.85</v>
      </c>
      <c r="R296" t="str">
        <v/>
      </c>
      <c r="S296" t="str">
        <v/>
      </c>
      <c r="T296" t="str">
        <v/>
      </c>
      <c r="U296" t="str">
        <v/>
      </c>
    </row>
    <row r="297">
      <c r="A297" t="str">
        <v>296</v>
      </c>
      <c r="B297" t="str">
        <v>MASS BSF</v>
      </c>
      <c r="C297" t="str">
        <v>C6E-921</v>
      </c>
      <c r="D297" t="str">
        <v>C6E-921</v>
      </c>
      <c r="E297" t="str">
        <v/>
      </c>
      <c r="F297" t="str">
        <v>867806078831353</v>
      </c>
      <c r="G297" t="str">
        <v>TBD</v>
      </c>
      <c r="H297" t="str">
        <v/>
      </c>
      <c r="I297" t="str">
        <v>28/09/2026</v>
      </c>
      <c r="J297" t="str">
        <v>14:46:20</v>
      </c>
      <c r="K297">
        <v>-12.31777</v>
      </c>
      <c r="L297">
        <v>-76.824234</v>
      </c>
      <c r="M297">
        <f>HYPERLINK("https://www.google.com/maps/search/?api=1&amp;query=-12.31777,-76.824234","Punta Hermosa, Lima")</f>
      </c>
      <c r="N297">
        <v>0</v>
      </c>
      <c r="O297">
        <v>62</v>
      </c>
      <c r="P297">
        <v>295632.96</v>
      </c>
      <c r="Q297" t="str">
        <v>133.12</v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297</v>
      </c>
      <c r="B298" t="str">
        <v>MASS BSF</v>
      </c>
      <c r="C298" t="str">
        <v>C6E-921</v>
      </c>
      <c r="D298" t="str">
        <v>C6E-921</v>
      </c>
      <c r="E298" t="str">
        <v/>
      </c>
      <c r="F298" t="str">
        <v>867806078831353</v>
      </c>
      <c r="G298" t="str">
        <v>TBD</v>
      </c>
      <c r="H298" t="str">
        <v/>
      </c>
      <c r="I298" t="str">
        <v>28/09/2026</v>
      </c>
      <c r="J298" t="str">
        <v>14:56:20</v>
      </c>
      <c r="K298">
        <v>-12.317779</v>
      </c>
      <c r="L298">
        <v>-76.82426</v>
      </c>
      <c r="M298">
        <f>HYPERLINK("https://www.google.com/maps/search/?api=1&amp;query=-12.317779,-76.82426","Punta Hermosa, Lima")</f>
      </c>
      <c r="N298">
        <v>0</v>
      </c>
      <c r="O298">
        <v>62</v>
      </c>
      <c r="P298">
        <v>295632.96</v>
      </c>
      <c r="Q298" t="str">
        <v>131.28</v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298</v>
      </c>
      <c r="B299" t="str">
        <v>MASS BSF</v>
      </c>
      <c r="C299" t="str">
        <v>C6E-921</v>
      </c>
      <c r="D299" t="str">
        <v>C6E-921</v>
      </c>
      <c r="E299" t="str">
        <v/>
      </c>
      <c r="F299" t="str">
        <v>867806078831353</v>
      </c>
      <c r="G299" t="str">
        <v>TBD</v>
      </c>
      <c r="H299" t="str">
        <v/>
      </c>
      <c r="I299" t="str">
        <v>28/09/2026</v>
      </c>
      <c r="J299" t="str">
        <v>15:06:20</v>
      </c>
      <c r="K299">
        <v>-12.317739</v>
      </c>
      <c r="L299">
        <v>-76.824234</v>
      </c>
      <c r="M299">
        <f>HYPERLINK("https://www.google.com/maps/search/?api=1&amp;query=-12.317739,-76.824234","Punta Hermosa, Lima")</f>
      </c>
      <c r="N299">
        <v>0</v>
      </c>
      <c r="O299">
        <v>53</v>
      </c>
      <c r="P299">
        <v>295632.96</v>
      </c>
      <c r="Q299" t="str">
        <v>131.28</v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299</v>
      </c>
      <c r="B300" t="str">
        <v>MASS BSF</v>
      </c>
      <c r="C300" t="str">
        <v>C6E-921</v>
      </c>
      <c r="D300" t="str">
        <v>C6E-921</v>
      </c>
      <c r="E300" t="str">
        <v/>
      </c>
      <c r="F300" t="str">
        <v>867806078831353</v>
      </c>
      <c r="G300" t="str">
        <v>TBD</v>
      </c>
      <c r="H300" t="str">
        <v/>
      </c>
      <c r="I300" t="str">
        <v>28/09/2026</v>
      </c>
      <c r="J300" t="str">
        <v>15:16:20</v>
      </c>
      <c r="K300">
        <v>-12.317732</v>
      </c>
      <c r="L300">
        <v>-76.82421</v>
      </c>
      <c r="M300">
        <f>HYPERLINK("https://www.google.com/maps/search/?api=1&amp;query=-12.317732,-76.82421","Punta Hermosa, Lima")</f>
      </c>
      <c r="N300">
        <v>0</v>
      </c>
      <c r="O300">
        <v>67</v>
      </c>
      <c r="P300">
        <v>295632.96</v>
      </c>
      <c r="Q300" t="str">
        <v>131.28</v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300</v>
      </c>
      <c r="B301" t="str">
        <v>MASS BSF</v>
      </c>
      <c r="C301" t="str">
        <v>C6E-921</v>
      </c>
      <c r="D301" t="str">
        <v>C6E-921</v>
      </c>
      <c r="E301" t="str">
        <v/>
      </c>
      <c r="F301" t="str">
        <v>867806078831353</v>
      </c>
      <c r="G301" t="str">
        <v>TBD</v>
      </c>
      <c r="H301" t="str">
        <v/>
      </c>
      <c r="I301" t="str">
        <v>28/09/2026</v>
      </c>
      <c r="J301" t="str">
        <v>15:18:51</v>
      </c>
      <c r="K301">
        <v>-12.317732</v>
      </c>
      <c r="L301">
        <v>-76.82421</v>
      </c>
      <c r="M301">
        <f>HYPERLINK("https://www.google.com/maps/search/?api=1&amp;query=-12.317732,-76.82421","Punta Hermosa, Lima")</f>
      </c>
      <c r="N301">
        <v>0</v>
      </c>
      <c r="O301">
        <v>66</v>
      </c>
      <c r="P301">
        <v>295632.96</v>
      </c>
      <c r="Q301" t="str">
        <v>131.28</v>
      </c>
      <c r="R301" t="str">
        <v>Encendido o Entró en cobertura</v>
      </c>
      <c r="S301" t="str">
        <v/>
      </c>
      <c r="T301" t="str">
        <v/>
      </c>
      <c r="U301" t="str">
        <v/>
      </c>
    </row>
    <row r="302">
      <c r="A302" t="str">
        <v>301</v>
      </c>
      <c r="B302" t="str">
        <v>MASS BSF</v>
      </c>
      <c r="C302" t="str">
        <v>C6E-921</v>
      </c>
      <c r="D302" t="str">
        <v>C6E-921</v>
      </c>
      <c r="E302" t="str">
        <v/>
      </c>
      <c r="F302" t="str">
        <v>867806078831353</v>
      </c>
      <c r="G302" t="str">
        <v>TBD</v>
      </c>
      <c r="H302" t="str">
        <v/>
      </c>
      <c r="I302" t="str">
        <v>28/09/2026</v>
      </c>
      <c r="J302" t="str">
        <v>15:26:20</v>
      </c>
      <c r="K302">
        <v>-12.317743</v>
      </c>
      <c r="L302">
        <v>-76.8242</v>
      </c>
      <c r="M302">
        <f>HYPERLINK("https://www.google.com/maps/search/?api=1&amp;query=-12.317743,-76.8242","Punta Hermosa, Lima")</f>
      </c>
      <c r="N302">
        <v>0</v>
      </c>
      <c r="O302">
        <v>66</v>
      </c>
      <c r="P302">
        <v>295632.96</v>
      </c>
      <c r="Q302" t="str">
        <v>131.28</v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302</v>
      </c>
      <c r="B303" t="str">
        <v>MASS BSF</v>
      </c>
      <c r="C303" t="str">
        <v>C6E-921</v>
      </c>
      <c r="D303" t="str">
        <v>C6E-921</v>
      </c>
      <c r="E303" t="str">
        <v/>
      </c>
      <c r="F303" t="str">
        <v>867806078831353</v>
      </c>
      <c r="G303" t="str">
        <v>TBD</v>
      </c>
      <c r="H303" t="str">
        <v/>
      </c>
      <c r="I303" t="str">
        <v>28/09/2026</v>
      </c>
      <c r="J303" t="str">
        <v>15:36:20</v>
      </c>
      <c r="K303">
        <v>-12.317788</v>
      </c>
      <c r="L303">
        <v>-76.82429</v>
      </c>
      <c r="M303">
        <f>HYPERLINK("https://www.google.com/maps/search/?api=1&amp;query=-12.317788,-76.82429","Punta Hermosa, Lima")</f>
      </c>
      <c r="N303">
        <v>0</v>
      </c>
      <c r="O303">
        <v>66</v>
      </c>
      <c r="P303">
        <v>295632.96</v>
      </c>
      <c r="Q303" t="str">
        <v>131.28</v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303</v>
      </c>
      <c r="B304" t="str">
        <v>MASS BSF</v>
      </c>
      <c r="C304" t="str">
        <v>C6E-921</v>
      </c>
      <c r="D304" t="str">
        <v>C6E-921</v>
      </c>
      <c r="E304" t="str">
        <v/>
      </c>
      <c r="F304" t="str">
        <v>867806078831353</v>
      </c>
      <c r="G304" t="str">
        <v>TBD</v>
      </c>
      <c r="H304" t="str">
        <v/>
      </c>
      <c r="I304" t="str">
        <v>28/09/2026</v>
      </c>
      <c r="J304" t="str">
        <v>15:44:14</v>
      </c>
      <c r="K304">
        <v>-12.317728</v>
      </c>
      <c r="L304">
        <v>-76.82423</v>
      </c>
      <c r="M304">
        <f>HYPERLINK("https://www.google.com/maps/search/?api=1&amp;query=-12.317728,-76.82423","Punta Hermosa, Lima")</f>
      </c>
      <c r="N304">
        <v>0</v>
      </c>
      <c r="O304">
        <v>66</v>
      </c>
      <c r="P304">
        <v>295632.96</v>
      </c>
      <c r="Q304" t="str">
        <v>131.28</v>
      </c>
      <c r="R304" t="str">
        <v>Vehículo encendido</v>
      </c>
      <c r="S304" t="str">
        <v/>
      </c>
      <c r="T304" t="str">
        <v/>
      </c>
      <c r="U304" t="str">
        <v/>
      </c>
    </row>
    <row r="305">
      <c r="A305" t="str">
        <v>304</v>
      </c>
      <c r="B305" t="str">
        <v>MASS BSF</v>
      </c>
      <c r="C305" t="str">
        <v>C6E-921</v>
      </c>
      <c r="D305" t="str">
        <v>C6E-921</v>
      </c>
      <c r="E305" t="str">
        <v/>
      </c>
      <c r="F305" t="str">
        <v>867806078831353</v>
      </c>
      <c r="G305" t="str">
        <v>TBD</v>
      </c>
      <c r="H305" t="str">
        <v/>
      </c>
      <c r="I305" t="str">
        <v>28/09/2026</v>
      </c>
      <c r="J305" t="str">
        <v>15:44:36</v>
      </c>
      <c r="K305">
        <v>-12.31778</v>
      </c>
      <c r="L305">
        <v>-76.82423</v>
      </c>
      <c r="M305">
        <f>HYPERLINK("https://www.google.com/maps/search/?api=1&amp;query=-12.31778,-76.82423","Punta Hermosa, Lima")</f>
      </c>
      <c r="N305">
        <v>1.4</v>
      </c>
      <c r="O305">
        <v>66</v>
      </c>
      <c r="P305">
        <v>295632.96</v>
      </c>
      <c r="Q305" t="str">
        <v>131.28</v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305</v>
      </c>
      <c r="B306" t="str">
        <v>MASS BSF</v>
      </c>
      <c r="C306" t="str">
        <v>C6E-921</v>
      </c>
      <c r="D306" t="str">
        <v>C6E-921</v>
      </c>
      <c r="E306" t="str">
        <v/>
      </c>
      <c r="F306" t="str">
        <v>867806078831353</v>
      </c>
      <c r="G306" t="str">
        <v>TBD</v>
      </c>
      <c r="H306" t="str">
        <v/>
      </c>
      <c r="I306" t="str">
        <v>28/09/2026</v>
      </c>
      <c r="J306" t="str">
        <v>15:45:14</v>
      </c>
      <c r="K306">
        <v>-12.317774</v>
      </c>
      <c r="L306">
        <v>-76.8242</v>
      </c>
      <c r="M306">
        <f>HYPERLINK("https://www.google.com/maps/search/?api=1&amp;query=-12.317774,-76.8242","Punta Hermosa, Lima")</f>
      </c>
      <c r="N306">
        <v>0.1</v>
      </c>
      <c r="O306">
        <v>66</v>
      </c>
      <c r="P306">
        <v>295632.96</v>
      </c>
      <c r="Q306" t="str">
        <v>131.28</v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306</v>
      </c>
      <c r="B307" t="str">
        <v>MASS BSF</v>
      </c>
      <c r="C307" t="str">
        <v>C6E-921</v>
      </c>
      <c r="D307" t="str">
        <v>C6E-921</v>
      </c>
      <c r="E307" t="str">
        <v/>
      </c>
      <c r="F307" t="str">
        <v>867806078831353</v>
      </c>
      <c r="G307" t="str">
        <v>TBD</v>
      </c>
      <c r="H307" t="str">
        <v/>
      </c>
      <c r="I307" t="str">
        <v>28/09/2026</v>
      </c>
      <c r="J307" t="str">
        <v>15:46:14</v>
      </c>
      <c r="K307">
        <v>-12.31779</v>
      </c>
      <c r="L307">
        <v>-76.8242</v>
      </c>
      <c r="M307">
        <f>HYPERLINK("https://www.google.com/maps/search/?api=1&amp;query=-12.31779,-76.8242","Punta Hermosa, Lima")</f>
      </c>
      <c r="N307">
        <v>0</v>
      </c>
      <c r="O307">
        <v>66</v>
      </c>
      <c r="P307">
        <v>295633</v>
      </c>
      <c r="Q307" t="str">
        <v>131.28</v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307</v>
      </c>
      <c r="B308" t="str">
        <v>MASS BSF</v>
      </c>
      <c r="C308" t="str">
        <v>C6E-921</v>
      </c>
      <c r="D308" t="str">
        <v>C6E-921</v>
      </c>
      <c r="E308" t="str">
        <v/>
      </c>
      <c r="F308" t="str">
        <v>867806078831353</v>
      </c>
      <c r="G308" t="str">
        <v>TBD</v>
      </c>
      <c r="H308" t="str">
        <v/>
      </c>
      <c r="I308" t="str">
        <v>28/09/2026</v>
      </c>
      <c r="J308" t="str">
        <v>15:47:14</v>
      </c>
      <c r="K308">
        <v>-12.317792</v>
      </c>
      <c r="L308">
        <v>-76.82417</v>
      </c>
      <c r="M308">
        <f>HYPERLINK("https://www.google.com/maps/search/?api=1&amp;query=-12.317792,-76.82417","Punta Hermosa, Lima")</f>
      </c>
      <c r="N308">
        <v>0</v>
      </c>
      <c r="O308">
        <v>66</v>
      </c>
      <c r="P308">
        <v>295633</v>
      </c>
      <c r="Q308" t="str">
        <v>131.28</v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308</v>
      </c>
      <c r="B309" t="str">
        <v>MASS BSF</v>
      </c>
      <c r="C309" t="str">
        <v>C6E-921</v>
      </c>
      <c r="D309" t="str">
        <v>C6E-921</v>
      </c>
      <c r="E309" t="str">
        <v/>
      </c>
      <c r="F309" t="str">
        <v>867806078831353</v>
      </c>
      <c r="G309" t="str">
        <v>TBD</v>
      </c>
      <c r="H309" t="str">
        <v/>
      </c>
      <c r="I309" t="str">
        <v>28/09/2026</v>
      </c>
      <c r="J309" t="str">
        <v>15:47:36</v>
      </c>
      <c r="K309">
        <v>-12.31779</v>
      </c>
      <c r="L309">
        <v>-76.824165</v>
      </c>
      <c r="M309">
        <f>HYPERLINK("https://www.google.com/maps/search/?api=1&amp;query=-12.31779,-76.824165","Punta Hermosa, Lima")</f>
      </c>
      <c r="N309">
        <v>0</v>
      </c>
      <c r="O309">
        <v>66</v>
      </c>
      <c r="P309">
        <v>295633</v>
      </c>
      <c r="Q309" t="str">
        <v>131.28</v>
      </c>
      <c r="R309" t="str">
        <v>Inicio de ralentí</v>
      </c>
      <c r="S309" t="str">
        <v/>
      </c>
      <c r="T309" t="str">
        <v/>
      </c>
      <c r="U309" t="str">
        <v/>
      </c>
    </row>
    <row r="310">
      <c r="A310" t="str">
        <v>309</v>
      </c>
      <c r="B310" t="str">
        <v>MASS BSF</v>
      </c>
      <c r="C310" t="str">
        <v>C6E-921</v>
      </c>
      <c r="D310" t="str">
        <v>C6E-921</v>
      </c>
      <c r="E310" t="str">
        <v/>
      </c>
      <c r="F310" t="str">
        <v>867806078831353</v>
      </c>
      <c r="G310" t="str">
        <v>TBD</v>
      </c>
      <c r="H310" t="str">
        <v/>
      </c>
      <c r="I310" t="str">
        <v>28/09/2026</v>
      </c>
      <c r="J310" t="str">
        <v>15:48:14</v>
      </c>
      <c r="K310">
        <v>-12.317786</v>
      </c>
      <c r="L310">
        <v>-76.824165</v>
      </c>
      <c r="M310">
        <f>HYPERLINK("https://www.google.com/maps/search/?api=1&amp;query=-12.317786,-76.824165","Punta Hermosa, Lima")</f>
      </c>
      <c r="N310">
        <v>0</v>
      </c>
      <c r="O310">
        <v>66</v>
      </c>
      <c r="P310">
        <v>295633</v>
      </c>
      <c r="Q310" t="str">
        <v>131.28</v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310</v>
      </c>
      <c r="B311" t="str">
        <v>MASS BSF</v>
      </c>
      <c r="C311" t="str">
        <v>C6E-921</v>
      </c>
      <c r="D311" t="str">
        <v>C6E-921</v>
      </c>
      <c r="E311" t="str">
        <v/>
      </c>
      <c r="F311" t="str">
        <v>867806078831353</v>
      </c>
      <c r="G311" t="str">
        <v>TBD</v>
      </c>
      <c r="H311" t="str">
        <v/>
      </c>
      <c r="I311" t="str">
        <v>28/09/2026</v>
      </c>
      <c r="J311" t="str">
        <v>15:48:18</v>
      </c>
      <c r="K311">
        <v>-12.317786</v>
      </c>
      <c r="L311">
        <v>-76.824165</v>
      </c>
      <c r="M311">
        <f>HYPERLINK("https://www.google.com/maps/search/?api=1&amp;query=-12.317786,-76.824165","Punta Hermosa, Lima")</f>
      </c>
      <c r="N311">
        <v>0</v>
      </c>
      <c r="O311">
        <v>66</v>
      </c>
      <c r="P311">
        <v>295633</v>
      </c>
      <c r="Q311" t="str">
        <v>131.35</v>
      </c>
      <c r="R311" t="str">
        <v>Vehículo apagado</v>
      </c>
      <c r="S311" t="str">
        <v/>
      </c>
      <c r="T311" t="str">
        <v/>
      </c>
      <c r="U311" t="str">
        <v/>
      </c>
    </row>
    <row r="312">
      <c r="A312" t="str">
        <v>311</v>
      </c>
      <c r="B312" t="str">
        <v>MASS BSF</v>
      </c>
      <c r="C312" t="str">
        <v>C6E-921</v>
      </c>
      <c r="D312" t="str">
        <v>C6E-921</v>
      </c>
      <c r="E312" t="str">
        <v/>
      </c>
      <c r="F312" t="str">
        <v>867806078831353</v>
      </c>
      <c r="G312" t="str">
        <v>TBD</v>
      </c>
      <c r="H312" t="str">
        <v/>
      </c>
      <c r="I312" t="str">
        <v>28/09/2026</v>
      </c>
      <c r="J312" t="str">
        <v>15:48:18</v>
      </c>
      <c r="K312">
        <v>-12.317786</v>
      </c>
      <c r="L312">
        <v>-76.824165</v>
      </c>
      <c r="M312">
        <f>HYPERLINK("https://www.google.com/maps/search/?api=1&amp;query=-12.317786,-76.824165","Punta Hermosa, Lima")</f>
      </c>
      <c r="N312">
        <v>0</v>
      </c>
      <c r="O312">
        <v>66</v>
      </c>
      <c r="P312">
        <v>295633</v>
      </c>
      <c r="Q312" t="str">
        <v>131.28</v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312</v>
      </c>
      <c r="B313" t="str">
        <v>MASS BSF</v>
      </c>
      <c r="C313" t="str">
        <v>C6E-921</v>
      </c>
      <c r="D313" t="str">
        <v>C6E-921</v>
      </c>
      <c r="E313" t="str">
        <v/>
      </c>
      <c r="F313" t="str">
        <v>867806078831353</v>
      </c>
      <c r="G313" t="str">
        <v>TBD</v>
      </c>
      <c r="H313" t="str">
        <v/>
      </c>
      <c r="I313" t="str">
        <v>28/09/2026</v>
      </c>
      <c r="J313" t="str">
        <v>15:48:18</v>
      </c>
      <c r="K313">
        <v>-12.317786</v>
      </c>
      <c r="L313">
        <v>-76.824165</v>
      </c>
      <c r="M313">
        <f>HYPERLINK("https://www.google.com/maps/search/?api=1&amp;query=-12.317786,-76.824165","Punta Hermosa, Lima")</f>
      </c>
      <c r="N313">
        <v>0</v>
      </c>
      <c r="O313">
        <v>66</v>
      </c>
      <c r="P313">
        <v>295633</v>
      </c>
      <c r="Q313" t="str">
        <v>131.28</v>
      </c>
      <c r="R313" t="str">
        <v>Fin de ralentí</v>
      </c>
      <c r="S313" t="str">
        <v/>
      </c>
      <c r="T313" t="str">
        <v/>
      </c>
      <c r="U313" t="str">
        <v/>
      </c>
    </row>
    <row r="314">
      <c r="A314" t="str">
        <v>313</v>
      </c>
      <c r="B314" t="str">
        <v>MASS BSF</v>
      </c>
      <c r="C314" t="str">
        <v>C6E-921</v>
      </c>
      <c r="D314" t="str">
        <v>C6E-921</v>
      </c>
      <c r="E314" t="str">
        <v/>
      </c>
      <c r="F314" t="str">
        <v>867806078831353</v>
      </c>
      <c r="G314" t="str">
        <v>TBD</v>
      </c>
      <c r="H314" t="str">
        <v/>
      </c>
      <c r="I314" t="str">
        <v>28/09/2026</v>
      </c>
      <c r="J314" t="str">
        <v>15:53:05</v>
      </c>
      <c r="K314">
        <v>-12.317779</v>
      </c>
      <c r="L314">
        <v>-76.824196</v>
      </c>
      <c r="M314">
        <f>HYPERLINK("https://www.google.com/maps/search/?api=1&amp;query=-12.317779,-76.824196","Punta Hermosa, Lima")</f>
      </c>
      <c r="N314">
        <v>0</v>
      </c>
      <c r="O314">
        <v>66</v>
      </c>
      <c r="P314">
        <v>295633</v>
      </c>
      <c r="Q314" t="str">
        <v>131.35</v>
      </c>
      <c r="R314" t="str">
        <v>Se detuvo</v>
      </c>
      <c r="S314" t="str">
        <v/>
      </c>
      <c r="T314" t="str">
        <v/>
      </c>
      <c r="U314" t="str">
        <v/>
      </c>
    </row>
    <row r="315">
      <c r="A315" t="str">
        <v>314</v>
      </c>
      <c r="B315" t="str">
        <v>MASS BSF</v>
      </c>
      <c r="C315" t="str">
        <v>C6E-921</v>
      </c>
      <c r="D315" t="str">
        <v>C6E-921</v>
      </c>
      <c r="E315" t="str">
        <v/>
      </c>
      <c r="F315" t="str">
        <v>867806078831353</v>
      </c>
      <c r="G315" t="str">
        <v>TBD</v>
      </c>
      <c r="H315" t="str">
        <v/>
      </c>
      <c r="I315" t="str">
        <v>28/09/2026</v>
      </c>
      <c r="J315" t="str">
        <v>15:58:18</v>
      </c>
      <c r="K315">
        <v>-12.317779</v>
      </c>
      <c r="L315">
        <v>-76.824196</v>
      </c>
      <c r="M315">
        <f>HYPERLINK("https://www.google.com/maps/search/?api=1&amp;query=-12.317779,-76.824196","Punta Hermosa, Lima")</f>
      </c>
      <c r="N315">
        <v>0</v>
      </c>
      <c r="O315">
        <v>66</v>
      </c>
      <c r="P315">
        <v>295633</v>
      </c>
      <c r="Q315" t="str">
        <v>131.35</v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315</v>
      </c>
      <c r="B316" t="str">
        <v>MASS BSF</v>
      </c>
      <c r="C316" t="str">
        <v>C6E-921</v>
      </c>
      <c r="D316" t="str">
        <v>C6E-921</v>
      </c>
      <c r="E316" t="str">
        <v/>
      </c>
      <c r="F316" t="str">
        <v>867806078831353</v>
      </c>
      <c r="G316" t="str">
        <v>TBD</v>
      </c>
      <c r="H316" t="str">
        <v/>
      </c>
      <c r="I316" t="str">
        <v>28/09/2026</v>
      </c>
      <c r="J316" t="str">
        <v>15:58:46</v>
      </c>
      <c r="K316">
        <v>-12.317779</v>
      </c>
      <c r="L316">
        <v>-76.824196</v>
      </c>
      <c r="M316">
        <f>HYPERLINK("https://www.google.com/maps/search/?api=1&amp;query=-12.317779,-76.824196","Punta Hermosa, Lima")</f>
      </c>
      <c r="N316">
        <v>0</v>
      </c>
      <c r="O316">
        <v>66</v>
      </c>
      <c r="P316">
        <v>295633</v>
      </c>
      <c r="Q316" t="str">
        <v>131.35</v>
      </c>
      <c r="R316" t="str">
        <v>Encendido o Entró en cobertura</v>
      </c>
      <c r="S316" t="str">
        <v/>
      </c>
      <c r="T316" t="str">
        <v/>
      </c>
      <c r="U316" t="str">
        <v/>
      </c>
    </row>
    <row r="317">
      <c r="A317" t="str">
        <v>316</v>
      </c>
      <c r="B317" t="str">
        <v>MASS BSF</v>
      </c>
      <c r="C317" t="str">
        <v>C6E-921</v>
      </c>
      <c r="D317" t="str">
        <v>C6E-921</v>
      </c>
      <c r="E317" t="str">
        <v/>
      </c>
      <c r="F317" t="str">
        <v>867806078831353</v>
      </c>
      <c r="G317" t="str">
        <v>TBD</v>
      </c>
      <c r="H317" t="str">
        <v/>
      </c>
      <c r="I317" t="str">
        <v>28/09/2026</v>
      </c>
      <c r="J317" t="str">
        <v>16:08:18</v>
      </c>
      <c r="K317">
        <v>-12.317779</v>
      </c>
      <c r="L317">
        <v>-76.824196</v>
      </c>
      <c r="M317">
        <f>HYPERLINK("https://www.google.com/maps/search/?api=1&amp;query=-12.317779,-76.824196","Punta Hermosa, Lima")</f>
      </c>
      <c r="N317">
        <v>0</v>
      </c>
      <c r="O317">
        <v>66</v>
      </c>
      <c r="P317">
        <v>295633</v>
      </c>
      <c r="Q317" t="str">
        <v>131.35</v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317</v>
      </c>
      <c r="B318" t="str">
        <v>MASS BSF</v>
      </c>
      <c r="C318" t="str">
        <v>C6E-921</v>
      </c>
      <c r="D318" t="str">
        <v>C6E-921</v>
      </c>
      <c r="E318" t="str">
        <v/>
      </c>
      <c r="F318" t="str">
        <v>867806078831353</v>
      </c>
      <c r="G318" t="str">
        <v>TBD</v>
      </c>
      <c r="H318" t="str">
        <v/>
      </c>
      <c r="I318" t="str">
        <v>28/09/2026</v>
      </c>
      <c r="J318" t="str">
        <v>16:18:18</v>
      </c>
      <c r="K318">
        <v>-12.317779</v>
      </c>
      <c r="L318">
        <v>-76.824196</v>
      </c>
      <c r="M318">
        <f>HYPERLINK("https://www.google.com/maps/search/?api=1&amp;query=-12.317779,-76.824196","Punta Hermosa, Lima")</f>
      </c>
      <c r="N318">
        <v>0</v>
      </c>
      <c r="O318">
        <v>66</v>
      </c>
      <c r="P318">
        <v>295633</v>
      </c>
      <c r="Q318" t="str">
        <v>131.35</v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318</v>
      </c>
      <c r="B319" t="str">
        <v>MASS BSF</v>
      </c>
      <c r="C319" t="str">
        <v>C6E-921</v>
      </c>
      <c r="D319" t="str">
        <v>C6E-921</v>
      </c>
      <c r="E319" t="str">
        <v/>
      </c>
      <c r="F319" t="str">
        <v>867806078831353</v>
      </c>
      <c r="G319" t="str">
        <v>TBD</v>
      </c>
      <c r="H319" t="str">
        <v/>
      </c>
      <c r="I319" t="str">
        <v>28/09/2026</v>
      </c>
      <c r="J319" t="str">
        <v>16:28:18</v>
      </c>
      <c r="K319">
        <v>-12.317779</v>
      </c>
      <c r="L319">
        <v>-76.824196</v>
      </c>
      <c r="M319">
        <f>HYPERLINK("https://www.google.com/maps/search/?api=1&amp;query=-12.317779,-76.824196","Punta Hermosa, Lima")</f>
      </c>
      <c r="N319">
        <v>0</v>
      </c>
      <c r="O319">
        <v>66</v>
      </c>
      <c r="P319">
        <v>295633</v>
      </c>
      <c r="Q319" t="str">
        <v>131.35</v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319</v>
      </c>
      <c r="B320" t="str">
        <v>MASS BSF</v>
      </c>
      <c r="C320" t="str">
        <v>C6E-921</v>
      </c>
      <c r="D320" t="str">
        <v>C6E-921</v>
      </c>
      <c r="E320" t="str">
        <v/>
      </c>
      <c r="F320" t="str">
        <v>867806078831353</v>
      </c>
      <c r="G320" t="str">
        <v>TBD</v>
      </c>
      <c r="H320" t="str">
        <v/>
      </c>
      <c r="I320" t="str">
        <v>28/09/2026</v>
      </c>
      <c r="J320" t="str">
        <v>16:33:36</v>
      </c>
      <c r="K320">
        <v>-12.317781</v>
      </c>
      <c r="L320">
        <v>-76.82421</v>
      </c>
      <c r="M320">
        <f>HYPERLINK("https://www.google.com/maps/search/?api=1&amp;query=-12.317781,-76.82421","Punta Hermosa, Lima")</f>
      </c>
      <c r="N320">
        <v>0</v>
      </c>
      <c r="O320">
        <v>66</v>
      </c>
      <c r="P320">
        <v>295633</v>
      </c>
      <c r="Q320" t="str">
        <v>131.35</v>
      </c>
      <c r="R320" t="str">
        <v>Vehículo encendido</v>
      </c>
      <c r="S320" t="str">
        <v/>
      </c>
      <c r="T320" t="str">
        <v/>
      </c>
      <c r="U320" t="str">
        <v/>
      </c>
    </row>
    <row r="321">
      <c r="A321" t="str">
        <v>320</v>
      </c>
      <c r="B321" t="str">
        <v>MASS BSF</v>
      </c>
      <c r="C321" t="str">
        <v>C6E-921</v>
      </c>
      <c r="D321" t="str">
        <v>C6E-921</v>
      </c>
      <c r="E321" t="str">
        <v/>
      </c>
      <c r="F321" t="str">
        <v>867806078831353</v>
      </c>
      <c r="G321" t="str">
        <v>TBD</v>
      </c>
      <c r="H321" t="str">
        <v/>
      </c>
      <c r="I321" t="str">
        <v>28/09/2026</v>
      </c>
      <c r="J321" t="str">
        <v>16:33:51</v>
      </c>
      <c r="K321">
        <v>-12.317785</v>
      </c>
      <c r="L321">
        <v>-76.82421</v>
      </c>
      <c r="M321">
        <f>HYPERLINK("https://www.google.com/maps/search/?api=1&amp;query=-12.317785,-76.82421","Punta Hermosa, Lima")</f>
      </c>
      <c r="N321">
        <v>2.4</v>
      </c>
      <c r="O321">
        <v>66</v>
      </c>
      <c r="P321">
        <v>295633</v>
      </c>
      <c r="Q321" t="str">
        <v>131.35</v>
      </c>
      <c r="R321" t="str">
        <v/>
      </c>
      <c r="S321" t="str">
        <v/>
      </c>
      <c r="T321" t="str">
        <v/>
      </c>
      <c r="U321" t="str">
        <v/>
      </c>
    </row>
    <row r="322">
      <c r="A322" t="str">
        <v>321</v>
      </c>
      <c r="B322" t="str">
        <v>MASS BSF</v>
      </c>
      <c r="C322" t="str">
        <v>C6E-921</v>
      </c>
      <c r="D322" t="str">
        <v>C6E-921</v>
      </c>
      <c r="E322" t="str">
        <v/>
      </c>
      <c r="F322" t="str">
        <v>867806078831353</v>
      </c>
      <c r="G322" t="str">
        <v>TBD</v>
      </c>
      <c r="H322" t="str">
        <v/>
      </c>
      <c r="I322" t="str">
        <v>28/09/2026</v>
      </c>
      <c r="J322" t="str">
        <v>16:33:58</v>
      </c>
      <c r="K322">
        <v>-12.317785</v>
      </c>
      <c r="L322">
        <v>-76.82428</v>
      </c>
      <c r="M322">
        <f>HYPERLINK("https://www.google.com/maps/search/?api=1&amp;query=-12.317785,-76.82428","Punta Hermosa, Lima")</f>
      </c>
      <c r="N322">
        <v>5.7</v>
      </c>
      <c r="O322">
        <v>66</v>
      </c>
      <c r="P322">
        <v>295633</v>
      </c>
      <c r="Q322" t="str">
        <v>131.35</v>
      </c>
      <c r="R322" t="str">
        <v/>
      </c>
      <c r="S322" t="str">
        <v/>
      </c>
      <c r="T322" t="str">
        <v/>
      </c>
      <c r="U322" t="str">
        <v/>
      </c>
    </row>
    <row r="323">
      <c r="A323" t="str">
        <v>322</v>
      </c>
      <c r="B323" t="str">
        <v>MASS BSF</v>
      </c>
      <c r="C323" t="str">
        <v>C6E-921</v>
      </c>
      <c r="D323" t="str">
        <v>C6E-921</v>
      </c>
      <c r="E323" t="str">
        <v/>
      </c>
      <c r="F323" t="str">
        <v>867806078831353</v>
      </c>
      <c r="G323" t="str">
        <v>TBD</v>
      </c>
      <c r="H323" t="str">
        <v/>
      </c>
      <c r="I323" t="str">
        <v>28/09/2026</v>
      </c>
      <c r="J323" t="str">
        <v>16:34:03</v>
      </c>
      <c r="K323">
        <v>-12.317732</v>
      </c>
      <c r="L323">
        <v>-76.82435</v>
      </c>
      <c r="M323">
        <f>HYPERLINK("https://www.google.com/maps/search/?api=1&amp;query=-12.317732,-76.82435","Punta Hermosa, Lima")</f>
      </c>
      <c r="N323">
        <v>7</v>
      </c>
      <c r="O323">
        <v>66</v>
      </c>
      <c r="P323">
        <v>295633</v>
      </c>
      <c r="Q323" t="str">
        <v>131.35</v>
      </c>
      <c r="R323" t="str">
        <v/>
      </c>
      <c r="S323" t="str">
        <v/>
      </c>
      <c r="T323" t="str">
        <v/>
      </c>
      <c r="U323" t="str">
        <v/>
      </c>
    </row>
    <row r="324">
      <c r="A324" t="str">
        <v>323</v>
      </c>
      <c r="B324" t="str">
        <v>MASS BSF</v>
      </c>
      <c r="C324" t="str">
        <v>C6E-921</v>
      </c>
      <c r="D324" t="str">
        <v>C6E-921</v>
      </c>
      <c r="E324" t="str">
        <v/>
      </c>
      <c r="F324" t="str">
        <v>867806078831353</v>
      </c>
      <c r="G324" t="str">
        <v>TBD</v>
      </c>
      <c r="H324" t="str">
        <v/>
      </c>
      <c r="I324" t="str">
        <v>28/09/2026</v>
      </c>
      <c r="J324" t="str">
        <v>16:35:03</v>
      </c>
      <c r="K324">
        <v>-12.316377</v>
      </c>
      <c r="L324">
        <v>-76.82523</v>
      </c>
      <c r="M324">
        <f>HYPERLINK("https://www.google.com/maps/search/?api=1&amp;query=-12.316377,-76.82523","Punta Hermosa, Lima")</f>
      </c>
      <c r="N324">
        <v>12</v>
      </c>
      <c r="O324">
        <v>66</v>
      </c>
      <c r="P324">
        <v>295633.2</v>
      </c>
      <c r="Q324" t="str">
        <v>131.35</v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324</v>
      </c>
      <c r="B325" t="str">
        <v>MASS BSF</v>
      </c>
      <c r="C325" t="str">
        <v>C6E-921</v>
      </c>
      <c r="D325" t="str">
        <v>C6E-921</v>
      </c>
      <c r="E325" t="str">
        <v/>
      </c>
      <c r="F325" t="str">
        <v>867806078831353</v>
      </c>
      <c r="G325" t="str">
        <v>TBD</v>
      </c>
      <c r="H325" t="str">
        <v/>
      </c>
      <c r="I325" t="str">
        <v>28/09/2026</v>
      </c>
      <c r="J325" t="str">
        <v>16:35:37</v>
      </c>
      <c r="K325">
        <v>-12.31533</v>
      </c>
      <c r="L325">
        <v>-76.8259</v>
      </c>
      <c r="M325">
        <f>HYPERLINK("https://www.google.com/maps/search/?api=1&amp;query=-12.31533,-76.8259","Punta Hermosa, Lima")</f>
      </c>
      <c r="N325">
        <v>9.4</v>
      </c>
      <c r="O325">
        <v>66</v>
      </c>
      <c r="P325">
        <v>295633.3</v>
      </c>
      <c r="Q325" t="str">
        <v>131.35</v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325</v>
      </c>
      <c r="B326" t="str">
        <v>MASS BSF</v>
      </c>
      <c r="C326" t="str">
        <v>C6E-921</v>
      </c>
      <c r="D326" t="str">
        <v>C6E-921</v>
      </c>
      <c r="E326" t="str">
        <v/>
      </c>
      <c r="F326" t="str">
        <v>867806078831353</v>
      </c>
      <c r="G326" t="str">
        <v>TBD</v>
      </c>
      <c r="H326" t="str">
        <v/>
      </c>
      <c r="I326" t="str">
        <v>28/09/2026</v>
      </c>
      <c r="J326" t="str">
        <v>16:35:42</v>
      </c>
      <c r="K326">
        <v>-12.315295</v>
      </c>
      <c r="L326">
        <v>-76.82602</v>
      </c>
      <c r="M326">
        <f>HYPERLINK("https://www.google.com/maps/search/?api=1&amp;query=-12.315295,-76.82602","Punta Hermosa, Lima")</f>
      </c>
      <c r="N326">
        <v>11.8</v>
      </c>
      <c r="O326">
        <v>66</v>
      </c>
      <c r="P326">
        <v>295633.34</v>
      </c>
      <c r="Q326" t="str">
        <v>131.35</v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326</v>
      </c>
      <c r="B327" t="str">
        <v>MASS BSF</v>
      </c>
      <c r="C327" t="str">
        <v>C6E-921</v>
      </c>
      <c r="D327" t="str">
        <v>C6E-921</v>
      </c>
      <c r="E327" t="str">
        <v/>
      </c>
      <c r="F327" t="str">
        <v>867806078831353</v>
      </c>
      <c r="G327" t="str">
        <v>TBD</v>
      </c>
      <c r="H327" t="str">
        <v/>
      </c>
      <c r="I327" t="str">
        <v>28/09/2026</v>
      </c>
      <c r="J327" t="str">
        <v>16:35:47</v>
      </c>
      <c r="K327">
        <v>-12.31535</v>
      </c>
      <c r="L327">
        <v>-76.82615</v>
      </c>
      <c r="M327">
        <f>HYPERLINK("https://www.google.com/maps/search/?api=1&amp;query=-12.31535,-76.82615","Punta Hermosa, Lima")</f>
      </c>
      <c r="N327">
        <v>10.3</v>
      </c>
      <c r="O327">
        <v>66</v>
      </c>
      <c r="P327">
        <v>295633.34</v>
      </c>
      <c r="Q327" t="str">
        <v>131.35</v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327</v>
      </c>
      <c r="B328" t="str">
        <v>MASS BSF</v>
      </c>
      <c r="C328" t="str">
        <v>C6E-921</v>
      </c>
      <c r="D328" t="str">
        <v>C6E-921</v>
      </c>
      <c r="E328" t="str">
        <v/>
      </c>
      <c r="F328" t="str">
        <v>867806078831353</v>
      </c>
      <c r="G328" t="str">
        <v>TBD</v>
      </c>
      <c r="H328" t="str">
        <v/>
      </c>
      <c r="I328" t="str">
        <v>28/09/2026</v>
      </c>
      <c r="J328" t="str">
        <v>16:36:47</v>
      </c>
      <c r="K328">
        <v>-12.316415</v>
      </c>
      <c r="L328">
        <v>-76.827835</v>
      </c>
      <c r="M328">
        <f>HYPERLINK("https://www.google.com/maps/search/?api=1&amp;query=-12.316415,-76.827835","Punta Hermosa, Lima")</f>
      </c>
      <c r="N328">
        <v>11.8</v>
      </c>
      <c r="O328">
        <v>71</v>
      </c>
      <c r="P328">
        <v>295633.56</v>
      </c>
      <c r="Q328" t="str">
        <v>131.35</v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328</v>
      </c>
      <c r="B329" t="str">
        <v>MASS BSF</v>
      </c>
      <c r="C329" t="str">
        <v>C6E-921</v>
      </c>
      <c r="D329" t="str">
        <v>C6E-921</v>
      </c>
      <c r="E329" t="str">
        <v/>
      </c>
      <c r="F329" t="str">
        <v>867806078831353</v>
      </c>
      <c r="G329" t="str">
        <v>TBD</v>
      </c>
      <c r="H329" t="str">
        <v/>
      </c>
      <c r="I329" t="str">
        <v>28/09/2026</v>
      </c>
      <c r="J329" t="str">
        <v>16:37:47</v>
      </c>
      <c r="K329">
        <v>-12.317213</v>
      </c>
      <c r="L329">
        <v>-76.82917</v>
      </c>
      <c r="M329">
        <f>HYPERLINK("https://www.google.com/maps/search/?api=1&amp;query=-12.317213,-76.82917","Punta Hermosa, Lima")</f>
      </c>
      <c r="N329">
        <v>1.6</v>
      </c>
      <c r="O329">
        <v>71</v>
      </c>
      <c r="P329">
        <v>295633.71</v>
      </c>
      <c r="Q329" t="str">
        <v>131.35</v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329</v>
      </c>
      <c r="B330" t="str">
        <v>MASS BSF</v>
      </c>
      <c r="C330" t="str">
        <v>C6E-921</v>
      </c>
      <c r="D330" t="str">
        <v>C6E-921</v>
      </c>
      <c r="E330" t="str">
        <v/>
      </c>
      <c r="F330" t="str">
        <v>867806078831353</v>
      </c>
      <c r="G330" t="str">
        <v>TBD</v>
      </c>
      <c r="H330" t="str">
        <v/>
      </c>
      <c r="I330" t="str">
        <v>28/09/2026</v>
      </c>
      <c r="J330" t="str">
        <v>16:38:26</v>
      </c>
      <c r="K330">
        <v>-12.317377</v>
      </c>
      <c r="L330">
        <v>-76.829414</v>
      </c>
      <c r="M330">
        <f>HYPERLINK("https://www.google.com/maps/search/?api=1&amp;query=-12.317377,-76.829414","Punta Hermosa, Lima")</f>
      </c>
      <c r="N330">
        <v>5.7</v>
      </c>
      <c r="O330">
        <v>71</v>
      </c>
      <c r="P330">
        <v>295633.75</v>
      </c>
      <c r="Q330" t="str">
        <v>131.35</v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330</v>
      </c>
      <c r="B331" t="str">
        <v>MASS BSF</v>
      </c>
      <c r="C331" t="str">
        <v>C6E-921</v>
      </c>
      <c r="D331" t="str">
        <v>C6E-921</v>
      </c>
      <c r="E331" t="str">
        <v/>
      </c>
      <c r="F331" t="str">
        <v>867806078831353</v>
      </c>
      <c r="G331" t="str">
        <v>TBD</v>
      </c>
      <c r="H331" t="str">
        <v/>
      </c>
      <c r="I331" t="str">
        <v>28/09/2026</v>
      </c>
      <c r="J331" t="str">
        <v>16:38:31</v>
      </c>
      <c r="K331">
        <v>-12.317418</v>
      </c>
      <c r="L331">
        <v>-76.82948</v>
      </c>
      <c r="M331">
        <f>HYPERLINK("https://www.google.com/maps/search/?api=1&amp;query=-12.317418,-76.82948","Punta Hermosa, Lima")</f>
      </c>
      <c r="N331">
        <v>5.9</v>
      </c>
      <c r="O331">
        <v>80</v>
      </c>
      <c r="P331">
        <v>295633.75</v>
      </c>
      <c r="Q331" t="str">
        <v>131.35</v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331</v>
      </c>
      <c r="B332" t="str">
        <v>MASS BSF</v>
      </c>
      <c r="C332" t="str">
        <v>C6E-921</v>
      </c>
      <c r="D332" t="str">
        <v>C6E-921</v>
      </c>
      <c r="E332" t="str">
        <v/>
      </c>
      <c r="F332" t="str">
        <v>867806078831353</v>
      </c>
      <c r="G332" t="str">
        <v>TBD</v>
      </c>
      <c r="H332" t="str">
        <v/>
      </c>
      <c r="I332" t="str">
        <v>28/09/2026</v>
      </c>
      <c r="J332" t="str">
        <v>16:39:07</v>
      </c>
      <c r="K332">
        <v>-12.317552</v>
      </c>
      <c r="L332">
        <v>-76.82976</v>
      </c>
      <c r="M332">
        <f>HYPERLINK("https://www.google.com/maps/search/?api=1&amp;query=-12.317552,-76.82976","Punta Hermosa, Lima")</f>
      </c>
      <c r="N332">
        <v>12</v>
      </c>
      <c r="O332">
        <v>80</v>
      </c>
      <c r="P332">
        <v>295633.78</v>
      </c>
      <c r="Q332" t="str">
        <v>131.35</v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332</v>
      </c>
      <c r="B333" t="str">
        <v>MASS BSF</v>
      </c>
      <c r="C333" t="str">
        <v>C6E-921</v>
      </c>
      <c r="D333" t="str">
        <v>C6E-921</v>
      </c>
      <c r="E333" t="str">
        <v/>
      </c>
      <c r="F333" t="str">
        <v>867806078831353</v>
      </c>
      <c r="G333" t="str">
        <v>TBD</v>
      </c>
      <c r="H333" t="str">
        <v/>
      </c>
      <c r="I333" t="str">
        <v>28/09/2026</v>
      </c>
      <c r="J333" t="str">
        <v>16:39:07</v>
      </c>
      <c r="K333">
        <v>-12.317552</v>
      </c>
      <c r="L333">
        <v>-76.82976</v>
      </c>
      <c r="M333">
        <f>HYPERLINK("https://www.google.com/maps/search/?api=1&amp;query=-12.317552,-76.82976","Punta Hermosa, Lima")</f>
      </c>
      <c r="N333">
        <v>12</v>
      </c>
      <c r="O333">
        <v>80</v>
      </c>
      <c r="P333">
        <v>295633.78</v>
      </c>
      <c r="Q333" t="str">
        <v>136.02</v>
      </c>
      <c r="R333" t="str">
        <v>Salió de zona</v>
      </c>
      <c r="S333" t="str">
        <v>MASS BSF 1</v>
      </c>
      <c r="T333" t="str">
        <v xml:space="preserve"> </v>
      </c>
      <c r="U333" t="str">
        <v/>
      </c>
    </row>
    <row r="334">
      <c r="A334" t="str">
        <v>333</v>
      </c>
      <c r="B334" t="str">
        <v>MASS BSF</v>
      </c>
      <c r="C334" t="str">
        <v>C6E-921</v>
      </c>
      <c r="D334" t="str">
        <v>C6E-921</v>
      </c>
      <c r="E334" t="str">
        <v/>
      </c>
      <c r="F334" t="str">
        <v>867806078831353</v>
      </c>
      <c r="G334" t="str">
        <v>TBD</v>
      </c>
      <c r="H334" t="str">
        <v/>
      </c>
      <c r="I334" t="str">
        <v>28/09/2026</v>
      </c>
      <c r="J334" t="str">
        <v>16:39:12</v>
      </c>
      <c r="K334">
        <v>-12.317563</v>
      </c>
      <c r="L334">
        <v>-76.829926</v>
      </c>
      <c r="M334">
        <f>HYPERLINK("https://www.google.com/maps/search/?api=1&amp;query=-12.317563,-76.829926","Punta Hermosa, Lima")</f>
      </c>
      <c r="N334">
        <v>14.4</v>
      </c>
      <c r="O334">
        <v>80</v>
      </c>
      <c r="P334">
        <v>295633.8</v>
      </c>
      <c r="Q334" t="str">
        <v>131.35</v>
      </c>
      <c r="R334" t="str">
        <v/>
      </c>
      <c r="S334" t="str">
        <v/>
      </c>
      <c r="T334" t="str">
        <v/>
      </c>
      <c r="U334" t="str">
        <v/>
      </c>
    </row>
    <row r="335">
      <c r="A335" t="str">
        <v>334</v>
      </c>
      <c r="B335" t="str">
        <v>MASS BSF</v>
      </c>
      <c r="C335" t="str">
        <v>C6E-921</v>
      </c>
      <c r="D335" t="str">
        <v>C6E-921</v>
      </c>
      <c r="E335" t="str">
        <v/>
      </c>
      <c r="F335" t="str">
        <v>867806078831353</v>
      </c>
      <c r="G335" t="str">
        <v>TBD</v>
      </c>
      <c r="H335" t="str">
        <v/>
      </c>
      <c r="I335" t="str">
        <v>28/09/2026</v>
      </c>
      <c r="J335" t="str">
        <v>16:39:17</v>
      </c>
      <c r="K335">
        <v>-12.317518</v>
      </c>
      <c r="L335">
        <v>-76.83013</v>
      </c>
      <c r="M335">
        <f>HYPERLINK("https://www.google.com/maps/search/?api=1&amp;query=-12.317518,-76.83013","Carretera Panamericana Sur, Punta Hermosa, Lima")</f>
      </c>
      <c r="N335">
        <v>19.6</v>
      </c>
      <c r="O335">
        <v>80</v>
      </c>
      <c r="P335">
        <v>295633.84</v>
      </c>
      <c r="Q335" t="str">
        <v>131.35</v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335</v>
      </c>
      <c r="B336" t="str">
        <v>MASS BSF</v>
      </c>
      <c r="C336" t="str">
        <v>C6E-921</v>
      </c>
      <c r="D336" t="str">
        <v>C6E-921</v>
      </c>
      <c r="E336" t="str">
        <v/>
      </c>
      <c r="F336" t="str">
        <v>867806078831353</v>
      </c>
      <c r="G336" t="str">
        <v>TBD</v>
      </c>
      <c r="H336" t="str">
        <v/>
      </c>
      <c r="I336" t="str">
        <v>28/09/2026</v>
      </c>
      <c r="J336" t="str">
        <v>16:39:22</v>
      </c>
      <c r="K336">
        <v>-12.317347</v>
      </c>
      <c r="L336">
        <v>-76.83037</v>
      </c>
      <c r="M336">
        <f>HYPERLINK("https://www.google.com/maps/search/?api=1&amp;query=-12.317347,-76.83037","Carretera Panamericana Sur, Punta Hermosa, Lima")</f>
      </c>
      <c r="N336">
        <v>25.3</v>
      </c>
      <c r="O336">
        <v>83</v>
      </c>
      <c r="P336">
        <v>295633.88</v>
      </c>
      <c r="Q336" t="str">
        <v>131.35</v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336</v>
      </c>
      <c r="B337" t="str">
        <v>MASS BSF</v>
      </c>
      <c r="C337" t="str">
        <v>C6E-921</v>
      </c>
      <c r="D337" t="str">
        <v>C6E-921</v>
      </c>
      <c r="E337" t="str">
        <v/>
      </c>
      <c r="F337" t="str">
        <v>867806078831353</v>
      </c>
      <c r="G337" t="str">
        <v>TBD</v>
      </c>
      <c r="H337" t="str">
        <v/>
      </c>
      <c r="I337" t="str">
        <v>28/09/2026</v>
      </c>
      <c r="J337" t="str">
        <v>16:39:36</v>
      </c>
      <c r="K337">
        <v>-12.316648</v>
      </c>
      <c r="L337">
        <v>-76.831</v>
      </c>
      <c r="M337">
        <f>HYPERLINK("https://www.google.com/maps/search/?api=1&amp;query=-12.316648,-76.831","Carretera Panamericana Sur, Punta Hermosa, Lima")</f>
      </c>
      <c r="N337">
        <v>27.7</v>
      </c>
      <c r="O337">
        <v>84</v>
      </c>
      <c r="P337">
        <v>295633.96</v>
      </c>
      <c r="Q337" t="str">
        <v>131.35</v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337</v>
      </c>
      <c r="B338" t="str">
        <v>MASS BSF</v>
      </c>
      <c r="C338" t="str">
        <v>C6E-921</v>
      </c>
      <c r="D338" t="str">
        <v>C6E-921</v>
      </c>
      <c r="E338" t="str">
        <v/>
      </c>
      <c r="F338" t="str">
        <v>867806078831353</v>
      </c>
      <c r="G338" t="str">
        <v>TBD</v>
      </c>
      <c r="H338" t="str">
        <v/>
      </c>
      <c r="I338" t="str">
        <v>28/09/2026</v>
      </c>
      <c r="J338" t="str">
        <v>16:40:33</v>
      </c>
      <c r="K338">
        <v>-12.31101</v>
      </c>
      <c r="L338">
        <v>-76.83481</v>
      </c>
      <c r="M338">
        <f>HYPERLINK("https://www.google.com/maps/search/?api=1&amp;query=-12.31101,-76.83481","Carretera Panamericana Sur, Punta Hermosa, Lima")</f>
      </c>
      <c r="N338">
        <v>58.5</v>
      </c>
      <c r="O338">
        <v>84</v>
      </c>
      <c r="P338">
        <v>295634.71</v>
      </c>
      <c r="Q338" t="str">
        <v>131.35</v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338</v>
      </c>
      <c r="B339" t="str">
        <v>MASS BSF</v>
      </c>
      <c r="C339" t="str">
        <v>C6E-921</v>
      </c>
      <c r="D339" t="str">
        <v>C6E-921</v>
      </c>
      <c r="E339" t="str">
        <v/>
      </c>
      <c r="F339" t="str">
        <v>867806078831353</v>
      </c>
      <c r="G339" t="str">
        <v>TBD</v>
      </c>
      <c r="H339" t="str">
        <v/>
      </c>
      <c r="I339" t="str">
        <v>28/09/2026</v>
      </c>
      <c r="J339" t="str">
        <v>16:41:11</v>
      </c>
      <c r="K339">
        <v>-12.306374</v>
      </c>
      <c r="L339">
        <v>-76.83819</v>
      </c>
      <c r="M339">
        <f>HYPERLINK("https://www.google.com/maps/search/?api=1&amp;query=-12.306374,-76.83819","Carretera Panamericana Sur, Punta Hermosa, Lima")</f>
      </c>
      <c r="N339">
        <v>59.4</v>
      </c>
      <c r="O339">
        <v>75</v>
      </c>
      <c r="P339">
        <v>295635.34</v>
      </c>
      <c r="Q339" t="str">
        <v>131.35</v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339</v>
      </c>
      <c r="B340" t="str">
        <v>MASS BSF</v>
      </c>
      <c r="C340" t="str">
        <v>C6E-921</v>
      </c>
      <c r="D340" t="str">
        <v>C6E-921</v>
      </c>
      <c r="E340" t="str">
        <v/>
      </c>
      <c r="F340" t="str">
        <v>867806078831353</v>
      </c>
      <c r="G340" t="str">
        <v>TBD</v>
      </c>
      <c r="H340" t="str">
        <v/>
      </c>
      <c r="I340" t="str">
        <v>28/09/2026</v>
      </c>
      <c r="J340" t="str">
        <v>16:41:31</v>
      </c>
      <c r="K340">
        <v>-12.304283</v>
      </c>
      <c r="L340">
        <v>-76.840485</v>
      </c>
      <c r="M340">
        <f>HYPERLINK("https://www.google.com/maps/search/?api=1&amp;query=-12.304283,-76.840485","Carretera Panamericana Sur, Lurín, Lima")</f>
      </c>
      <c r="N340">
        <v>62.5</v>
      </c>
      <c r="O340">
        <v>75</v>
      </c>
      <c r="P340">
        <v>295635.7</v>
      </c>
      <c r="Q340" t="str">
        <v>131.35</v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340</v>
      </c>
      <c r="B341" t="str">
        <v>MASS BSF</v>
      </c>
      <c r="C341" t="str">
        <v>C6E-921</v>
      </c>
      <c r="D341" t="str">
        <v>C6E-921</v>
      </c>
      <c r="E341" t="str">
        <v/>
      </c>
      <c r="F341" t="str">
        <v>867806078831353</v>
      </c>
      <c r="G341" t="str">
        <v>TBD</v>
      </c>
      <c r="H341" t="str">
        <v/>
      </c>
      <c r="I341" t="str">
        <v>28/09/2026</v>
      </c>
      <c r="J341" t="str">
        <v>16:41:51</v>
      </c>
      <c r="K341">
        <v>-12.302545</v>
      </c>
      <c r="L341">
        <v>-76.84323</v>
      </c>
      <c r="M341">
        <f>HYPERLINK("https://www.google.com/maps/search/?api=1&amp;query=-12.302545,-76.84323","Carretera Panamericana Sur, Lurín, Lima")</f>
      </c>
      <c r="N341">
        <v>67.4</v>
      </c>
      <c r="O341">
        <v>75</v>
      </c>
      <c r="P341">
        <v>295636.03</v>
      </c>
      <c r="Q341" t="str">
        <v>131.35</v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341</v>
      </c>
      <c r="B342" t="str">
        <v>MASS BSF</v>
      </c>
      <c r="C342" t="str">
        <v>C6E-921</v>
      </c>
      <c r="D342" t="str">
        <v>C6E-921</v>
      </c>
      <c r="E342" t="str">
        <v/>
      </c>
      <c r="F342" t="str">
        <v>867806078831353</v>
      </c>
      <c r="G342" t="str">
        <v>TBD</v>
      </c>
      <c r="H342" t="str">
        <v/>
      </c>
      <c r="I342" t="str">
        <v>28/09/2026</v>
      </c>
      <c r="J342" t="str">
        <v>16:42:38</v>
      </c>
      <c r="K342">
        <v>-12.299335</v>
      </c>
      <c r="L342">
        <v>-76.85047</v>
      </c>
      <c r="M342">
        <f>HYPERLINK("https://www.google.com/maps/search/?api=1&amp;query=-12.299335,-76.85047","Carretera Panamericana Sur, Lurín, Lima")</f>
      </c>
      <c r="N342">
        <v>66.3</v>
      </c>
      <c r="O342">
        <v>75</v>
      </c>
      <c r="P342">
        <v>295636.88</v>
      </c>
      <c r="Q342" t="str">
        <v>131.35</v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342</v>
      </c>
      <c r="B343" t="str">
        <v>MASS BSF</v>
      </c>
      <c r="C343" t="str">
        <v>C6E-921</v>
      </c>
      <c r="D343" t="str">
        <v>C6E-921</v>
      </c>
      <c r="E343" t="str">
        <v/>
      </c>
      <c r="F343" t="str">
        <v>867806078831353</v>
      </c>
      <c r="G343" t="str">
        <v>TBD</v>
      </c>
      <c r="H343" t="str">
        <v/>
      </c>
      <c r="I343" t="str">
        <v>28/09/2026</v>
      </c>
      <c r="J343" t="str">
        <v>16:43:23</v>
      </c>
      <c r="K343">
        <v>-12.296132</v>
      </c>
      <c r="L343">
        <v>-76.85764</v>
      </c>
      <c r="M343">
        <f>HYPERLINK("https://www.google.com/maps/search/?api=1&amp;query=-12.296132,-76.85764","Carretera Panamericana Sur, Lurín, Lima")</f>
      </c>
      <c r="N343">
        <v>67.7</v>
      </c>
      <c r="O343">
        <v>75</v>
      </c>
      <c r="P343">
        <v>295637.75</v>
      </c>
      <c r="Q343" t="str">
        <v>131.35</v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343</v>
      </c>
      <c r="B344" t="str">
        <v>MASS BSF</v>
      </c>
      <c r="C344" t="str">
        <v>C6E-921</v>
      </c>
      <c r="D344" t="str">
        <v>C6E-921</v>
      </c>
      <c r="E344" t="str">
        <v/>
      </c>
      <c r="F344" t="str">
        <v>867806078831353</v>
      </c>
      <c r="G344" t="str">
        <v>TBD</v>
      </c>
      <c r="H344" t="str">
        <v/>
      </c>
      <c r="I344" t="str">
        <v>28/09/2026</v>
      </c>
      <c r="J344" t="str">
        <v>16:44:07</v>
      </c>
      <c r="K344">
        <v>-12.292176</v>
      </c>
      <c r="L344">
        <v>-76.86411</v>
      </c>
      <c r="M344">
        <f>HYPERLINK("https://www.google.com/maps/search/?api=1&amp;query=-12.292176,-76.86411","Carretera Panamericana Sur, Lurín, Lima")</f>
      </c>
      <c r="N344">
        <v>67.4</v>
      </c>
      <c r="O344">
        <v>76</v>
      </c>
      <c r="P344">
        <v>295638.56</v>
      </c>
      <c r="Q344" t="str">
        <v>131.35</v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344</v>
      </c>
      <c r="B345" t="str">
        <v>MASS BSF</v>
      </c>
      <c r="C345" t="str">
        <v>C6E-921</v>
      </c>
      <c r="D345" t="str">
        <v>C6E-921</v>
      </c>
      <c r="E345" t="str">
        <v/>
      </c>
      <c r="F345" t="str">
        <v>867806078831353</v>
      </c>
      <c r="G345" t="str">
        <v>TBD</v>
      </c>
      <c r="H345" t="str">
        <v/>
      </c>
      <c r="I345" t="str">
        <v>28/09/2026</v>
      </c>
      <c r="J345" t="str">
        <v>16:44:51</v>
      </c>
      <c r="K345">
        <v>-12.288152</v>
      </c>
      <c r="L345">
        <v>-76.870544</v>
      </c>
      <c r="M345">
        <f>HYPERLINK("https://www.google.com/maps/search/?api=1&amp;query=-12.288152,-76.870544","Carretera Panamericana Sur, Lurín, Lima")</f>
      </c>
      <c r="N345">
        <v>68.1</v>
      </c>
      <c r="O345">
        <v>76</v>
      </c>
      <c r="P345">
        <v>295639.4</v>
      </c>
      <c r="Q345" t="str">
        <v>131.35</v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345</v>
      </c>
      <c r="B346" t="str">
        <v>MASS BSF</v>
      </c>
      <c r="C346" t="str">
        <v>C6E-921</v>
      </c>
      <c r="D346" t="str">
        <v>C6E-921</v>
      </c>
      <c r="E346" t="str">
        <v/>
      </c>
      <c r="F346" t="str">
        <v>867806078831353</v>
      </c>
      <c r="G346" t="str">
        <v>TBD</v>
      </c>
      <c r="H346" t="str">
        <v/>
      </c>
      <c r="I346" t="str">
        <v>28/09/2026</v>
      </c>
      <c r="J346" t="str">
        <v>16:45:35</v>
      </c>
      <c r="K346">
        <v>-12.2841</v>
      </c>
      <c r="L346">
        <v>-76.877</v>
      </c>
      <c r="M346">
        <f>HYPERLINK("https://www.google.com/maps/search/?api=1&amp;query=-12.2841,-76.877","Carretera Panamericana Sur, Lurín, Lima")</f>
      </c>
      <c r="N346">
        <v>68.1</v>
      </c>
      <c r="O346">
        <v>76</v>
      </c>
      <c r="P346">
        <v>295640.21</v>
      </c>
      <c r="Q346" t="str">
        <v>131.35</v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346</v>
      </c>
      <c r="B347" t="str">
        <v>MASS BSF</v>
      </c>
      <c r="C347" t="str">
        <v>C6E-921</v>
      </c>
      <c r="D347" t="str">
        <v>C6E-921</v>
      </c>
      <c r="E347" t="str">
        <v/>
      </c>
      <c r="F347" t="str">
        <v>867806078831353</v>
      </c>
      <c r="G347" t="str">
        <v>TBD</v>
      </c>
      <c r="H347" t="str">
        <v/>
      </c>
      <c r="I347" t="str">
        <v>28/09/2026</v>
      </c>
      <c r="J347" t="str">
        <v>16:46:18</v>
      </c>
      <c r="K347">
        <v>-12.280053</v>
      </c>
      <c r="L347">
        <v>-76.88344</v>
      </c>
      <c r="M347">
        <f>HYPERLINK("https://www.google.com/maps/search/?api=1&amp;query=-12.280053,-76.88344","Carretera Panamericana Sur, Lurín, Lima")</f>
      </c>
      <c r="N347">
        <v>69.6</v>
      </c>
      <c r="O347">
        <v>76</v>
      </c>
      <c r="P347">
        <v>295641.03</v>
      </c>
      <c r="Q347" t="str">
        <v>131.35</v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347</v>
      </c>
      <c r="B348" t="str">
        <v>MASS BSF</v>
      </c>
      <c r="C348" t="str">
        <v>C6E-921</v>
      </c>
      <c r="D348" t="str">
        <v>C6E-921</v>
      </c>
      <c r="E348" t="str">
        <v/>
      </c>
      <c r="F348" t="str">
        <v>867806078831353</v>
      </c>
      <c r="G348" t="str">
        <v>TBD</v>
      </c>
      <c r="H348" t="str">
        <v/>
      </c>
      <c r="I348" t="str">
        <v>28/09/2026</v>
      </c>
      <c r="J348" t="str">
        <v>16:47:02</v>
      </c>
      <c r="K348">
        <v>-12.276029</v>
      </c>
      <c r="L348">
        <v>-76.88987</v>
      </c>
      <c r="M348">
        <f>HYPERLINK("https://www.google.com/maps/search/?api=1&amp;query=-12.276029,-76.88987","Carretera Panamericana Sur, Lurín, Lima")</f>
      </c>
      <c r="N348">
        <v>65.1</v>
      </c>
      <c r="O348">
        <v>76</v>
      </c>
      <c r="P348">
        <v>295641.88</v>
      </c>
      <c r="Q348" t="str">
        <v>131.35</v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348</v>
      </c>
      <c r="B349" t="str">
        <v>MASS BSF</v>
      </c>
      <c r="C349" t="str">
        <v>C6E-921</v>
      </c>
      <c r="D349" t="str">
        <v>C6E-921</v>
      </c>
      <c r="E349" t="str">
        <v/>
      </c>
      <c r="F349" t="str">
        <v>867806078831353</v>
      </c>
      <c r="G349" t="str">
        <v>TBD</v>
      </c>
      <c r="H349" t="str">
        <v/>
      </c>
      <c r="I349" t="str">
        <v>28/09/2026</v>
      </c>
      <c r="J349" t="str">
        <v>16:47:45</v>
      </c>
      <c r="K349">
        <v>-12.272027</v>
      </c>
      <c r="L349">
        <v>-76.89624</v>
      </c>
      <c r="M349">
        <f>HYPERLINK("https://www.google.com/maps/search/?api=1&amp;query=-12.272027,-76.89624","Carretera Panamericana Sur, Lurín, Lima")</f>
      </c>
      <c r="N349">
        <v>70</v>
      </c>
      <c r="O349">
        <v>85</v>
      </c>
      <c r="P349">
        <v>295642.7</v>
      </c>
      <c r="Q349" t="str">
        <v>131.35</v>
      </c>
      <c r="R349" t="str">
        <v/>
      </c>
      <c r="S349" t="str">
        <v/>
      </c>
      <c r="T349" t="str">
        <v/>
      </c>
      <c r="U349" t="str">
        <v/>
      </c>
    </row>
    <row r="350">
      <c r="A350" t="str">
        <v>349</v>
      </c>
      <c r="B350" t="str">
        <v>MASS BSF</v>
      </c>
      <c r="C350" t="str">
        <v>C6E-921</v>
      </c>
      <c r="D350" t="str">
        <v>C6E-921</v>
      </c>
      <c r="E350" t="str">
        <v/>
      </c>
      <c r="F350" t="str">
        <v>867806078831353</v>
      </c>
      <c r="G350" t="str">
        <v>TBD</v>
      </c>
      <c r="H350" t="str">
        <v/>
      </c>
      <c r="I350" t="str">
        <v>28/09/2026</v>
      </c>
      <c r="J350" t="str">
        <v>16:48:28</v>
      </c>
      <c r="K350">
        <v>-12.267985</v>
      </c>
      <c r="L350">
        <v>-76.90262</v>
      </c>
      <c r="M350">
        <f>HYPERLINK("https://www.google.com/maps/search/?api=1&amp;query=-12.267985,-76.90262","Carretera Panamericana Sur, Lurín, Lima")</f>
      </c>
      <c r="N350">
        <v>70.1</v>
      </c>
      <c r="O350">
        <v>85</v>
      </c>
      <c r="P350">
        <v>295643.5</v>
      </c>
      <c r="Q350" t="str">
        <v>131.35</v>
      </c>
      <c r="R350" t="str">
        <v/>
      </c>
      <c r="S350" t="str">
        <v/>
      </c>
      <c r="T350" t="str">
        <v/>
      </c>
      <c r="U350" t="str">
        <v/>
      </c>
    </row>
    <row r="351">
      <c r="A351" t="str">
        <v>350</v>
      </c>
      <c r="B351" t="str">
        <v>MASS BSF</v>
      </c>
      <c r="C351" t="str">
        <v>C6E-921</v>
      </c>
      <c r="D351" t="str">
        <v>C6E-921</v>
      </c>
      <c r="E351" t="str">
        <v/>
      </c>
      <c r="F351" t="str">
        <v>867806078831353</v>
      </c>
      <c r="G351" t="str">
        <v>TBD</v>
      </c>
      <c r="H351" t="str">
        <v/>
      </c>
      <c r="I351" t="str">
        <v>28/09/2026</v>
      </c>
      <c r="J351" t="str">
        <v>16:49:13</v>
      </c>
      <c r="K351">
        <v>-12.263955</v>
      </c>
      <c r="L351">
        <v>-76.90901</v>
      </c>
      <c r="M351">
        <f>HYPERLINK("https://www.google.com/maps/search/?api=1&amp;query=-12.263955,-76.90901","Carretera Panamericana Sur, Lurín, Lima")</f>
      </c>
      <c r="N351">
        <v>62.7</v>
      </c>
      <c r="O351">
        <v>85</v>
      </c>
      <c r="P351">
        <v>295644.34</v>
      </c>
      <c r="Q351" t="str">
        <v>131.35</v>
      </c>
      <c r="R351" t="str">
        <v/>
      </c>
      <c r="S351" t="str">
        <v/>
      </c>
      <c r="T351" t="str">
        <v/>
      </c>
      <c r="U351" t="str">
        <v/>
      </c>
    </row>
    <row r="352">
      <c r="A352" t="str">
        <v>351</v>
      </c>
      <c r="B352" t="str">
        <v>MASS BSF</v>
      </c>
      <c r="C352" t="str">
        <v>C6E-921</v>
      </c>
      <c r="D352" t="str">
        <v>C6E-921</v>
      </c>
      <c r="E352" t="str">
        <v/>
      </c>
      <c r="F352" t="str">
        <v>867806078831353</v>
      </c>
      <c r="G352" t="str">
        <v>TBD</v>
      </c>
      <c r="H352" t="str">
        <v/>
      </c>
      <c r="I352" t="str">
        <v>28/09/2026</v>
      </c>
      <c r="J352" t="str">
        <v>16:49:59</v>
      </c>
      <c r="K352">
        <v>-12.259893</v>
      </c>
      <c r="L352">
        <v>-76.91547</v>
      </c>
      <c r="M352">
        <f>HYPERLINK("https://www.google.com/maps/search/?api=1&amp;query=-12.259893,-76.91547","Carretera Panamericana Sur, Lurín, Lima")</f>
      </c>
      <c r="N352">
        <v>61.8</v>
      </c>
      <c r="O352">
        <v>85</v>
      </c>
      <c r="P352">
        <v>295645.15</v>
      </c>
      <c r="Q352" t="str">
        <v>131.35</v>
      </c>
      <c r="R352" t="str">
        <v/>
      </c>
      <c r="S352" t="str">
        <v/>
      </c>
      <c r="T352" t="str">
        <v/>
      </c>
      <c r="U352" t="str">
        <v/>
      </c>
    </row>
    <row r="353">
      <c r="A353" t="str">
        <v>352</v>
      </c>
      <c r="B353" t="str">
        <v>MASS BSF</v>
      </c>
      <c r="C353" t="str">
        <v>C6E-921</v>
      </c>
      <c r="D353" t="str">
        <v>C6E-921</v>
      </c>
      <c r="E353" t="str">
        <v/>
      </c>
      <c r="F353" t="str">
        <v>867806078831353</v>
      </c>
      <c r="G353" t="str">
        <v>TBD</v>
      </c>
      <c r="H353" t="str">
        <v/>
      </c>
      <c r="I353" t="str">
        <v>28/09/2026</v>
      </c>
      <c r="J353" t="str">
        <v>16:50:46</v>
      </c>
      <c r="K353">
        <v>-12.255848</v>
      </c>
      <c r="L353">
        <v>-76.921906</v>
      </c>
      <c r="M353">
        <f>HYPERLINK("https://www.google.com/maps/search/?api=1&amp;query=-12.255848,-76.921906","Carretera Panamericana Sur, Lurín, Lima")</f>
      </c>
      <c r="N353">
        <v>63.7</v>
      </c>
      <c r="O353">
        <v>85</v>
      </c>
      <c r="P353">
        <v>295645.96</v>
      </c>
      <c r="Q353" t="str">
        <v>131.35</v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353</v>
      </c>
      <c r="B354" t="str">
        <v>MASS BSF</v>
      </c>
      <c r="C354" t="str">
        <v>C6E-921</v>
      </c>
      <c r="D354" t="str">
        <v>C6E-921</v>
      </c>
      <c r="E354" t="str">
        <v/>
      </c>
      <c r="F354" t="str">
        <v>867806078831353</v>
      </c>
      <c r="G354" t="str">
        <v>TBD</v>
      </c>
      <c r="H354" t="str">
        <v/>
      </c>
      <c r="I354" t="str">
        <v>28/09/2026</v>
      </c>
      <c r="J354" t="str">
        <v>16:51:35</v>
      </c>
      <c r="K354">
        <v>-12.251906</v>
      </c>
      <c r="L354">
        <v>-76.928444</v>
      </c>
      <c r="M354">
        <f>HYPERLINK("https://www.google.com/maps/search/?api=1&amp;query=-12.251906,-76.928444","Carretera Panamericana Sur, Lurín, Lima")</f>
      </c>
      <c r="N354">
        <v>63.1</v>
      </c>
      <c r="O354">
        <v>85</v>
      </c>
      <c r="P354">
        <v>295646.8</v>
      </c>
      <c r="Q354" t="str">
        <v>131.35</v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354</v>
      </c>
      <c r="B355" t="str">
        <v>MASS BSF</v>
      </c>
      <c r="C355" t="str">
        <v>C6E-921</v>
      </c>
      <c r="D355" t="str">
        <v>C6E-921</v>
      </c>
      <c r="E355" t="str">
        <v/>
      </c>
      <c r="F355" t="str">
        <v>867806078831353</v>
      </c>
      <c r="G355" t="str">
        <v>TBD</v>
      </c>
      <c r="H355" t="str">
        <v/>
      </c>
      <c r="I355" t="str">
        <v>28/09/2026</v>
      </c>
      <c r="J355" t="str">
        <v>16:52:22</v>
      </c>
      <c r="K355">
        <v>-12.247388</v>
      </c>
      <c r="L355">
        <v>-76.93441</v>
      </c>
      <c r="M355">
        <f>HYPERLINK("https://www.google.com/maps/search/?api=1&amp;query=-12.247388,-76.93441","Carretera Panamericana Sur, Villa El Salvador, Lima")</f>
      </c>
      <c r="N355">
        <v>65.9</v>
      </c>
      <c r="O355">
        <v>85</v>
      </c>
      <c r="P355">
        <v>295647.62</v>
      </c>
      <c r="Q355" t="str">
        <v>131.35</v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355</v>
      </c>
      <c r="B356" t="str">
        <v>MASS BSF</v>
      </c>
      <c r="C356" t="str">
        <v>C6E-921</v>
      </c>
      <c r="D356" t="str">
        <v>C6E-921</v>
      </c>
      <c r="E356" t="str">
        <v/>
      </c>
      <c r="F356" t="str">
        <v>867806078831353</v>
      </c>
      <c r="G356" t="str">
        <v>TBD</v>
      </c>
      <c r="H356" t="str">
        <v/>
      </c>
      <c r="I356" t="str">
        <v>28/09/2026</v>
      </c>
      <c r="J356" t="str">
        <v>16:53:12</v>
      </c>
      <c r="K356">
        <v>-12.243742</v>
      </c>
      <c r="L356">
        <v>-76.941284</v>
      </c>
      <c r="M356">
        <f>HYPERLINK("https://www.google.com/maps/search/?api=1&amp;query=-12.243742,-76.941284","Carretera Panamericana Sur, Villa El Salvador, Lima")</f>
      </c>
      <c r="N356">
        <v>58.5</v>
      </c>
      <c r="O356">
        <v>89</v>
      </c>
      <c r="P356">
        <v>295648.46</v>
      </c>
      <c r="Q356" t="str">
        <v>131.35</v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356</v>
      </c>
      <c r="B357" t="str">
        <v>MASS BSF</v>
      </c>
      <c r="C357" t="str">
        <v>C6E-921</v>
      </c>
      <c r="D357" t="str">
        <v>C6E-921</v>
      </c>
      <c r="E357" t="str">
        <v/>
      </c>
      <c r="F357" t="str">
        <v>867806078831353</v>
      </c>
      <c r="G357" t="str">
        <v>TBD</v>
      </c>
      <c r="H357" t="str">
        <v/>
      </c>
      <c r="I357" t="str">
        <v>28/09/2026</v>
      </c>
      <c r="J357" t="str">
        <v>16:54:00</v>
      </c>
      <c r="K357">
        <v>-12.240169</v>
      </c>
      <c r="L357">
        <v>-76.94819</v>
      </c>
      <c r="M357">
        <f>HYPERLINK("https://www.google.com/maps/search/?api=1&amp;query=-12.240169,-76.94819","Carretera Panamericana Sur, Villa El Salvador, Lima")</f>
      </c>
      <c r="N357">
        <v>65.9</v>
      </c>
      <c r="O357">
        <v>89</v>
      </c>
      <c r="P357">
        <v>295649.3</v>
      </c>
      <c r="Q357" t="str">
        <v>131.35</v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357</v>
      </c>
      <c r="B358" t="str">
        <v>MASS BSF</v>
      </c>
      <c r="C358" t="str">
        <v>C6E-921</v>
      </c>
      <c r="D358" t="str">
        <v>C6E-921</v>
      </c>
      <c r="E358" t="str">
        <v/>
      </c>
      <c r="F358" t="str">
        <v>867806078831353</v>
      </c>
      <c r="G358" t="str">
        <v>TBD</v>
      </c>
      <c r="H358" t="str">
        <v/>
      </c>
      <c r="I358" t="str">
        <v>28/09/2026</v>
      </c>
      <c r="J358" t="str">
        <v>16:54:48</v>
      </c>
      <c r="K358">
        <v>-12.236607</v>
      </c>
      <c r="L358">
        <v>-76.955055</v>
      </c>
      <c r="M358">
        <f>HYPERLINK("https://www.google.com/maps/search/?api=1&amp;query=-12.236607,-76.955055","Carretera Panamericana Sur, Villa El Salvador, Lima")</f>
      </c>
      <c r="N358">
        <v>62.7</v>
      </c>
      <c r="O358">
        <v>89</v>
      </c>
      <c r="P358">
        <v>295650.15</v>
      </c>
      <c r="Q358" t="str">
        <v>131.35</v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358</v>
      </c>
      <c r="B359" t="str">
        <v>MASS BSF</v>
      </c>
      <c r="C359" t="str">
        <v>C6E-921</v>
      </c>
      <c r="D359" t="str">
        <v>C6E-921</v>
      </c>
      <c r="E359" t="str">
        <v/>
      </c>
      <c r="F359" t="str">
        <v>867806078831353</v>
      </c>
      <c r="G359" t="str">
        <v>TBD</v>
      </c>
      <c r="H359" t="str">
        <v/>
      </c>
      <c r="I359" t="str">
        <v>28/09/2026</v>
      </c>
      <c r="J359" t="str">
        <v>16:55:35</v>
      </c>
      <c r="K359">
        <v>-12.23306</v>
      </c>
      <c r="L359">
        <v>-76.96188</v>
      </c>
      <c r="M359">
        <f>HYPERLINK("https://www.google.com/maps/search/?api=1&amp;query=-12.23306,-76.96188","Carretera Panamericana Sur, Villa El Salvador, Lima")</f>
      </c>
      <c r="N359">
        <v>64.8</v>
      </c>
      <c r="O359">
        <v>80</v>
      </c>
      <c r="P359">
        <v>295651</v>
      </c>
      <c r="Q359" t="str">
        <v>131.35</v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359</v>
      </c>
      <c r="B360" t="str">
        <v>MASS BSF</v>
      </c>
      <c r="C360" t="str">
        <v>C6E-921</v>
      </c>
      <c r="D360" t="str">
        <v>C6E-921</v>
      </c>
      <c r="E360" t="str">
        <v/>
      </c>
      <c r="F360" t="str">
        <v>867806078831353</v>
      </c>
      <c r="G360" t="str">
        <v>TBD</v>
      </c>
      <c r="H360" t="str">
        <v/>
      </c>
      <c r="I360" t="str">
        <v>28/09/2026</v>
      </c>
      <c r="J360" t="str">
        <v>16:56:08</v>
      </c>
      <c r="K360">
        <v>-12.230525</v>
      </c>
      <c r="L360">
        <v>-76.966446</v>
      </c>
      <c r="M360">
        <f>HYPERLINK("https://www.google.com/maps/search/?api=1&amp;query=-12.230525,-76.966446","Carretera Panamericana Sur, Villa El Salvador, Lima")</f>
      </c>
      <c r="N360">
        <v>62.2</v>
      </c>
      <c r="O360">
        <v>80</v>
      </c>
      <c r="P360">
        <v>295651.56</v>
      </c>
      <c r="Q360" t="str">
        <v>131.35</v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360</v>
      </c>
      <c r="B361" t="str">
        <v>MASS BSF</v>
      </c>
      <c r="C361" t="str">
        <v>C6E-921</v>
      </c>
      <c r="D361" t="str">
        <v>C6E-921</v>
      </c>
      <c r="E361" t="str">
        <v/>
      </c>
      <c r="F361" t="str">
        <v>867806078831353</v>
      </c>
      <c r="G361" t="str">
        <v>TBD</v>
      </c>
      <c r="H361" t="str">
        <v/>
      </c>
      <c r="I361" t="str">
        <v>28/09/2026</v>
      </c>
      <c r="J361" t="str">
        <v>16:56:27</v>
      </c>
      <c r="K361">
        <v>-12.228468</v>
      </c>
      <c r="L361">
        <v>-76.96862</v>
      </c>
      <c r="M361">
        <f>HYPERLINK("https://www.google.com/maps/search/?api=1&amp;query=-12.228468,-76.96862","Carretera Panamericana Sur, Villa El Salvador, Lima")</f>
      </c>
      <c r="N361">
        <v>60.9</v>
      </c>
      <c r="O361">
        <v>83</v>
      </c>
      <c r="P361">
        <v>295651.88</v>
      </c>
      <c r="Q361" t="str">
        <v>131.35</v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361</v>
      </c>
      <c r="B362" t="str">
        <v>MASS BSF</v>
      </c>
      <c r="C362" t="str">
        <v>C6E-921</v>
      </c>
      <c r="D362" t="str">
        <v>C6E-921</v>
      </c>
      <c r="E362" t="str">
        <v/>
      </c>
      <c r="F362" t="str">
        <v>867806078831353</v>
      </c>
      <c r="G362" t="str">
        <v>TBD</v>
      </c>
      <c r="H362" t="str">
        <v/>
      </c>
      <c r="I362" t="str">
        <v>28/09/2026</v>
      </c>
      <c r="J362" t="str">
        <v>16:57:15</v>
      </c>
      <c r="K362">
        <v>-12.223311</v>
      </c>
      <c r="L362">
        <v>-76.97365</v>
      </c>
      <c r="M362">
        <f>HYPERLINK("https://www.google.com/maps/search/?api=1&amp;query=-12.223311,-76.97365","Carretera Panamericana Sur, Chorrillos, Lima")</f>
      </c>
      <c r="N362">
        <v>58.1</v>
      </c>
      <c r="O362">
        <v>83</v>
      </c>
      <c r="P362">
        <v>295652.65</v>
      </c>
      <c r="Q362" t="str">
        <v>131.35</v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362</v>
      </c>
      <c r="B363" t="str">
        <v>MASS BSF</v>
      </c>
      <c r="C363" t="str">
        <v>C6E-921</v>
      </c>
      <c r="D363" t="str">
        <v>C6E-921</v>
      </c>
      <c r="E363" t="str">
        <v/>
      </c>
      <c r="F363" t="str">
        <v>867806078831353</v>
      </c>
      <c r="G363" t="str">
        <v>TBD</v>
      </c>
      <c r="H363" t="str">
        <v/>
      </c>
      <c r="I363" t="str">
        <v>28/09/2026</v>
      </c>
      <c r="J363" t="str">
        <v>16:57:37</v>
      </c>
      <c r="K363">
        <v>-12.220999</v>
      </c>
      <c r="L363">
        <v>-76.9758</v>
      </c>
      <c r="M363">
        <f>HYPERLINK("https://www.google.com/maps/search/?api=1&amp;query=-12.220999,-76.9758","Carretera Panamericana Sur, Villa El Salvador, Lima")</f>
      </c>
      <c r="N363">
        <v>49.6</v>
      </c>
      <c r="O363">
        <v>83</v>
      </c>
      <c r="P363">
        <v>295653</v>
      </c>
      <c r="Q363" t="str">
        <v>131.35</v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363</v>
      </c>
      <c r="B364" t="str">
        <v>MASS BSF</v>
      </c>
      <c r="C364" t="str">
        <v>C6E-921</v>
      </c>
      <c r="D364" t="str">
        <v>C6E-921</v>
      </c>
      <c r="E364" t="str">
        <v/>
      </c>
      <c r="F364" t="str">
        <v>867806078831353</v>
      </c>
      <c r="G364" t="str">
        <v>TBD</v>
      </c>
      <c r="H364" t="str">
        <v/>
      </c>
      <c r="I364" t="str">
        <v>28/09/2026</v>
      </c>
      <c r="J364" t="str">
        <v>16:57:42</v>
      </c>
      <c r="K364">
        <v>-12.22042</v>
      </c>
      <c r="L364">
        <v>-76.97598</v>
      </c>
      <c r="M364">
        <f>HYPERLINK("https://www.google.com/maps/search/?api=1&amp;query=-12.22042,-76.97598","Antigua Panamericana Sur, Villa El Salvador, Lima")</f>
      </c>
      <c r="N364">
        <v>50.5</v>
      </c>
      <c r="O364">
        <v>83</v>
      </c>
      <c r="P364">
        <v>295653.09</v>
      </c>
      <c r="Q364" t="str">
        <v>131.35</v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364</v>
      </c>
      <c r="B365" t="str">
        <v>MASS BSF</v>
      </c>
      <c r="C365" t="str">
        <v>C6E-921</v>
      </c>
      <c r="D365" t="str">
        <v>C6E-921</v>
      </c>
      <c r="E365" t="str">
        <v/>
      </c>
      <c r="F365" t="str">
        <v>867806078831353</v>
      </c>
      <c r="G365" t="str">
        <v>TBD</v>
      </c>
      <c r="H365" t="str">
        <v/>
      </c>
      <c r="I365" t="str">
        <v>28/09/2026</v>
      </c>
      <c r="J365" t="str">
        <v>16:57:47</v>
      </c>
      <c r="K365">
        <v>-12.219803</v>
      </c>
      <c r="L365">
        <v>-76.97591</v>
      </c>
      <c r="M365">
        <f>HYPERLINK("https://www.google.com/maps/search/?api=1&amp;query=-12.219803,-76.97591","Antigua Panamericana Sur, Villa El Salvador, Lima")</f>
      </c>
      <c r="N365">
        <v>46.1</v>
      </c>
      <c r="O365">
        <v>83</v>
      </c>
      <c r="P365">
        <v>295653.15</v>
      </c>
      <c r="Q365" t="str">
        <v>131.35</v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365</v>
      </c>
      <c r="B366" t="str">
        <v>MASS BSF</v>
      </c>
      <c r="C366" t="str">
        <v>C6E-921</v>
      </c>
      <c r="D366" t="str">
        <v>C6E-921</v>
      </c>
      <c r="E366" t="str">
        <v/>
      </c>
      <c r="F366" t="str">
        <v>867806078831353</v>
      </c>
      <c r="G366" t="str">
        <v>TBD</v>
      </c>
      <c r="H366" t="str">
        <v/>
      </c>
      <c r="I366" t="str">
        <v>28/09/2026</v>
      </c>
      <c r="J366" t="str">
        <v>16:57:55</v>
      </c>
      <c r="K366">
        <v>-12.21888</v>
      </c>
      <c r="L366">
        <v>-76.97578</v>
      </c>
      <c r="M366">
        <f>HYPERLINK("https://www.google.com/maps/search/?api=1&amp;query=-12.21888,-76.97578","Villa El Salvador, Lima")</f>
      </c>
      <c r="N366">
        <v>45.5</v>
      </c>
      <c r="O366">
        <v>83</v>
      </c>
      <c r="P366">
        <v>295653.25</v>
      </c>
      <c r="Q366" t="str">
        <v>131.35</v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366</v>
      </c>
      <c r="B367" t="str">
        <v>MASS BSF</v>
      </c>
      <c r="C367" t="str">
        <v>C6E-921</v>
      </c>
      <c r="D367" t="str">
        <v>C6E-921</v>
      </c>
      <c r="E367" t="str">
        <v/>
      </c>
      <c r="F367" t="str">
        <v>867806078831353</v>
      </c>
      <c r="G367" t="str">
        <v>TBD</v>
      </c>
      <c r="H367" t="str">
        <v/>
      </c>
      <c r="I367" t="str">
        <v>28/09/2026</v>
      </c>
      <c r="J367" t="str">
        <v>16:58:00</v>
      </c>
      <c r="K367">
        <v>-12.218355</v>
      </c>
      <c r="L367">
        <v>-76.975975</v>
      </c>
      <c r="M367">
        <f>HYPERLINK("https://www.google.com/maps/search/?api=1&amp;query=-12.218355,-76.975975","Villa El Salvador, Lima")</f>
      </c>
      <c r="N367">
        <v>45.3</v>
      </c>
      <c r="O367">
        <v>83</v>
      </c>
      <c r="P367">
        <v>295653.3</v>
      </c>
      <c r="Q367" t="str">
        <v>131.35</v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367</v>
      </c>
      <c r="B368" t="str">
        <v>MASS BSF</v>
      </c>
      <c r="C368" t="str">
        <v>C6E-921</v>
      </c>
      <c r="D368" t="str">
        <v>C6E-921</v>
      </c>
      <c r="E368" t="str">
        <v/>
      </c>
      <c r="F368" t="str">
        <v>867806078831353</v>
      </c>
      <c r="G368" t="str">
        <v>TBD</v>
      </c>
      <c r="H368" t="str">
        <v/>
      </c>
      <c r="I368" t="str">
        <v>28/09/2026</v>
      </c>
      <c r="J368" t="str">
        <v>16:58:05</v>
      </c>
      <c r="K368">
        <v>-12.218023</v>
      </c>
      <c r="L368">
        <v>-76.97643</v>
      </c>
      <c r="M368">
        <f>HYPERLINK("https://www.google.com/maps/search/?api=1&amp;query=-12.218023,-76.97643","Villa El Salvador, Lima")</f>
      </c>
      <c r="N368">
        <v>43.7</v>
      </c>
      <c r="O368">
        <v>83</v>
      </c>
      <c r="P368">
        <v>295653.38</v>
      </c>
      <c r="Q368" t="str">
        <v>131.35</v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368</v>
      </c>
      <c r="B369" t="str">
        <v>MASS BSF</v>
      </c>
      <c r="C369" t="str">
        <v>C6E-921</v>
      </c>
      <c r="D369" t="str">
        <v>C6E-921</v>
      </c>
      <c r="E369" t="str">
        <v/>
      </c>
      <c r="F369" t="str">
        <v>867806078831353</v>
      </c>
      <c r="G369" t="str">
        <v>TBD</v>
      </c>
      <c r="H369" t="str">
        <v/>
      </c>
      <c r="I369" t="str">
        <v>28/09/2026</v>
      </c>
      <c r="J369" t="str">
        <v>16:58:10</v>
      </c>
      <c r="K369">
        <v>-12.217947</v>
      </c>
      <c r="L369">
        <v>-76.976944</v>
      </c>
      <c r="M369">
        <f>HYPERLINK("https://www.google.com/maps/search/?api=1&amp;query=-12.217947,-76.976944","Avenida Caminos del Inca, Chorrillos, Lima")</f>
      </c>
      <c r="N369">
        <v>38.1</v>
      </c>
      <c r="O369">
        <v>83</v>
      </c>
      <c r="P369">
        <v>295653.44</v>
      </c>
      <c r="Q369" t="str">
        <v>131.35</v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369</v>
      </c>
      <c r="B370" t="str">
        <v>MASS BSF</v>
      </c>
      <c r="C370" t="str">
        <v>C6E-921</v>
      </c>
      <c r="D370" t="str">
        <v>C6E-921</v>
      </c>
      <c r="E370" t="str">
        <v/>
      </c>
      <c r="F370" t="str">
        <v>867806078831353</v>
      </c>
      <c r="G370" t="str">
        <v>TBD</v>
      </c>
      <c r="H370" t="str">
        <v/>
      </c>
      <c r="I370" t="str">
        <v>28/09/2026</v>
      </c>
      <c r="J370" t="str">
        <v>16:58:19</v>
      </c>
      <c r="K370">
        <v>-12.217921</v>
      </c>
      <c r="L370">
        <v>-76.97752</v>
      </c>
      <c r="M370">
        <f>HYPERLINK("https://www.google.com/maps/search/?api=1&amp;query=-12.217921,-76.97752","Avenida Caminos del Inca, Chorrillos, Lima")</f>
      </c>
      <c r="N370">
        <v>5.9</v>
      </c>
      <c r="O370">
        <v>83</v>
      </c>
      <c r="P370">
        <v>295653.5</v>
      </c>
      <c r="Q370" t="str">
        <v>131.35</v>
      </c>
      <c r="R370" t="str">
        <v>Aceleración brusca</v>
      </c>
      <c r="S370" t="str">
        <v/>
      </c>
      <c r="T370" t="str">
        <v/>
      </c>
      <c r="U370" t="str">
        <v/>
      </c>
    </row>
    <row r="371">
      <c r="A371" t="str">
        <v>370</v>
      </c>
      <c r="B371" t="str">
        <v>MASS BSF</v>
      </c>
      <c r="C371" t="str">
        <v>C6E-921</v>
      </c>
      <c r="D371" t="str">
        <v>C6E-921</v>
      </c>
      <c r="E371" t="str">
        <v/>
      </c>
      <c r="F371" t="str">
        <v>867806078831353</v>
      </c>
      <c r="G371" t="str">
        <v>TBD</v>
      </c>
      <c r="H371" t="str">
        <v/>
      </c>
      <c r="I371" t="str">
        <v>28/09/2026</v>
      </c>
      <c r="J371" t="str">
        <v>16:58:35</v>
      </c>
      <c r="K371">
        <v>-12.217901</v>
      </c>
      <c r="L371">
        <v>-76.978035</v>
      </c>
      <c r="M371">
        <f>HYPERLINK("https://www.google.com/maps/search/?api=1&amp;query=-12.217901,-76.978035","Avenida Caminos del Inca, Chorrillos, Lima")</f>
      </c>
      <c r="N371">
        <v>14.4</v>
      </c>
      <c r="O371">
        <v>83</v>
      </c>
      <c r="P371">
        <v>295653.56</v>
      </c>
      <c r="Q371" t="str">
        <v>131.35</v>
      </c>
      <c r="R371" t="str">
        <v>Bache</v>
      </c>
      <c r="S371" t="str">
        <v/>
      </c>
      <c r="T371" t="str">
        <v/>
      </c>
      <c r="U371" t="str">
        <v/>
      </c>
    </row>
    <row r="372">
      <c r="A372" t="str">
        <v>371</v>
      </c>
      <c r="B372" t="str">
        <v>MASS BSF</v>
      </c>
      <c r="C372" t="str">
        <v>C6E-921</v>
      </c>
      <c r="D372" t="str">
        <v>C6E-921</v>
      </c>
      <c r="E372" t="str">
        <v/>
      </c>
      <c r="F372" t="str">
        <v>867806078831353</v>
      </c>
      <c r="G372" t="str">
        <v>TBD</v>
      </c>
      <c r="H372" t="str">
        <v/>
      </c>
      <c r="I372" t="str">
        <v>28/09/2026</v>
      </c>
      <c r="J372" t="str">
        <v>16:58:43</v>
      </c>
      <c r="K372">
        <v>-12.21785</v>
      </c>
      <c r="L372">
        <v>-76.97851</v>
      </c>
      <c r="M372">
        <f>HYPERLINK("https://www.google.com/maps/search/?api=1&amp;query=-12.21785,-76.97851","Avenida Caminos del Inca, Chorrillos, Lima")</f>
      </c>
      <c r="N372">
        <v>31.2</v>
      </c>
      <c r="O372">
        <v>83</v>
      </c>
      <c r="P372">
        <v>295653.59</v>
      </c>
      <c r="Q372" t="str">
        <v>131.35</v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372</v>
      </c>
      <c r="B373" t="str">
        <v>MASS BSF</v>
      </c>
      <c r="C373" t="str">
        <v>C6E-921</v>
      </c>
      <c r="D373" t="str">
        <v>C6E-921</v>
      </c>
      <c r="E373" t="str">
        <v/>
      </c>
      <c r="F373" t="str">
        <v>867806078831353</v>
      </c>
      <c r="G373" t="str">
        <v>TBD</v>
      </c>
      <c r="H373" t="str">
        <v/>
      </c>
      <c r="I373" t="str">
        <v>28/09/2026</v>
      </c>
      <c r="J373" t="str">
        <v>16:58:48</v>
      </c>
      <c r="K373">
        <v>-12.217707</v>
      </c>
      <c r="L373">
        <v>-76.978935</v>
      </c>
      <c r="M373">
        <f>HYPERLINK("https://www.google.com/maps/search/?api=1&amp;query=-12.217707,-76.978935","Avenida Caminos del Inca, Chorrillos, Lima")</f>
      </c>
      <c r="N373">
        <v>39.2</v>
      </c>
      <c r="O373">
        <v>83</v>
      </c>
      <c r="P373">
        <v>295653.65</v>
      </c>
      <c r="Q373" t="str">
        <v>131.35</v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373</v>
      </c>
      <c r="B374" t="str">
        <v>MASS BSF</v>
      </c>
      <c r="C374" t="str">
        <v>C6E-921</v>
      </c>
      <c r="D374" t="str">
        <v>C6E-921</v>
      </c>
      <c r="E374" t="str">
        <v/>
      </c>
      <c r="F374" t="str">
        <v>867806078831353</v>
      </c>
      <c r="G374" t="str">
        <v>TBD</v>
      </c>
      <c r="H374" t="str">
        <v/>
      </c>
      <c r="I374" t="str">
        <v>28/09/2026</v>
      </c>
      <c r="J374" t="str">
        <v>16:58:53</v>
      </c>
      <c r="K374">
        <v>-12.217422</v>
      </c>
      <c r="L374">
        <v>-76.97937</v>
      </c>
      <c r="M374">
        <f>HYPERLINK("https://www.google.com/maps/search/?api=1&amp;query=-12.217422,-76.97937","Avenida Caminos del Inca, Chorrillos, Lima")</f>
      </c>
      <c r="N374">
        <v>42.4</v>
      </c>
      <c r="O374">
        <v>83</v>
      </c>
      <c r="P374">
        <v>295653.71</v>
      </c>
      <c r="Q374" t="str">
        <v>131.35</v>
      </c>
      <c r="R374" t="str">
        <v/>
      </c>
      <c r="S374" t="str">
        <v/>
      </c>
      <c r="T374" t="str">
        <v/>
      </c>
      <c r="U374" t="str">
        <v/>
      </c>
    </row>
    <row r="375">
      <c r="A375" t="str">
        <v>374</v>
      </c>
      <c r="B375" t="str">
        <v>MASS BSF</v>
      </c>
      <c r="C375" t="str">
        <v>C6E-921</v>
      </c>
      <c r="D375" t="str">
        <v>C6E-921</v>
      </c>
      <c r="E375" t="str">
        <v/>
      </c>
      <c r="F375" t="str">
        <v>867806078831353</v>
      </c>
      <c r="G375" t="str">
        <v>TBD</v>
      </c>
      <c r="H375" t="str">
        <v/>
      </c>
      <c r="I375" t="str">
        <v>28/09/2026</v>
      </c>
      <c r="J375" t="str">
        <v>16:59:15</v>
      </c>
      <c r="K375">
        <v>-12.21598</v>
      </c>
      <c r="L375">
        <v>-76.98077</v>
      </c>
      <c r="M375">
        <f>HYPERLINK("https://www.google.com/maps/search/?api=1&amp;query=-12.21598,-76.98077","Avenida Caminos del Inca, Chorrillos, Lima")</f>
      </c>
      <c r="N375">
        <v>23.5</v>
      </c>
      <c r="O375">
        <v>83</v>
      </c>
      <c r="P375">
        <v>295653.94</v>
      </c>
      <c r="Q375" t="str">
        <v>131.35</v>
      </c>
      <c r="R375" t="str">
        <v/>
      </c>
      <c r="S375" t="str">
        <v/>
      </c>
      <c r="T375" t="str">
        <v/>
      </c>
      <c r="U375" t="str">
        <v/>
      </c>
    </row>
    <row r="376">
      <c r="A376" t="str">
        <v>375</v>
      </c>
      <c r="B376" t="str">
        <v>MASS BSF</v>
      </c>
      <c r="C376" t="str">
        <v>C6E-921</v>
      </c>
      <c r="D376" t="str">
        <v>C6E-921</v>
      </c>
      <c r="E376" t="str">
        <v/>
      </c>
      <c r="F376" t="str">
        <v>867806078831353</v>
      </c>
      <c r="G376" t="str">
        <v>TBD</v>
      </c>
      <c r="H376" t="str">
        <v/>
      </c>
      <c r="I376" t="str">
        <v>28/09/2026</v>
      </c>
      <c r="J376" t="str">
        <v>16:59:22</v>
      </c>
      <c r="K376">
        <v>-12.215735</v>
      </c>
      <c r="L376">
        <v>-76.98094</v>
      </c>
      <c r="M376">
        <f>HYPERLINK("https://www.google.com/maps/search/?api=1&amp;query=-12.215735,-76.98094","Avenida Caminos del Inca, Chorrillos, Lima")</f>
      </c>
      <c r="N376">
        <v>14.2</v>
      </c>
      <c r="O376">
        <v>83</v>
      </c>
      <c r="P376">
        <v>295653.96</v>
      </c>
      <c r="Q376" t="str">
        <v>131.35</v>
      </c>
      <c r="R376" t="str">
        <v/>
      </c>
      <c r="S376" t="str">
        <v/>
      </c>
      <c r="T376" t="str">
        <v/>
      </c>
      <c r="U376" t="str">
        <v/>
      </c>
    </row>
    <row r="377">
      <c r="A377" t="str">
        <v>376</v>
      </c>
      <c r="B377" t="str">
        <v>MASS BSF</v>
      </c>
      <c r="C377" t="str">
        <v>C6E-921</v>
      </c>
      <c r="D377" t="str">
        <v>C6E-921</v>
      </c>
      <c r="E377" t="str">
        <v/>
      </c>
      <c r="F377" t="str">
        <v>867806078831353</v>
      </c>
      <c r="G377" t="str">
        <v>TBD</v>
      </c>
      <c r="H377" t="str">
        <v/>
      </c>
      <c r="I377" t="str">
        <v>28/09/2026</v>
      </c>
      <c r="J377" t="str">
        <v>16:59:27</v>
      </c>
      <c r="K377">
        <v>-12.215713</v>
      </c>
      <c r="L377">
        <v>-76.981094</v>
      </c>
      <c r="M377">
        <f>HYPERLINK("https://www.google.com/maps/search/?api=1&amp;query=-12.215713,-76.981094","Avenida Caminos del Inca, Chorrillos, Lima")</f>
      </c>
      <c r="N377">
        <v>11.6</v>
      </c>
      <c r="O377">
        <v>83</v>
      </c>
      <c r="P377">
        <v>295653.96</v>
      </c>
      <c r="Q377" t="str">
        <v>131.35</v>
      </c>
      <c r="R377" t="str">
        <v/>
      </c>
      <c r="S377" t="str">
        <v/>
      </c>
      <c r="T377" t="str">
        <v/>
      </c>
      <c r="U377" t="str">
        <v/>
      </c>
    </row>
    <row r="378">
      <c r="A378" t="str">
        <v>377</v>
      </c>
      <c r="B378" t="str">
        <v>MASS BSF</v>
      </c>
      <c r="C378" t="str">
        <v>C6E-921</v>
      </c>
      <c r="D378" t="str">
        <v>C6E-921</v>
      </c>
      <c r="E378" t="str">
        <v/>
      </c>
      <c r="F378" t="str">
        <v>867806078831353</v>
      </c>
      <c r="G378" t="str">
        <v>TBD</v>
      </c>
      <c r="H378" t="str">
        <v/>
      </c>
      <c r="I378" t="str">
        <v>28/09/2026</v>
      </c>
      <c r="J378" t="str">
        <v>16:59:32</v>
      </c>
      <c r="K378">
        <v>-12.215823</v>
      </c>
      <c r="L378">
        <v>-76.98114</v>
      </c>
      <c r="M378">
        <f>HYPERLINK("https://www.google.com/maps/search/?api=1&amp;query=-12.215823,-76.98114","Avenida Caminos del Inca, Chorrillos, Lima")</f>
      </c>
      <c r="N378">
        <v>7.5</v>
      </c>
      <c r="O378">
        <v>83</v>
      </c>
      <c r="P378">
        <v>295654</v>
      </c>
      <c r="Q378" t="str">
        <v>131.35</v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378</v>
      </c>
      <c r="B379" t="str">
        <v>MASS BSF</v>
      </c>
      <c r="C379" t="str">
        <v>C6E-921</v>
      </c>
      <c r="D379" t="str">
        <v>C6E-921</v>
      </c>
      <c r="E379" t="str">
        <v/>
      </c>
      <c r="F379" t="str">
        <v>867806078831353</v>
      </c>
      <c r="G379" t="str">
        <v>TBD</v>
      </c>
      <c r="H379" t="str">
        <v/>
      </c>
      <c r="I379" t="str">
        <v>28/09/2026</v>
      </c>
      <c r="J379" t="str">
        <v>16:59:37</v>
      </c>
      <c r="K379">
        <v>-12.21593</v>
      </c>
      <c r="L379">
        <v>-76.98109</v>
      </c>
      <c r="M379">
        <f>HYPERLINK("https://www.google.com/maps/search/?api=1&amp;query=-12.21593,-76.98109","Prolongación Huaylas, Chorrillos, Lima")</f>
      </c>
      <c r="N379">
        <v>12.7</v>
      </c>
      <c r="O379">
        <v>83</v>
      </c>
      <c r="P379">
        <v>295654</v>
      </c>
      <c r="Q379" t="str">
        <v>131.35</v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379</v>
      </c>
      <c r="B380" t="str">
        <v>MASS BSF</v>
      </c>
      <c r="C380" t="str">
        <v>C6E-921</v>
      </c>
      <c r="D380" t="str">
        <v>C6E-921</v>
      </c>
      <c r="E380" t="str">
        <v/>
      </c>
      <c r="F380" t="str">
        <v>867806078831353</v>
      </c>
      <c r="G380" t="str">
        <v>TBD</v>
      </c>
      <c r="H380" t="str">
        <v/>
      </c>
      <c r="I380" t="str">
        <v>28/09/2026</v>
      </c>
      <c r="J380" t="str">
        <v>16:59:42</v>
      </c>
      <c r="K380">
        <v>-12.21604</v>
      </c>
      <c r="L380">
        <v>-76.980865</v>
      </c>
      <c r="M380">
        <f>HYPERLINK("https://www.google.com/maps/search/?api=1&amp;query=-12.21604,-76.980865","Avenida Caminos del Inca, Chorrillos, Lima")</f>
      </c>
      <c r="N380">
        <v>24.6</v>
      </c>
      <c r="O380">
        <v>83</v>
      </c>
      <c r="P380">
        <v>295654.03</v>
      </c>
      <c r="Q380" t="str">
        <v>131.35</v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380</v>
      </c>
      <c r="B381" t="str">
        <v>MASS BSF</v>
      </c>
      <c r="C381" t="str">
        <v>C6E-921</v>
      </c>
      <c r="D381" t="str">
        <v>C6E-921</v>
      </c>
      <c r="E381" t="str">
        <v/>
      </c>
      <c r="F381" t="str">
        <v>867806078831353</v>
      </c>
      <c r="G381" t="str">
        <v>TBD</v>
      </c>
      <c r="H381" t="str">
        <v/>
      </c>
      <c r="I381" t="str">
        <v>28/09/2026</v>
      </c>
      <c r="J381" t="str">
        <v>16:59:47</v>
      </c>
      <c r="K381">
        <v>-12.216244</v>
      </c>
      <c r="L381">
        <v>-76.98061</v>
      </c>
      <c r="M381">
        <f>HYPERLINK("https://www.google.com/maps/search/?api=1&amp;query=-12.216244,-76.98061","Avenida Caminos del Inca, Chorrillos, Lima")</f>
      </c>
      <c r="N381">
        <v>25.3</v>
      </c>
      <c r="O381">
        <v>83</v>
      </c>
      <c r="P381">
        <v>295654.06</v>
      </c>
      <c r="Q381" t="str">
        <v>131.35</v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381</v>
      </c>
      <c r="B382" t="str">
        <v>MASS BSF</v>
      </c>
      <c r="C382" t="str">
        <v>C6E-921</v>
      </c>
      <c r="D382" t="str">
        <v>C6E-921</v>
      </c>
      <c r="E382" t="str">
        <v/>
      </c>
      <c r="F382" t="str">
        <v>867806078831353</v>
      </c>
      <c r="G382" t="str">
        <v>TBD</v>
      </c>
      <c r="H382" t="str">
        <v/>
      </c>
      <c r="I382" t="str">
        <v>28/09/2026</v>
      </c>
      <c r="J382" t="str">
        <v>17:00:07</v>
      </c>
      <c r="K382">
        <v>-12.217545</v>
      </c>
      <c r="L382">
        <v>-76.97934</v>
      </c>
      <c r="M382">
        <f>HYPERLINK("https://www.google.com/maps/search/?api=1&amp;query=-12.217545,-76.97934","Avenida Caminos del Inca, Chorrillos, Lima")</f>
      </c>
      <c r="N382">
        <v>38.1</v>
      </c>
      <c r="O382">
        <v>83</v>
      </c>
      <c r="P382">
        <v>295654.25</v>
      </c>
      <c r="Q382" t="str">
        <v>131.35</v>
      </c>
      <c r="R382" t="str">
        <v/>
      </c>
      <c r="S382" t="str">
        <v/>
      </c>
      <c r="T382" t="str">
        <v/>
      </c>
      <c r="U382" t="str">
        <v/>
      </c>
    </row>
    <row r="383">
      <c r="A383" t="str">
        <v>382</v>
      </c>
      <c r="B383" t="str">
        <v>MASS BSF</v>
      </c>
      <c r="C383" t="str">
        <v>C6E-921</v>
      </c>
      <c r="D383" t="str">
        <v>C6E-921</v>
      </c>
      <c r="E383" t="str">
        <v/>
      </c>
      <c r="F383" t="str">
        <v>867806078831353</v>
      </c>
      <c r="G383" t="str">
        <v>TBD</v>
      </c>
      <c r="H383" t="str">
        <v/>
      </c>
      <c r="I383" t="str">
        <v>28/09/2026</v>
      </c>
      <c r="J383" t="str">
        <v>17:00:12</v>
      </c>
      <c r="K383">
        <v>-12.2178</v>
      </c>
      <c r="L383">
        <v>-76.97894</v>
      </c>
      <c r="M383">
        <f>HYPERLINK("https://www.google.com/maps/search/?api=1&amp;query=-12.2178,-76.97894","Avenida Caminos del Inca, Chorrillos, Lima")</f>
      </c>
      <c r="N383">
        <v>37.2</v>
      </c>
      <c r="O383">
        <v>83</v>
      </c>
      <c r="P383">
        <v>295654.3</v>
      </c>
      <c r="Q383" t="str">
        <v>131.35</v>
      </c>
      <c r="R383" t="str">
        <v/>
      </c>
      <c r="S383" t="str">
        <v/>
      </c>
      <c r="T383" t="str">
        <v/>
      </c>
      <c r="U383" t="str">
        <v/>
      </c>
    </row>
    <row r="384">
      <c r="A384" t="str">
        <v>383</v>
      </c>
      <c r="B384" t="str">
        <v>MASS BSF</v>
      </c>
      <c r="C384" t="str">
        <v>C6E-921</v>
      </c>
      <c r="D384" t="str">
        <v>C6E-921</v>
      </c>
      <c r="E384" t="str">
        <v/>
      </c>
      <c r="F384" t="str">
        <v>867806078831353</v>
      </c>
      <c r="G384" t="str">
        <v>TBD</v>
      </c>
      <c r="H384" t="str">
        <v/>
      </c>
      <c r="I384" t="str">
        <v>28/09/2026</v>
      </c>
      <c r="J384" t="str">
        <v>17:00:18</v>
      </c>
      <c r="K384">
        <v>-12.217988</v>
      </c>
      <c r="L384">
        <v>-76.97845</v>
      </c>
      <c r="M384">
        <f>HYPERLINK("https://www.google.com/maps/search/?api=1&amp;query=-12.217988,-76.97845","Avenida Caminos del Inca, Chorrillos, Lima")</f>
      </c>
      <c r="N384">
        <v>29.6</v>
      </c>
      <c r="O384">
        <v>83</v>
      </c>
      <c r="P384">
        <v>295654.38</v>
      </c>
      <c r="Q384" t="str">
        <v>131.35</v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384</v>
      </c>
      <c r="B385" t="str">
        <v>MASS BSF</v>
      </c>
      <c r="C385" t="str">
        <v>C6E-921</v>
      </c>
      <c r="D385" t="str">
        <v>C6E-921</v>
      </c>
      <c r="E385" t="str">
        <v/>
      </c>
      <c r="F385" t="str">
        <v>867806078831353</v>
      </c>
      <c r="G385" t="str">
        <v>TBD</v>
      </c>
      <c r="H385" t="str">
        <v/>
      </c>
      <c r="I385" t="str">
        <v>28/09/2026</v>
      </c>
      <c r="J385" t="str">
        <v>17:00:23</v>
      </c>
      <c r="K385">
        <v>-12.218027</v>
      </c>
      <c r="L385">
        <v>-76.9782</v>
      </c>
      <c r="M385">
        <f>HYPERLINK("https://www.google.com/maps/search/?api=1&amp;query=-12.218027,-76.9782","Avenida Caminos del Inca, Chorrillos, Lima")</f>
      </c>
      <c r="N385">
        <v>7.2</v>
      </c>
      <c r="O385">
        <v>83</v>
      </c>
      <c r="P385">
        <v>295654.4</v>
      </c>
      <c r="Q385" t="str">
        <v>131.35</v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385</v>
      </c>
      <c r="B386" t="str">
        <v>MASS BSF</v>
      </c>
      <c r="C386" t="str">
        <v>C6E-921</v>
      </c>
      <c r="D386" t="str">
        <v>C6E-921</v>
      </c>
      <c r="E386" t="str">
        <v/>
      </c>
      <c r="F386" t="str">
        <v>867806078831353</v>
      </c>
      <c r="G386" t="str">
        <v>TBD</v>
      </c>
      <c r="H386" t="str">
        <v/>
      </c>
      <c r="I386" t="str">
        <v>28/09/2026</v>
      </c>
      <c r="J386" t="str">
        <v>17:00:50</v>
      </c>
      <c r="K386">
        <v>-12.218061</v>
      </c>
      <c r="L386">
        <v>-76.976944</v>
      </c>
      <c r="M386">
        <f>HYPERLINK("https://www.google.com/maps/search/?api=1&amp;query=-12.218061,-76.976944","Carretera Panamericana Sur, Chorrillos, Lima")</f>
      </c>
      <c r="N386">
        <v>24.2</v>
      </c>
      <c r="O386">
        <v>83</v>
      </c>
      <c r="P386">
        <v>295654.53</v>
      </c>
      <c r="Q386" t="str">
        <v>131.35</v>
      </c>
      <c r="R386" t="str">
        <v>Bache</v>
      </c>
      <c r="S386" t="str">
        <v/>
      </c>
      <c r="T386" t="str">
        <v/>
      </c>
      <c r="U386" t="str">
        <v/>
      </c>
    </row>
    <row r="387">
      <c r="A387" t="str">
        <v>386</v>
      </c>
      <c r="B387" t="str">
        <v>MASS BSF</v>
      </c>
      <c r="C387" t="str">
        <v>C6E-921</v>
      </c>
      <c r="D387" t="str">
        <v>C6E-921</v>
      </c>
      <c r="E387" t="str">
        <v/>
      </c>
      <c r="F387" t="str">
        <v>867806078831353</v>
      </c>
      <c r="G387" t="str">
        <v>TBD</v>
      </c>
      <c r="H387" t="str">
        <v/>
      </c>
      <c r="I387" t="str">
        <v>28/09/2026</v>
      </c>
      <c r="J387" t="str">
        <v>17:00:55</v>
      </c>
      <c r="K387">
        <v>-12.218095</v>
      </c>
      <c r="L387">
        <v>-76.97662</v>
      </c>
      <c r="M387">
        <f>HYPERLINK("https://www.google.com/maps/search/?api=1&amp;query=-12.218095,-76.97662","Avenida Caminos del Inca, Villa El Salvador, Lima")</f>
      </c>
      <c r="N387">
        <v>27.5</v>
      </c>
      <c r="O387">
        <v>83</v>
      </c>
      <c r="P387">
        <v>295654.56</v>
      </c>
      <c r="Q387" t="str">
        <v>131.35</v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387</v>
      </c>
      <c r="B388" t="str">
        <v>MASS BSF</v>
      </c>
      <c r="C388" t="str">
        <v>C6E-921</v>
      </c>
      <c r="D388" t="str">
        <v>C6E-921</v>
      </c>
      <c r="E388" t="str">
        <v/>
      </c>
      <c r="F388" t="str">
        <v>867806078831353</v>
      </c>
      <c r="G388" t="str">
        <v>TBD</v>
      </c>
      <c r="H388" t="str">
        <v/>
      </c>
      <c r="I388" t="str">
        <v>28/09/2026</v>
      </c>
      <c r="J388" t="str">
        <v>17:01:00</v>
      </c>
      <c r="K388">
        <v>-12.218228</v>
      </c>
      <c r="L388">
        <v>-76.97629</v>
      </c>
      <c r="M388">
        <f>HYPERLINK("https://www.google.com/maps/search/?api=1&amp;query=-12.218228,-76.97629","Villa El Salvador, Lima")</f>
      </c>
      <c r="N388">
        <v>28.7</v>
      </c>
      <c r="O388">
        <v>83</v>
      </c>
      <c r="P388">
        <v>295654.59</v>
      </c>
      <c r="Q388" t="str">
        <v>131.35</v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388</v>
      </c>
      <c r="B389" t="str">
        <v>MASS BSF</v>
      </c>
      <c r="C389" t="str">
        <v>C6E-921</v>
      </c>
      <c r="D389" t="str">
        <v>C6E-921</v>
      </c>
      <c r="E389" t="str">
        <v/>
      </c>
      <c r="F389" t="str">
        <v>867806078831353</v>
      </c>
      <c r="G389" t="str">
        <v>TBD</v>
      </c>
      <c r="H389" t="str">
        <v/>
      </c>
      <c r="I389" t="str">
        <v>28/09/2026</v>
      </c>
      <c r="J389" t="str">
        <v>17:01:05</v>
      </c>
      <c r="K389">
        <v>-12.218485</v>
      </c>
      <c r="L389">
        <v>-76.97603</v>
      </c>
      <c r="M389">
        <f>HYPERLINK("https://www.google.com/maps/search/?api=1&amp;query=-12.218485,-76.97603","Villa El Salvador, Lima")</f>
      </c>
      <c r="N389">
        <v>29.6</v>
      </c>
      <c r="O389">
        <v>83</v>
      </c>
      <c r="P389">
        <v>295654.65</v>
      </c>
      <c r="Q389" t="str">
        <v>131.35</v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389</v>
      </c>
      <c r="B390" t="str">
        <v>MASS BSF</v>
      </c>
      <c r="C390" t="str">
        <v>C6E-921</v>
      </c>
      <c r="D390" t="str">
        <v>C6E-921</v>
      </c>
      <c r="E390" t="str">
        <v/>
      </c>
      <c r="F390" t="str">
        <v>867806078831353</v>
      </c>
      <c r="G390" t="str">
        <v>TBD</v>
      </c>
      <c r="H390" t="str">
        <v/>
      </c>
      <c r="I390" t="str">
        <v>28/09/2026</v>
      </c>
      <c r="J390" t="str">
        <v>17:01:10</v>
      </c>
      <c r="K390">
        <v>-12.218828</v>
      </c>
      <c r="L390">
        <v>-76.97589</v>
      </c>
      <c r="M390">
        <f>HYPERLINK("https://www.google.com/maps/search/?api=1&amp;query=-12.218828,-76.97589","Villa El Salvador, Lima")</f>
      </c>
      <c r="N390">
        <v>30.1</v>
      </c>
      <c r="O390">
        <v>83</v>
      </c>
      <c r="P390">
        <v>295654.7</v>
      </c>
      <c r="Q390" t="str">
        <v>131.35</v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390</v>
      </c>
      <c r="B391" t="str">
        <v>MASS BSF</v>
      </c>
      <c r="C391" t="str">
        <v>C6E-921</v>
      </c>
      <c r="D391" t="str">
        <v>C6E-921</v>
      </c>
      <c r="E391" t="str">
        <v/>
      </c>
      <c r="F391" t="str">
        <v>867806078831353</v>
      </c>
      <c r="G391" t="str">
        <v>TBD</v>
      </c>
      <c r="H391" t="str">
        <v/>
      </c>
      <c r="I391" t="str">
        <v>28/09/2026</v>
      </c>
      <c r="J391" t="str">
        <v>17:01:15</v>
      </c>
      <c r="K391">
        <v>-12.21916</v>
      </c>
      <c r="L391">
        <v>-76.97599</v>
      </c>
      <c r="M391">
        <f>HYPERLINK("https://www.google.com/maps/search/?api=1&amp;query=-12.21916,-76.97599","Villa El Salvador, Lima")</f>
      </c>
      <c r="N391">
        <v>27.5</v>
      </c>
      <c r="O391">
        <v>83</v>
      </c>
      <c r="P391">
        <v>295654.71</v>
      </c>
      <c r="Q391" t="str">
        <v>131.35</v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391</v>
      </c>
      <c r="B392" t="str">
        <v>MASS BSF</v>
      </c>
      <c r="C392" t="str">
        <v>C6E-921</v>
      </c>
      <c r="D392" t="str">
        <v>C6E-921</v>
      </c>
      <c r="E392" t="str">
        <v/>
      </c>
      <c r="F392" t="str">
        <v>867806078831353</v>
      </c>
      <c r="G392" t="str">
        <v>TBD</v>
      </c>
      <c r="H392" t="str">
        <v/>
      </c>
      <c r="I392" t="str">
        <v>28/09/2026</v>
      </c>
      <c r="J392" t="str">
        <v>17:01:20</v>
      </c>
      <c r="K392">
        <v>-12.219303</v>
      </c>
      <c r="L392">
        <v>-76.9763</v>
      </c>
      <c r="M392">
        <f>HYPERLINK("https://www.google.com/maps/search/?api=1&amp;query=-12.219303,-76.9763","Villa El Salvador, Lima")</f>
      </c>
      <c r="N392">
        <v>28.5</v>
      </c>
      <c r="O392">
        <v>83</v>
      </c>
      <c r="P392">
        <v>295654.75</v>
      </c>
      <c r="Q392" t="str">
        <v>131.35</v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392</v>
      </c>
      <c r="B393" t="str">
        <v>MASS BSF</v>
      </c>
      <c r="C393" t="str">
        <v>C6E-921</v>
      </c>
      <c r="D393" t="str">
        <v>C6E-921</v>
      </c>
      <c r="E393" t="str">
        <v/>
      </c>
      <c r="F393" t="str">
        <v>867806078831353</v>
      </c>
      <c r="G393" t="str">
        <v>TBD</v>
      </c>
      <c r="H393" t="str">
        <v/>
      </c>
      <c r="I393" t="str">
        <v>28/09/2026</v>
      </c>
      <c r="J393" t="str">
        <v>17:01:25</v>
      </c>
      <c r="K393">
        <v>-12.219169</v>
      </c>
      <c r="L393">
        <v>-76.976616</v>
      </c>
      <c r="M393">
        <f>HYPERLINK("https://www.google.com/maps/search/?api=1&amp;query=-12.219169,-76.976616","Carretera Panamericana Sur, Villa El Salvador, Lima")</f>
      </c>
      <c r="N393">
        <v>26.8</v>
      </c>
      <c r="O393">
        <v>83</v>
      </c>
      <c r="P393">
        <v>295654.8</v>
      </c>
      <c r="Q393" t="str">
        <v>131.35</v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393</v>
      </c>
      <c r="B394" t="str">
        <v>MASS BSF</v>
      </c>
      <c r="C394" t="str">
        <v>C6E-921</v>
      </c>
      <c r="D394" t="str">
        <v>C6E-921</v>
      </c>
      <c r="E394" t="str">
        <v/>
      </c>
      <c r="F394" t="str">
        <v>867806078831353</v>
      </c>
      <c r="G394" t="str">
        <v>TBD</v>
      </c>
      <c r="H394" t="str">
        <v/>
      </c>
      <c r="I394" t="str">
        <v>28/09/2026</v>
      </c>
      <c r="J394" t="str">
        <v>17:01:30</v>
      </c>
      <c r="K394">
        <v>-12.218852</v>
      </c>
      <c r="L394">
        <v>-76.97676</v>
      </c>
      <c r="M394">
        <f>HYPERLINK("https://www.google.com/maps/search/?api=1&amp;query=-12.218852,-76.97676","Carretera Panamericana Sur, Villa El Salvador, Lima")</f>
      </c>
      <c r="N394">
        <v>29.4</v>
      </c>
      <c r="O394">
        <v>83</v>
      </c>
      <c r="P394">
        <v>295654.84</v>
      </c>
      <c r="Q394" t="str">
        <v>131.35</v>
      </c>
      <c r="R394" t="str">
        <v/>
      </c>
      <c r="S394" t="str">
        <v/>
      </c>
      <c r="T394" t="str">
        <v/>
      </c>
      <c r="U394" t="str">
        <v/>
      </c>
    </row>
    <row r="395">
      <c r="A395" t="str">
        <v>394</v>
      </c>
      <c r="B395" t="str">
        <v>MASS BSF</v>
      </c>
      <c r="C395" t="str">
        <v>C6E-921</v>
      </c>
      <c r="D395" t="str">
        <v>C6E-921</v>
      </c>
      <c r="E395" t="str">
        <v/>
      </c>
      <c r="F395" t="str">
        <v>867806078831353</v>
      </c>
      <c r="G395" t="str">
        <v>TBD</v>
      </c>
      <c r="H395" t="str">
        <v/>
      </c>
      <c r="I395" t="str">
        <v>28/09/2026</v>
      </c>
      <c r="J395" t="str">
        <v>17:01:36</v>
      </c>
      <c r="K395">
        <v>-12.218416</v>
      </c>
      <c r="L395">
        <v>-76.976845</v>
      </c>
      <c r="M395">
        <f>HYPERLINK("https://www.google.com/maps/search/?api=1&amp;query=-12.218416,-76.976845","Carretera Panamericana Sur, Villa El Salvador, Lima")</f>
      </c>
      <c r="N395">
        <v>28.7</v>
      </c>
      <c r="O395">
        <v>79</v>
      </c>
      <c r="P395">
        <v>295654.88</v>
      </c>
      <c r="Q395" t="str">
        <v>131.35</v>
      </c>
      <c r="R395" t="str">
        <v/>
      </c>
      <c r="S395" t="str">
        <v/>
      </c>
      <c r="T395" t="str">
        <v/>
      </c>
      <c r="U395" t="str">
        <v/>
      </c>
    </row>
    <row r="396">
      <c r="A396" t="str">
        <v>395</v>
      </c>
      <c r="B396" t="str">
        <v>MASS BSF</v>
      </c>
      <c r="C396" t="str">
        <v>C6E-921</v>
      </c>
      <c r="D396" t="str">
        <v>C6E-921</v>
      </c>
      <c r="E396" t="str">
        <v/>
      </c>
      <c r="F396" t="str">
        <v>867806078831353</v>
      </c>
      <c r="G396" t="str">
        <v>TBD</v>
      </c>
      <c r="H396" t="str">
        <v/>
      </c>
      <c r="I396" t="str">
        <v>28/09/2026</v>
      </c>
      <c r="J396" t="str">
        <v>17:01:46</v>
      </c>
      <c r="K396">
        <v>-12.217783</v>
      </c>
      <c r="L396">
        <v>-76.97683</v>
      </c>
      <c r="M396">
        <f>HYPERLINK("https://www.google.com/maps/search/?api=1&amp;query=-12.217783,-76.97683","Carretera Panamericana Sur, Chorrillos, Lima")</f>
      </c>
      <c r="N396">
        <v>18.1</v>
      </c>
      <c r="O396">
        <v>79</v>
      </c>
      <c r="P396">
        <v>295654.96</v>
      </c>
      <c r="Q396" t="str">
        <v>131.35</v>
      </c>
      <c r="R396" t="str">
        <v/>
      </c>
      <c r="S396" t="str">
        <v/>
      </c>
      <c r="T396" t="str">
        <v/>
      </c>
      <c r="U396" t="str">
        <v/>
      </c>
    </row>
    <row r="397">
      <c r="A397" t="str">
        <v>396</v>
      </c>
      <c r="B397" t="str">
        <v>MASS BSF</v>
      </c>
      <c r="C397" t="str">
        <v>C6E-921</v>
      </c>
      <c r="D397" t="str">
        <v>C6E-921</v>
      </c>
      <c r="E397" t="str">
        <v/>
      </c>
      <c r="F397" t="str">
        <v>867806078831353</v>
      </c>
      <c r="G397" t="str">
        <v>TBD</v>
      </c>
      <c r="H397" t="str">
        <v/>
      </c>
      <c r="I397" t="str">
        <v>28/09/2026</v>
      </c>
      <c r="J397" t="str">
        <v>17:01:51</v>
      </c>
      <c r="K397">
        <v>-12.217618</v>
      </c>
      <c r="L397">
        <v>-76.97671</v>
      </c>
      <c r="M397">
        <f>HYPERLINK("https://www.google.com/maps/search/?api=1&amp;query=-12.217618,-76.97671","Carretera Panamericana Sur, Villa El Salvador, Lima")</f>
      </c>
      <c r="N397">
        <v>13.1</v>
      </c>
      <c r="O397">
        <v>75</v>
      </c>
      <c r="P397">
        <v>295654.96</v>
      </c>
      <c r="Q397" t="str">
        <v>131.35</v>
      </c>
      <c r="R397" t="str">
        <v/>
      </c>
      <c r="S397" t="str">
        <v/>
      </c>
      <c r="T397" t="str">
        <v/>
      </c>
      <c r="U397" t="str">
        <v/>
      </c>
    </row>
    <row r="398">
      <c r="A398" t="str">
        <v>397</v>
      </c>
      <c r="B398" t="str">
        <v>MASS BSF</v>
      </c>
      <c r="C398" t="str">
        <v>C6E-921</v>
      </c>
      <c r="D398" t="str">
        <v>C6E-921</v>
      </c>
      <c r="E398" t="str">
        <v/>
      </c>
      <c r="F398" t="str">
        <v>867806078831353</v>
      </c>
      <c r="G398" t="str">
        <v>TBD</v>
      </c>
      <c r="H398" t="str">
        <v/>
      </c>
      <c r="I398" t="str">
        <v>28/09/2026</v>
      </c>
      <c r="J398" t="str">
        <v>17:01:56</v>
      </c>
      <c r="K398">
        <v>-12.217602</v>
      </c>
      <c r="L398">
        <v>-76.97652</v>
      </c>
      <c r="M398">
        <f>HYPERLINK("https://www.google.com/maps/search/?api=1&amp;query=-12.217602,-76.97652","Antigua Panamericana Sur, Villa El Salvador, Lima")</f>
      </c>
      <c r="N398">
        <v>15.5</v>
      </c>
      <c r="O398">
        <v>75</v>
      </c>
      <c r="P398">
        <v>295655</v>
      </c>
      <c r="Q398" t="str">
        <v>131.35</v>
      </c>
      <c r="R398" t="str">
        <v/>
      </c>
      <c r="S398" t="str">
        <v/>
      </c>
      <c r="T398" t="str">
        <v/>
      </c>
      <c r="U398" t="str">
        <v/>
      </c>
    </row>
    <row r="399">
      <c r="A399" t="str">
        <v>398</v>
      </c>
      <c r="B399" t="str">
        <v>MASS BSF</v>
      </c>
      <c r="C399" t="str">
        <v>C6E-921</v>
      </c>
      <c r="D399" t="str">
        <v>C6E-921</v>
      </c>
      <c r="E399" t="str">
        <v/>
      </c>
      <c r="F399" t="str">
        <v>867806078831353</v>
      </c>
      <c r="G399" t="str">
        <v>TBD</v>
      </c>
      <c r="H399" t="str">
        <v/>
      </c>
      <c r="I399" t="str">
        <v>28/09/2026</v>
      </c>
      <c r="J399" t="str">
        <v>17:02:01</v>
      </c>
      <c r="K399">
        <v>-12.217738</v>
      </c>
      <c r="L399">
        <v>-76.97633</v>
      </c>
      <c r="M399">
        <f>HYPERLINK("https://www.google.com/maps/search/?api=1&amp;query=-12.217738,-76.97633","Antigua Panamericana Sur, Villa El Salvador, Lima")</f>
      </c>
      <c r="N399">
        <v>21.2</v>
      </c>
      <c r="O399">
        <v>75</v>
      </c>
      <c r="P399">
        <v>295655.03</v>
      </c>
      <c r="Q399" t="str">
        <v>131.35</v>
      </c>
      <c r="R399" t="str">
        <v/>
      </c>
      <c r="S399" t="str">
        <v/>
      </c>
      <c r="T399" t="str">
        <v/>
      </c>
      <c r="U399" t="str">
        <v/>
      </c>
    </row>
    <row r="400">
      <c r="A400" t="str">
        <v>399</v>
      </c>
      <c r="B400" t="str">
        <v>MASS BSF</v>
      </c>
      <c r="C400" t="str">
        <v>C6E-921</v>
      </c>
      <c r="D400" t="str">
        <v>C6E-921</v>
      </c>
      <c r="E400" t="str">
        <v/>
      </c>
      <c r="F400" t="str">
        <v>867806078831353</v>
      </c>
      <c r="G400" t="str">
        <v>TBD</v>
      </c>
      <c r="H400" t="str">
        <v/>
      </c>
      <c r="I400" t="str">
        <v>28/09/2026</v>
      </c>
      <c r="J400" t="str">
        <v>17:02:14</v>
      </c>
      <c r="K400">
        <v>-12.21834</v>
      </c>
      <c r="L400">
        <v>-76.975815</v>
      </c>
      <c r="M400">
        <f>HYPERLINK("https://www.google.com/maps/search/?api=1&amp;query=-12.21834,-76.975815","Antigua Panamericana Sur, Villa El Salvador, Lima")</f>
      </c>
      <c r="N400">
        <v>24.4</v>
      </c>
      <c r="O400">
        <v>75</v>
      </c>
      <c r="P400">
        <v>295655.12</v>
      </c>
      <c r="Q400" t="str">
        <v>131.35</v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400</v>
      </c>
      <c r="B401" t="str">
        <v>MASS BSF</v>
      </c>
      <c r="C401" t="str">
        <v>C6E-921</v>
      </c>
      <c r="D401" t="str">
        <v>C6E-921</v>
      </c>
      <c r="E401" t="str">
        <v/>
      </c>
      <c r="F401" t="str">
        <v>867806078831353</v>
      </c>
      <c r="G401" t="str">
        <v>TBD</v>
      </c>
      <c r="H401" t="str">
        <v/>
      </c>
      <c r="I401" t="str">
        <v>28/09/2026</v>
      </c>
      <c r="J401" t="str">
        <v>17:02:19</v>
      </c>
      <c r="K401">
        <v>-12.218625</v>
      </c>
      <c r="L401">
        <v>-76.975685</v>
      </c>
      <c r="M401">
        <f>HYPERLINK("https://www.google.com/maps/search/?api=1&amp;query=-12.218625,-76.975685","Antigua Panamericana Sur, Villa El Salvador, Lima")</f>
      </c>
      <c r="N401">
        <v>24.8</v>
      </c>
      <c r="O401">
        <v>75</v>
      </c>
      <c r="P401">
        <v>295655.15</v>
      </c>
      <c r="Q401" t="str">
        <v>131.35</v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401</v>
      </c>
      <c r="B402" t="str">
        <v>MASS BSF</v>
      </c>
      <c r="C402" t="str">
        <v>C6E-921</v>
      </c>
      <c r="D402" t="str">
        <v>C6E-921</v>
      </c>
      <c r="E402" t="str">
        <v/>
      </c>
      <c r="F402" t="str">
        <v>867806078831353</v>
      </c>
      <c r="G402" t="str">
        <v>TBD</v>
      </c>
      <c r="H402" t="str">
        <v/>
      </c>
      <c r="I402" t="str">
        <v>28/09/2026</v>
      </c>
      <c r="J402" t="str">
        <v>17:02:24</v>
      </c>
      <c r="K402">
        <v>-12.218933</v>
      </c>
      <c r="L402">
        <v>-76.97564</v>
      </c>
      <c r="M402">
        <f>HYPERLINK("https://www.google.com/maps/search/?api=1&amp;query=-12.218933,-76.97564","Antigua Panamericana Sur, Villa El Salvador, Lima")</f>
      </c>
      <c r="N402">
        <v>24</v>
      </c>
      <c r="O402">
        <v>82</v>
      </c>
      <c r="P402">
        <v>295655.2</v>
      </c>
      <c r="Q402" t="str">
        <v>131.35</v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402</v>
      </c>
      <c r="B403" t="str">
        <v>MASS BSF</v>
      </c>
      <c r="C403" t="str">
        <v>C6E-921</v>
      </c>
      <c r="D403" t="str">
        <v>C6E-921</v>
      </c>
      <c r="E403" t="str">
        <v/>
      </c>
      <c r="F403" t="str">
        <v>867806078831353</v>
      </c>
      <c r="G403" t="str">
        <v>TBD</v>
      </c>
      <c r="H403" t="str">
        <v/>
      </c>
      <c r="I403" t="str">
        <v>28/09/2026</v>
      </c>
      <c r="J403" t="str">
        <v>17:02:29</v>
      </c>
      <c r="K403">
        <v>-12.219236</v>
      </c>
      <c r="L403">
        <v>-76.975655</v>
      </c>
      <c r="M403">
        <f>HYPERLINK("https://www.google.com/maps/search/?api=1&amp;query=-12.219236,-76.975655","Antigua Panamericana Sur, Villa El Salvador, Lima")</f>
      </c>
      <c r="N403">
        <v>23.7</v>
      </c>
      <c r="O403">
        <v>75</v>
      </c>
      <c r="P403">
        <v>295655.21</v>
      </c>
      <c r="Q403" t="str">
        <v>131.35</v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403</v>
      </c>
      <c r="B404" t="str">
        <v>MASS BSF</v>
      </c>
      <c r="C404" t="str">
        <v>C6E-921</v>
      </c>
      <c r="D404" t="str">
        <v>C6E-921</v>
      </c>
      <c r="E404" t="str">
        <v/>
      </c>
      <c r="F404" t="str">
        <v>867806078831353</v>
      </c>
      <c r="G404" t="str">
        <v>TBD</v>
      </c>
      <c r="H404" t="str">
        <v/>
      </c>
      <c r="I404" t="str">
        <v>28/09/2026</v>
      </c>
      <c r="J404" t="str">
        <v>17:02:47</v>
      </c>
      <c r="K404">
        <v>-12.220491</v>
      </c>
      <c r="L404">
        <v>-76.975876</v>
      </c>
      <c r="M404">
        <f>HYPERLINK("https://www.google.com/maps/search/?api=1&amp;query=-12.220491,-76.975876","Antigua Panamericana Sur, Villa El Salvador, Lima")</f>
      </c>
      <c r="N404">
        <v>29.8</v>
      </c>
      <c r="O404">
        <v>75</v>
      </c>
      <c r="P404">
        <v>295655.34</v>
      </c>
      <c r="Q404" t="str">
        <v>131.35</v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404</v>
      </c>
      <c r="B405" t="str">
        <v>MASS BSF</v>
      </c>
      <c r="C405" t="str">
        <v>C6E-921</v>
      </c>
      <c r="D405" t="str">
        <v>C6E-921</v>
      </c>
      <c r="E405" t="str">
        <v/>
      </c>
      <c r="F405" t="str">
        <v>867806078831353</v>
      </c>
      <c r="G405" t="str">
        <v>TBD</v>
      </c>
      <c r="H405" t="str">
        <v/>
      </c>
      <c r="I405" t="str">
        <v>28/09/2026</v>
      </c>
      <c r="J405" t="str">
        <v>17:02:52</v>
      </c>
      <c r="K405">
        <v>-12.220843</v>
      </c>
      <c r="L405">
        <v>-76.97578</v>
      </c>
      <c r="M405">
        <f>HYPERLINK("https://www.google.com/maps/search/?api=1&amp;query=-12.220843,-76.97578","Antigua Panamericana Sur, Villa El Salvador, Lima")</f>
      </c>
      <c r="N405">
        <v>29.4</v>
      </c>
      <c r="O405">
        <v>75</v>
      </c>
      <c r="P405">
        <v>295655.4</v>
      </c>
      <c r="Q405" t="str">
        <v>131.35</v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405</v>
      </c>
      <c r="B406" t="str">
        <v>MASS BSF</v>
      </c>
      <c r="C406" t="str">
        <v>C6E-921</v>
      </c>
      <c r="D406" t="str">
        <v>C6E-921</v>
      </c>
      <c r="E406" t="str">
        <v/>
      </c>
      <c r="F406" t="str">
        <v>867806078831353</v>
      </c>
      <c r="G406" t="str">
        <v>TBD</v>
      </c>
      <c r="H406" t="str">
        <v/>
      </c>
      <c r="I406" t="str">
        <v>28/09/2026</v>
      </c>
      <c r="J406" t="str">
        <v>17:02:57</v>
      </c>
      <c r="K406">
        <v>-12.221148</v>
      </c>
      <c r="L406">
        <v>-76.97554</v>
      </c>
      <c r="M406">
        <f>HYPERLINK("https://www.google.com/maps/search/?api=1&amp;query=-12.221148,-76.97554","Antigua Panamericana Sur, Villa El Salvador, Lima")</f>
      </c>
      <c r="N406">
        <v>29.8</v>
      </c>
      <c r="O406">
        <v>75</v>
      </c>
      <c r="P406">
        <v>295655.44</v>
      </c>
      <c r="Q406" t="str">
        <v>131.35</v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406</v>
      </c>
      <c r="B407" t="str">
        <v>MASS BSF</v>
      </c>
      <c r="C407" t="str">
        <v>C6E-921</v>
      </c>
      <c r="D407" t="str">
        <v>C6E-921</v>
      </c>
      <c r="E407" t="str">
        <v/>
      </c>
      <c r="F407" t="str">
        <v>867806078831353</v>
      </c>
      <c r="G407" t="str">
        <v>TBD</v>
      </c>
      <c r="H407" t="str">
        <v/>
      </c>
      <c r="I407" t="str">
        <v>28/09/2026</v>
      </c>
      <c r="J407" t="str">
        <v>17:03:27</v>
      </c>
      <c r="K407">
        <v>-12.222187</v>
      </c>
      <c r="L407">
        <v>-76.974495</v>
      </c>
      <c r="M407">
        <f>HYPERLINK("https://www.google.com/maps/search/?api=1&amp;query=-12.222187,-76.974495","Antigua Panamericana Sur, Villa El Salvador, Lima")</f>
      </c>
      <c r="N407">
        <v>13.1</v>
      </c>
      <c r="O407">
        <v>75</v>
      </c>
      <c r="P407">
        <v>295655.59</v>
      </c>
      <c r="Q407" t="str">
        <v>131.35</v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407</v>
      </c>
      <c r="B408" t="str">
        <v>MASS BSF</v>
      </c>
      <c r="C408" t="str">
        <v>C6E-921</v>
      </c>
      <c r="D408" t="str">
        <v>C6E-921</v>
      </c>
      <c r="E408" t="str">
        <v/>
      </c>
      <c r="F408" t="str">
        <v>867806078831353</v>
      </c>
      <c r="G408" t="str">
        <v>TBD</v>
      </c>
      <c r="H408" t="str">
        <v/>
      </c>
      <c r="I408" t="str">
        <v>28/09/2026</v>
      </c>
      <c r="J408" t="str">
        <v>17:03:32</v>
      </c>
      <c r="K408">
        <v>-12.22215</v>
      </c>
      <c r="L408">
        <v>-76.97432</v>
      </c>
      <c r="M408">
        <f>HYPERLINK("https://www.google.com/maps/search/?api=1&amp;query=-12.22215,-76.97432","Avenida El Sol, Villa El Salvador, Lima")</f>
      </c>
      <c r="N408">
        <v>15.3</v>
      </c>
      <c r="O408">
        <v>85</v>
      </c>
      <c r="P408">
        <v>295655.62</v>
      </c>
      <c r="Q408" t="str">
        <v>131.35</v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408</v>
      </c>
      <c r="B409" t="str">
        <v>MASS BSF</v>
      </c>
      <c r="C409" t="str">
        <v>C6E-921</v>
      </c>
      <c r="D409" t="str">
        <v>C6E-921</v>
      </c>
      <c r="E409" t="str">
        <v/>
      </c>
      <c r="F409" t="str">
        <v>867806078831353</v>
      </c>
      <c r="G409" t="str">
        <v>TBD</v>
      </c>
      <c r="H409" t="str">
        <v/>
      </c>
      <c r="I409" t="str">
        <v>28/09/2026</v>
      </c>
      <c r="J409" t="str">
        <v>17:03:37</v>
      </c>
      <c r="K409">
        <v>-12.222056</v>
      </c>
      <c r="L409">
        <v>-76.9742</v>
      </c>
      <c r="M409">
        <f>HYPERLINK("https://www.google.com/maps/search/?api=1&amp;query=-12.222056,-76.9742","Avenida El Sol, Villa El Salvador, Lima")</f>
      </c>
      <c r="N409">
        <v>7.5</v>
      </c>
      <c r="O409">
        <v>85</v>
      </c>
      <c r="P409">
        <v>295655.62</v>
      </c>
      <c r="Q409" t="str">
        <v>131.35</v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409</v>
      </c>
      <c r="B410" t="str">
        <v>MASS BSF</v>
      </c>
      <c r="C410" t="str">
        <v>C6E-921</v>
      </c>
      <c r="D410" t="str">
        <v>C6E-921</v>
      </c>
      <c r="E410" t="str">
        <v/>
      </c>
      <c r="F410" t="str">
        <v>867806078831353</v>
      </c>
      <c r="G410" t="str">
        <v>TBD</v>
      </c>
      <c r="H410" t="str">
        <v/>
      </c>
      <c r="I410" t="str">
        <v>28/09/2026</v>
      </c>
      <c r="J410" t="str">
        <v>17:04:16</v>
      </c>
      <c r="K410">
        <v>-12.22053</v>
      </c>
      <c r="L410">
        <v>-76.972595</v>
      </c>
      <c r="M410">
        <f>HYPERLINK("https://www.google.com/maps/search/?api=1&amp;query=-12.22053,-76.972595","Avenida El Sol, Villa El Salvador, Lima")</f>
      </c>
      <c r="N410">
        <v>5</v>
      </c>
      <c r="O410">
        <v>85</v>
      </c>
      <c r="P410">
        <v>295655.88</v>
      </c>
      <c r="Q410" t="str">
        <v>131.35</v>
      </c>
      <c r="R410" t="str">
        <v>Bache</v>
      </c>
      <c r="S410" t="str">
        <v/>
      </c>
      <c r="T410" t="str">
        <v/>
      </c>
      <c r="U410" t="str">
        <v/>
      </c>
    </row>
    <row r="411">
      <c r="A411" t="str">
        <v>410</v>
      </c>
      <c r="B411" t="str">
        <v>MASS BSF</v>
      </c>
      <c r="C411" t="str">
        <v>C6E-921</v>
      </c>
      <c r="D411" t="str">
        <v>C6E-921</v>
      </c>
      <c r="E411" t="str">
        <v/>
      </c>
      <c r="F411" t="str">
        <v>867806078831353</v>
      </c>
      <c r="G411" t="str">
        <v>TBD</v>
      </c>
      <c r="H411" t="str">
        <v/>
      </c>
      <c r="I411" t="str">
        <v>28/09/2026</v>
      </c>
      <c r="J411" t="str">
        <v>17:04:37</v>
      </c>
      <c r="K411">
        <v>-12.22016</v>
      </c>
      <c r="L411">
        <v>-76.97221</v>
      </c>
      <c r="M411">
        <f>HYPERLINK("https://www.google.com/maps/search/?api=1&amp;query=-12.22016,-76.97221","Avenida El Sol, Villa El Salvador, Lima")</f>
      </c>
      <c r="N411">
        <v>11.6</v>
      </c>
      <c r="O411">
        <v>85</v>
      </c>
      <c r="P411">
        <v>295655.94</v>
      </c>
      <c r="Q411" t="str">
        <v>131.35</v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411</v>
      </c>
      <c r="B412" t="str">
        <v>MASS BSF</v>
      </c>
      <c r="C412" t="str">
        <v>C6E-921</v>
      </c>
      <c r="D412" t="str">
        <v>C6E-921</v>
      </c>
      <c r="E412" t="str">
        <v/>
      </c>
      <c r="F412" t="str">
        <v>867806078831353</v>
      </c>
      <c r="G412" t="str">
        <v>TBD</v>
      </c>
      <c r="H412" t="str">
        <v/>
      </c>
      <c r="I412" t="str">
        <v>28/09/2026</v>
      </c>
      <c r="J412" t="str">
        <v>17:05:37</v>
      </c>
      <c r="K412">
        <v>-12.218995</v>
      </c>
      <c r="L412">
        <v>-76.97098</v>
      </c>
      <c r="M412">
        <f>HYPERLINK("https://www.google.com/maps/search/?api=1&amp;query=-12.218995,-76.97098","Avenida El Sol, Villa El Salvador, Lima")</f>
      </c>
      <c r="N412">
        <v>11.1</v>
      </c>
      <c r="O412">
        <v>85</v>
      </c>
      <c r="P412">
        <v>295656.09</v>
      </c>
      <c r="Q412" t="str">
        <v>131.35</v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412</v>
      </c>
      <c r="B413" t="str">
        <v>MASS BSF</v>
      </c>
      <c r="C413" t="str">
        <v>C6E-921</v>
      </c>
      <c r="D413" t="str">
        <v>C6E-921</v>
      </c>
      <c r="E413" t="str">
        <v/>
      </c>
      <c r="F413" t="str">
        <v>867806078831353</v>
      </c>
      <c r="G413" t="str">
        <v>TBD</v>
      </c>
      <c r="H413" t="str">
        <v/>
      </c>
      <c r="I413" t="str">
        <v>28/09/2026</v>
      </c>
      <c r="J413" t="str">
        <v>17:07:37</v>
      </c>
      <c r="K413">
        <v>-12.216402</v>
      </c>
      <c r="L413">
        <v>-76.96822</v>
      </c>
      <c r="M413">
        <f>HYPERLINK("https://www.google.com/maps/search/?api=1&amp;query=-12.216402,-76.96822","Avenida El Sol, Villa El Salvador, Lima")</f>
      </c>
      <c r="N413">
        <v>22</v>
      </c>
      <c r="O413">
        <v>83</v>
      </c>
      <c r="P413">
        <v>295656.5</v>
      </c>
      <c r="Q413" t="str">
        <v>131.35</v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413</v>
      </c>
      <c r="B414" t="str">
        <v>MASS BSF</v>
      </c>
      <c r="C414" t="str">
        <v>C6E-921</v>
      </c>
      <c r="D414" t="str">
        <v>C6E-921</v>
      </c>
      <c r="E414" t="str">
        <v/>
      </c>
      <c r="F414" t="str">
        <v>867806078831353</v>
      </c>
      <c r="G414" t="str">
        <v>TBD</v>
      </c>
      <c r="H414" t="str">
        <v/>
      </c>
      <c r="I414" t="str">
        <v>28/09/2026</v>
      </c>
      <c r="J414" t="str">
        <v>17:07:45</v>
      </c>
      <c r="K414">
        <v>-12.215995</v>
      </c>
      <c r="L414">
        <v>-76.96779</v>
      </c>
      <c r="M414">
        <f>HYPERLINK("https://www.google.com/maps/search/?api=1&amp;query=-12.215995,-76.96779","Avenida El Sol, Villa El Salvador, Lima")</f>
      </c>
      <c r="N414">
        <v>26.6</v>
      </c>
      <c r="O414">
        <v>83</v>
      </c>
      <c r="P414">
        <v>295656.56</v>
      </c>
      <c r="Q414" t="str">
        <v>131.35</v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414</v>
      </c>
      <c r="B415" t="str">
        <v>MASS BSF</v>
      </c>
      <c r="C415" t="str">
        <v>C6E-921</v>
      </c>
      <c r="D415" t="str">
        <v>C6E-921</v>
      </c>
      <c r="E415" t="str">
        <v/>
      </c>
      <c r="F415" t="str">
        <v>867806078831353</v>
      </c>
      <c r="G415" t="str">
        <v>TBD</v>
      </c>
      <c r="H415" t="str">
        <v/>
      </c>
      <c r="I415" t="str">
        <v>28/09/2026</v>
      </c>
      <c r="J415" t="str">
        <v>17:07:50</v>
      </c>
      <c r="K415">
        <v>-12.215683</v>
      </c>
      <c r="L415">
        <v>-76.96761</v>
      </c>
      <c r="M415">
        <f>HYPERLINK("https://www.google.com/maps/search/?api=1&amp;query=-12.215683,-76.96761","Avenida El Sol, Villa El Salvador, Lima")</f>
      </c>
      <c r="N415">
        <v>29.8</v>
      </c>
      <c r="O415">
        <v>85</v>
      </c>
      <c r="P415">
        <v>295656.62</v>
      </c>
      <c r="Q415" t="str">
        <v>131.35</v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415</v>
      </c>
      <c r="B416" t="str">
        <v>MASS BSF</v>
      </c>
      <c r="C416" t="str">
        <v>C6E-921</v>
      </c>
      <c r="D416" t="str">
        <v>C6E-921</v>
      </c>
      <c r="E416" t="str">
        <v/>
      </c>
      <c r="F416" t="str">
        <v>867806078831353</v>
      </c>
      <c r="G416" t="str">
        <v>TBD</v>
      </c>
      <c r="H416" t="str">
        <v/>
      </c>
      <c r="I416" t="str">
        <v>28/09/2026</v>
      </c>
      <c r="J416" t="str">
        <v>17:08:00</v>
      </c>
      <c r="K416">
        <v>-12.21501</v>
      </c>
      <c r="L416">
        <v>-76.967255</v>
      </c>
      <c r="M416">
        <f>HYPERLINK("https://www.google.com/maps/search/?api=1&amp;query=-12.21501,-76.967255","Avenida El Sol, Villa El Salvador, Lima")</f>
      </c>
      <c r="N416">
        <v>30.7</v>
      </c>
      <c r="O416">
        <v>85</v>
      </c>
      <c r="P416">
        <v>295656.7</v>
      </c>
      <c r="Q416" t="str">
        <v>131.35</v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416</v>
      </c>
      <c r="B417" t="str">
        <v>MASS BSF</v>
      </c>
      <c r="C417" t="str">
        <v>C6E-921</v>
      </c>
      <c r="D417" t="str">
        <v>C6E-921</v>
      </c>
      <c r="E417" t="str">
        <v/>
      </c>
      <c r="F417" t="str">
        <v>867806078831353</v>
      </c>
      <c r="G417" t="str">
        <v>TBD</v>
      </c>
      <c r="H417" t="str">
        <v/>
      </c>
      <c r="I417" t="str">
        <v>28/09/2026</v>
      </c>
      <c r="J417" t="str">
        <v>17:08:28</v>
      </c>
      <c r="K417">
        <v>-12.213345</v>
      </c>
      <c r="L417">
        <v>-76.96562</v>
      </c>
      <c r="M417">
        <f>HYPERLINK("https://www.google.com/maps/search/?api=1&amp;query=-12.213345,-76.96562","Avenida El Sol, Villa El Salvador, Lima")</f>
      </c>
      <c r="N417">
        <v>24</v>
      </c>
      <c r="O417">
        <v>85</v>
      </c>
      <c r="P417">
        <v>295656.94</v>
      </c>
      <c r="Q417" t="str">
        <v>131.35</v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417</v>
      </c>
      <c r="B418" t="str">
        <v>MASS BSF</v>
      </c>
      <c r="C418" t="str">
        <v>C6E-921</v>
      </c>
      <c r="D418" t="str">
        <v>C6E-921</v>
      </c>
      <c r="E418" t="str">
        <v/>
      </c>
      <c r="F418" t="str">
        <v>867806078831353</v>
      </c>
      <c r="G418" t="str">
        <v>TBD</v>
      </c>
      <c r="H418" t="str">
        <v/>
      </c>
      <c r="I418" t="str">
        <v>28/09/2026</v>
      </c>
      <c r="J418" t="str">
        <v>17:08:40</v>
      </c>
      <c r="K418">
        <v>-12.212918</v>
      </c>
      <c r="L418">
        <v>-76.96513</v>
      </c>
      <c r="M418">
        <f>HYPERLINK("https://www.google.com/maps/search/?api=1&amp;query=-12.212918,-76.96513","Avenida El Sol, Villa El Salvador, Lima")</f>
      </c>
      <c r="N418">
        <v>15.9</v>
      </c>
      <c r="O418">
        <v>85</v>
      </c>
      <c r="P418">
        <v>295657.03</v>
      </c>
      <c r="Q418" t="str">
        <v>131.35</v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418</v>
      </c>
      <c r="B419" t="str">
        <v>MASS BSF</v>
      </c>
      <c r="C419" t="str">
        <v>C6E-921</v>
      </c>
      <c r="D419" t="str">
        <v>C6E-921</v>
      </c>
      <c r="E419" t="str">
        <v/>
      </c>
      <c r="F419" t="str">
        <v>867806078831353</v>
      </c>
      <c r="G419" t="str">
        <v>TBD</v>
      </c>
      <c r="H419" t="str">
        <v/>
      </c>
      <c r="I419" t="str">
        <v>28/09/2026</v>
      </c>
      <c r="J419" t="str">
        <v>17:09:30</v>
      </c>
      <c r="K419">
        <v>-12.211253</v>
      </c>
      <c r="L419">
        <v>-76.962036</v>
      </c>
      <c r="M419">
        <f>HYPERLINK("https://www.google.com/maps/search/?api=1&amp;query=-12.211253,-76.962036","Avenida El Sol, Villa El Salvador, Lima")</f>
      </c>
      <c r="N419">
        <v>12.2</v>
      </c>
      <c r="O419">
        <v>85</v>
      </c>
      <c r="P419">
        <v>295657.4</v>
      </c>
      <c r="Q419" t="str">
        <v>131.35</v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419</v>
      </c>
      <c r="B420" t="str">
        <v>MASS BSF</v>
      </c>
      <c r="C420" t="str">
        <v>C6E-921</v>
      </c>
      <c r="D420" t="str">
        <v>C6E-921</v>
      </c>
      <c r="E420" t="str">
        <v/>
      </c>
      <c r="F420" t="str">
        <v>867806078831353</v>
      </c>
      <c r="G420" t="str">
        <v>TBD</v>
      </c>
      <c r="H420" t="str">
        <v/>
      </c>
      <c r="I420" t="str">
        <v>28/09/2026</v>
      </c>
      <c r="J420" t="str">
        <v>17:09:51</v>
      </c>
      <c r="K420">
        <v>-12.211433</v>
      </c>
      <c r="L420">
        <v>-76.96184</v>
      </c>
      <c r="M420">
        <f>HYPERLINK("https://www.google.com/maps/search/?api=1&amp;query=-12.211433,-76.96184","Calle 1, Villa El Salvador, Lima")</f>
      </c>
      <c r="N420">
        <v>5.5</v>
      </c>
      <c r="O420">
        <v>78</v>
      </c>
      <c r="P420">
        <v>295657.44</v>
      </c>
      <c r="Q420" t="str">
        <v>131.35</v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420</v>
      </c>
      <c r="B421" t="str">
        <v>MASS BSF</v>
      </c>
      <c r="C421" t="str">
        <v>C6E-921</v>
      </c>
      <c r="D421" t="str">
        <v>C6E-921</v>
      </c>
      <c r="E421" t="str">
        <v/>
      </c>
      <c r="F421" t="str">
        <v>867806078831353</v>
      </c>
      <c r="G421" t="str">
        <v>TBD</v>
      </c>
      <c r="H421" t="str">
        <v/>
      </c>
      <c r="I421" t="str">
        <v>28/09/2026</v>
      </c>
      <c r="J421" t="str">
        <v>17:10:29</v>
      </c>
      <c r="K421">
        <v>-12.2124</v>
      </c>
      <c r="L421">
        <v>-76.961235</v>
      </c>
      <c r="M421">
        <f>HYPERLINK("https://www.google.com/maps/search/?api=1&amp;query=-12.2124,-76.961235","Calle 1, Villa El Salvador, Lima")</f>
      </c>
      <c r="N421">
        <v>11.1</v>
      </c>
      <c r="O421">
        <v>78</v>
      </c>
      <c r="P421">
        <v>295657.56</v>
      </c>
      <c r="Q421" t="str">
        <v>131.35</v>
      </c>
      <c r="R421" t="str">
        <v>Bache</v>
      </c>
      <c r="S421" t="str">
        <v/>
      </c>
      <c r="T421" t="str">
        <v/>
      </c>
      <c r="U421" t="str">
        <v/>
      </c>
    </row>
    <row r="422">
      <c r="A422" t="str">
        <v>421</v>
      </c>
      <c r="B422" t="str">
        <v>MASS BSF</v>
      </c>
      <c r="C422" t="str">
        <v>C6E-921</v>
      </c>
      <c r="D422" t="str">
        <v>C6E-921</v>
      </c>
      <c r="E422" t="str">
        <v/>
      </c>
      <c r="F422" t="str">
        <v>867806078831353</v>
      </c>
      <c r="G422" t="str">
        <v>TBD</v>
      </c>
      <c r="H422" t="str">
        <v/>
      </c>
      <c r="I422" t="str">
        <v>28/09/2026</v>
      </c>
      <c r="J422" t="str">
        <v>17:10:32</v>
      </c>
      <c r="K422">
        <v>-12.212479</v>
      </c>
      <c r="L422">
        <v>-76.96119</v>
      </c>
      <c r="M422">
        <f>HYPERLINK("https://www.google.com/maps/search/?api=1&amp;query=-12.212479,-76.96119","Calle 1, Villa El Salvador, Lima")</f>
      </c>
      <c r="N422">
        <v>12.4</v>
      </c>
      <c r="O422">
        <v>78</v>
      </c>
      <c r="P422">
        <v>295657.56</v>
      </c>
      <c r="Q422" t="str">
        <v>131.35</v>
      </c>
      <c r="R422" t="str">
        <v>Ingreso a camino vecinal</v>
      </c>
      <c r="S422" t="str">
        <v/>
      </c>
      <c r="T422" t="str">
        <v/>
      </c>
      <c r="U422" t="str">
        <v/>
      </c>
    </row>
    <row r="423">
      <c r="A423" t="str">
        <v>422</v>
      </c>
      <c r="B423" t="str">
        <v>MASS BSF</v>
      </c>
      <c r="C423" t="str">
        <v>C6E-921</v>
      </c>
      <c r="D423" t="str">
        <v>C6E-921</v>
      </c>
      <c r="E423" t="str">
        <v/>
      </c>
      <c r="F423" t="str">
        <v>867806078831353</v>
      </c>
      <c r="G423" t="str">
        <v>TBD</v>
      </c>
      <c r="H423" t="str">
        <v/>
      </c>
      <c r="I423" t="str">
        <v>28/09/2026</v>
      </c>
      <c r="J423" t="str">
        <v>17:10:51</v>
      </c>
      <c r="K423">
        <v>-12.212981</v>
      </c>
      <c r="L423">
        <v>-76.96085</v>
      </c>
      <c r="M423">
        <f>HYPERLINK("https://www.google.com/maps/search/?api=1&amp;query=-12.212981,-76.96085","Calle 1, Villa El Salvador, Lima")</f>
      </c>
      <c r="N423">
        <v>15.3</v>
      </c>
      <c r="O423">
        <v>78</v>
      </c>
      <c r="P423">
        <v>295657.62</v>
      </c>
      <c r="Q423" t="str">
        <v>131.35</v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423</v>
      </c>
      <c r="B424" t="str">
        <v>MASS BSF</v>
      </c>
      <c r="C424" t="str">
        <v>C6E-921</v>
      </c>
      <c r="D424" t="str">
        <v>C6E-921</v>
      </c>
      <c r="E424" t="str">
        <v/>
      </c>
      <c r="F424" t="str">
        <v>867806078831353</v>
      </c>
      <c r="G424" t="str">
        <v>TBD</v>
      </c>
      <c r="H424" t="str">
        <v/>
      </c>
      <c r="I424" t="str">
        <v>28/09/2026</v>
      </c>
      <c r="J424" t="str">
        <v>17:10:58</v>
      </c>
      <c r="K424">
        <v>-12.21323</v>
      </c>
      <c r="L424">
        <v>-76.960724</v>
      </c>
      <c r="M424">
        <f>HYPERLINK("https://www.google.com/maps/search/?api=1&amp;query=-12.21323,-76.960724","Calle 1, Villa El Salvador, Lima")</f>
      </c>
      <c r="N424">
        <v>12.9</v>
      </c>
      <c r="O424">
        <v>78</v>
      </c>
      <c r="P424">
        <v>295657.65</v>
      </c>
      <c r="Q424" t="str">
        <v>131.35</v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424</v>
      </c>
      <c r="B425" t="str">
        <v>MASS BSF</v>
      </c>
      <c r="C425" t="str">
        <v>C6E-921</v>
      </c>
      <c r="D425" t="str">
        <v>C6E-921</v>
      </c>
      <c r="E425" t="str">
        <v/>
      </c>
      <c r="F425" t="str">
        <v>867806078831353</v>
      </c>
      <c r="G425" t="str">
        <v>TBD</v>
      </c>
      <c r="H425" t="str">
        <v/>
      </c>
      <c r="I425" t="str">
        <v>28/09/2026</v>
      </c>
      <c r="J425" t="str">
        <v>17:11:06</v>
      </c>
      <c r="K425">
        <v>-12.213458</v>
      </c>
      <c r="L425">
        <v>-76.960625</v>
      </c>
      <c r="M425">
        <f>HYPERLINK("https://www.google.com/maps/search/?api=1&amp;query=-12.213458,-76.960625","Calle 1, Villa El Salvador, Lima")</f>
      </c>
      <c r="N425">
        <v>10.5</v>
      </c>
      <c r="O425">
        <v>78</v>
      </c>
      <c r="P425">
        <v>295657.7</v>
      </c>
      <c r="Q425" t="str">
        <v>131.35</v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425</v>
      </c>
      <c r="B426" t="str">
        <v>MASS BSF</v>
      </c>
      <c r="C426" t="str">
        <v>C6E-921</v>
      </c>
      <c r="D426" t="str">
        <v>C6E-921</v>
      </c>
      <c r="E426" t="str">
        <v/>
      </c>
      <c r="F426" t="str">
        <v>867806078831353</v>
      </c>
      <c r="G426" t="str">
        <v>TBD</v>
      </c>
      <c r="H426" t="str">
        <v/>
      </c>
      <c r="I426" t="str">
        <v>28/09/2026</v>
      </c>
      <c r="J426" t="str">
        <v>17:11:11</v>
      </c>
      <c r="K426">
        <v>-12.21356</v>
      </c>
      <c r="L426">
        <v>-76.96053</v>
      </c>
      <c r="M426">
        <f>HYPERLINK("https://www.google.com/maps/search/?api=1&amp;query=-12.21356,-76.96053","Calle 1, Villa El Salvador, Lima")</f>
      </c>
      <c r="N426">
        <v>10.9</v>
      </c>
      <c r="O426">
        <v>78</v>
      </c>
      <c r="P426">
        <v>295657.7</v>
      </c>
      <c r="Q426" t="str">
        <v>131.35</v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426</v>
      </c>
      <c r="B427" t="str">
        <v>MASS BSF</v>
      </c>
      <c r="C427" t="str">
        <v>C6E-921</v>
      </c>
      <c r="D427" t="str">
        <v>C6E-921</v>
      </c>
      <c r="E427" t="str">
        <v/>
      </c>
      <c r="F427" t="str">
        <v>867806078831353</v>
      </c>
      <c r="G427" t="str">
        <v>TBD</v>
      </c>
      <c r="H427" t="str">
        <v/>
      </c>
      <c r="I427" t="str">
        <v>28/09/2026</v>
      </c>
      <c r="J427" t="str">
        <v>17:11:16</v>
      </c>
      <c r="K427">
        <v>-12.213567</v>
      </c>
      <c r="L427">
        <v>-76.96042</v>
      </c>
      <c r="M427">
        <f>HYPERLINK("https://www.google.com/maps/search/?api=1&amp;query=-12.213567,-76.96042","Avenida Villa del Mar, Villa El Salvador, Lima")</f>
      </c>
      <c r="N427">
        <v>7</v>
      </c>
      <c r="O427">
        <v>78</v>
      </c>
      <c r="P427">
        <v>295657.71</v>
      </c>
      <c r="Q427" t="str">
        <v>131.35</v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427</v>
      </c>
      <c r="B428" t="str">
        <v>MASS BSF</v>
      </c>
      <c r="C428" t="str">
        <v>C6E-921</v>
      </c>
      <c r="D428" t="str">
        <v>C6E-921</v>
      </c>
      <c r="E428" t="str">
        <v/>
      </c>
      <c r="F428" t="str">
        <v>867806078831353</v>
      </c>
      <c r="G428" t="str">
        <v>TBD</v>
      </c>
      <c r="H428" t="str">
        <v/>
      </c>
      <c r="I428" t="str">
        <v>28/09/2026</v>
      </c>
      <c r="J428" t="str">
        <v>17:11:21</v>
      </c>
      <c r="K428">
        <v>-12.213515</v>
      </c>
      <c r="L428">
        <v>-76.96035</v>
      </c>
      <c r="M428">
        <f>HYPERLINK("https://www.google.com/maps/search/?api=1&amp;query=-12.213515,-76.96035","Avenida Villa del Mar, Villa El Salvador, Lima")</f>
      </c>
      <c r="N428">
        <v>7.5</v>
      </c>
      <c r="O428">
        <v>78</v>
      </c>
      <c r="P428">
        <v>295657.71</v>
      </c>
      <c r="Q428" t="str">
        <v>131.35</v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428</v>
      </c>
      <c r="B429" t="str">
        <v>MASS BSF</v>
      </c>
      <c r="C429" t="str">
        <v>C6E-921</v>
      </c>
      <c r="D429" t="str">
        <v>C6E-921</v>
      </c>
      <c r="E429" t="str">
        <v/>
      </c>
      <c r="F429" t="str">
        <v>867806078831353</v>
      </c>
      <c r="G429" t="str">
        <v>TBD</v>
      </c>
      <c r="H429" t="str">
        <v/>
      </c>
      <c r="I429" t="str">
        <v>28/09/2026</v>
      </c>
      <c r="J429" t="str">
        <v>17:11:37</v>
      </c>
      <c r="K429">
        <v>-12.213292</v>
      </c>
      <c r="L429">
        <v>-76.96003</v>
      </c>
      <c r="M429">
        <f>HYPERLINK("https://www.google.com/maps/search/?api=1&amp;query=-12.213292,-76.96003","Avenida Villa del Mar, Villa El Salvador, Lima")</f>
      </c>
      <c r="N429">
        <v>9.8</v>
      </c>
      <c r="O429">
        <v>78</v>
      </c>
      <c r="P429">
        <v>295657.75</v>
      </c>
      <c r="Q429" t="str">
        <v>131.35</v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429</v>
      </c>
      <c r="B430" t="str">
        <v>MASS BSF</v>
      </c>
      <c r="C430" t="str">
        <v>C6E-921</v>
      </c>
      <c r="D430" t="str">
        <v>C6E-921</v>
      </c>
      <c r="E430" t="str">
        <v/>
      </c>
      <c r="F430" t="str">
        <v>867806078831353</v>
      </c>
      <c r="G430" t="str">
        <v>TBD</v>
      </c>
      <c r="H430" t="str">
        <v/>
      </c>
      <c r="I430" t="str">
        <v>28/09/2026</v>
      </c>
      <c r="J430" t="str">
        <v>17:11:37</v>
      </c>
      <c r="K430">
        <v>-12.213292</v>
      </c>
      <c r="L430">
        <v>-76.96003</v>
      </c>
      <c r="M430">
        <f>HYPERLINK("https://www.google.com/maps/search/?api=1&amp;query=-12.213292,-76.96003","Avenida Villa del Mar, Villa El Salvador, Lima")</f>
      </c>
      <c r="N430">
        <v>9.8</v>
      </c>
      <c r="O430">
        <v>89</v>
      </c>
      <c r="P430">
        <v>295657.75</v>
      </c>
      <c r="Q430" t="str">
        <v>136.02</v>
      </c>
      <c r="R430" t="str">
        <v>Llegó a la zona</v>
      </c>
      <c r="S430" t="str">
        <v>BASE-OSLOGISTICS</v>
      </c>
      <c r="T430" t="str">
        <v xml:space="preserve"> </v>
      </c>
      <c r="U430" t="str">
        <v/>
      </c>
    </row>
    <row r="431">
      <c r="A431" t="str">
        <v>430</v>
      </c>
      <c r="B431" t="str">
        <v>MASS BSF</v>
      </c>
      <c r="C431" t="str">
        <v>C6E-921</v>
      </c>
      <c r="D431" t="str">
        <v>C6E-921</v>
      </c>
      <c r="E431" t="str">
        <v/>
      </c>
      <c r="F431" t="str">
        <v>867806078831353</v>
      </c>
      <c r="G431" t="str">
        <v>TBD</v>
      </c>
      <c r="H431" t="str">
        <v/>
      </c>
      <c r="I431" t="str">
        <v>28/09/2026</v>
      </c>
      <c r="J431" t="str">
        <v>17:11:47</v>
      </c>
      <c r="K431">
        <v>-12.21316</v>
      </c>
      <c r="L431">
        <v>-76.9598</v>
      </c>
      <c r="M431">
        <f>HYPERLINK("https://www.google.com/maps/search/?api=1&amp;query=-12.21316,-76.9598","Avenida Villa del Mar, Villa El Salvador, Lima")</f>
      </c>
      <c r="N431">
        <v>9.6</v>
      </c>
      <c r="O431">
        <v>78</v>
      </c>
      <c r="P431">
        <v>295657.78</v>
      </c>
      <c r="Q431" t="str">
        <v>131.35</v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431</v>
      </c>
      <c r="B432" t="str">
        <v>MASS BSF</v>
      </c>
      <c r="C432" t="str">
        <v>C6E-921</v>
      </c>
      <c r="D432" t="str">
        <v>C6E-921</v>
      </c>
      <c r="E432" t="str">
        <v/>
      </c>
      <c r="F432" t="str">
        <v>867806078831353</v>
      </c>
      <c r="G432" t="str">
        <v>TBD</v>
      </c>
      <c r="H432" t="str">
        <v/>
      </c>
      <c r="I432" t="str">
        <v>28/09/2026</v>
      </c>
      <c r="J432" t="str">
        <v>17:11:52</v>
      </c>
      <c r="K432">
        <v>-12.213092</v>
      </c>
      <c r="L432">
        <v>-76.95969</v>
      </c>
      <c r="M432">
        <f>HYPERLINK("https://www.google.com/maps/search/?api=1&amp;query=-12.213092,-76.95969","Avenida Villa del Mar, Villa El Salvador, Lima")</f>
      </c>
      <c r="N432">
        <v>9.2</v>
      </c>
      <c r="O432">
        <v>78</v>
      </c>
      <c r="P432">
        <v>295657.8</v>
      </c>
      <c r="Q432" t="str">
        <v>131.35</v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432</v>
      </c>
      <c r="B433" t="str">
        <v>MASS BSF</v>
      </c>
      <c r="C433" t="str">
        <v>C6E-921</v>
      </c>
      <c r="D433" t="str">
        <v>C6E-921</v>
      </c>
      <c r="E433" t="str">
        <v/>
      </c>
      <c r="F433" t="str">
        <v>867806078831353</v>
      </c>
      <c r="G433" t="str">
        <v>TBD</v>
      </c>
      <c r="H433" t="str">
        <v/>
      </c>
      <c r="I433" t="str">
        <v>28/09/2026</v>
      </c>
      <c r="J433" t="str">
        <v>17:12:13</v>
      </c>
      <c r="K433">
        <v>-12.212829</v>
      </c>
      <c r="L433">
        <v>-76.95929</v>
      </c>
      <c r="M433">
        <f>HYPERLINK("https://www.google.com/maps/search/?api=1&amp;query=-12.212829,-76.95929","Avenida Villa del Mar, Villa El Salvador, Lima")</f>
      </c>
      <c r="N433">
        <v>8.7</v>
      </c>
      <c r="O433">
        <v>78</v>
      </c>
      <c r="P433">
        <v>295657.84</v>
      </c>
      <c r="Q433" t="str">
        <v>131.35</v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433</v>
      </c>
      <c r="B434" t="str">
        <v>MASS BSF</v>
      </c>
      <c r="C434" t="str">
        <v>C6E-921</v>
      </c>
      <c r="D434" t="str">
        <v>C6E-921</v>
      </c>
      <c r="E434" t="str">
        <v/>
      </c>
      <c r="F434" t="str">
        <v>867806078831353</v>
      </c>
      <c r="G434" t="str">
        <v>TBD</v>
      </c>
      <c r="H434" t="str">
        <v/>
      </c>
      <c r="I434" t="str">
        <v>28/09/2026</v>
      </c>
      <c r="J434" t="str">
        <v>17:12:18</v>
      </c>
      <c r="K434">
        <v>-12.212853</v>
      </c>
      <c r="L434">
        <v>-76.959206</v>
      </c>
      <c r="M434">
        <f>HYPERLINK("https://www.google.com/maps/search/?api=1&amp;query=-12.212853,-76.959206","Avenida Villa del Mar, Villa El Salvador, Lima")</f>
      </c>
      <c r="N434">
        <v>6.1</v>
      </c>
      <c r="O434">
        <v>78</v>
      </c>
      <c r="P434">
        <v>295657.84</v>
      </c>
      <c r="Q434" t="str">
        <v>131.35</v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434</v>
      </c>
      <c r="B435" t="str">
        <v>MASS BSF</v>
      </c>
      <c r="C435" t="str">
        <v>C6E-921</v>
      </c>
      <c r="D435" t="str">
        <v>C6E-921</v>
      </c>
      <c r="E435" t="str">
        <v/>
      </c>
      <c r="F435" t="str">
        <v>867806078831353</v>
      </c>
      <c r="G435" t="str">
        <v>TBD</v>
      </c>
      <c r="H435" t="str">
        <v/>
      </c>
      <c r="I435" t="str">
        <v>28/09/2026</v>
      </c>
      <c r="J435" t="str">
        <v>17:13:08</v>
      </c>
      <c r="K435">
        <v>-12.212956</v>
      </c>
      <c r="L435">
        <v>-76.95916</v>
      </c>
      <c r="M435">
        <f>HYPERLINK("https://www.google.com/maps/search/?api=1&amp;query=-12.212956,-76.95916","Avenida Villa del Mar, Villa El Salvador, Lima")</f>
      </c>
      <c r="N435">
        <v>6.1</v>
      </c>
      <c r="O435">
        <v>78</v>
      </c>
      <c r="P435">
        <v>295657.88</v>
      </c>
      <c r="Q435" t="str">
        <v>131.35</v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435</v>
      </c>
      <c r="B436" t="str">
        <v>MASS BSF</v>
      </c>
      <c r="C436" t="str">
        <v>C6E-921</v>
      </c>
      <c r="D436" t="str">
        <v>C6E-921</v>
      </c>
      <c r="E436" t="str">
        <v/>
      </c>
      <c r="F436" t="str">
        <v>867806078831353</v>
      </c>
      <c r="G436" t="str">
        <v>TBD</v>
      </c>
      <c r="H436" t="str">
        <v/>
      </c>
      <c r="I436" t="str">
        <v>28/09/2026</v>
      </c>
      <c r="J436" t="str">
        <v>17:13:16</v>
      </c>
      <c r="K436">
        <v>-12.213054</v>
      </c>
      <c r="L436">
        <v>-76.95905</v>
      </c>
      <c r="M436">
        <f>HYPERLINK("https://www.google.com/maps/search/?api=1&amp;query=-12.213054,-76.95905","Avenida Villa del Mar, Villa El Salvador, Lima")</f>
      </c>
      <c r="N436">
        <v>6.1</v>
      </c>
      <c r="O436">
        <v>78</v>
      </c>
      <c r="P436">
        <v>295657.88</v>
      </c>
      <c r="Q436" t="str">
        <v>131.35</v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436</v>
      </c>
      <c r="B437" t="str">
        <v>MASS BSF</v>
      </c>
      <c r="C437" t="str">
        <v>C6E-921</v>
      </c>
      <c r="D437" t="str">
        <v>C6E-921</v>
      </c>
      <c r="E437" t="str">
        <v/>
      </c>
      <c r="F437" t="str">
        <v>867806078831353</v>
      </c>
      <c r="G437" t="str">
        <v>TBD</v>
      </c>
      <c r="H437" t="str">
        <v/>
      </c>
      <c r="I437" t="str">
        <v>28/09/2026</v>
      </c>
      <c r="J437" t="str">
        <v>17:13:21</v>
      </c>
      <c r="K437">
        <v>-12.213035</v>
      </c>
      <c r="L437">
        <v>-76.95895</v>
      </c>
      <c r="M437">
        <f>HYPERLINK("https://www.google.com/maps/search/?api=1&amp;query=-12.213035,-76.95895","Villa El Salvador, Lima")</f>
      </c>
      <c r="N437">
        <v>6.6</v>
      </c>
      <c r="O437">
        <v>78</v>
      </c>
      <c r="P437">
        <v>295657.9</v>
      </c>
      <c r="Q437" t="str">
        <v>131.35</v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437</v>
      </c>
      <c r="B438" t="str">
        <v>MASS BSF</v>
      </c>
      <c r="C438" t="str">
        <v>C6E-921</v>
      </c>
      <c r="D438" t="str">
        <v>C6E-921</v>
      </c>
      <c r="E438" t="str">
        <v/>
      </c>
      <c r="F438" t="str">
        <v>867806078831353</v>
      </c>
      <c r="G438" t="str">
        <v>TBD</v>
      </c>
      <c r="H438" t="str">
        <v/>
      </c>
      <c r="I438" t="str">
        <v>28/09/2026</v>
      </c>
      <c r="J438" t="str">
        <v>17:13:26</v>
      </c>
      <c r="K438">
        <v>-12.212963</v>
      </c>
      <c r="L438">
        <v>-76.95892</v>
      </c>
      <c r="M438">
        <f>HYPERLINK("https://www.google.com/maps/search/?api=1&amp;query=-12.212963,-76.95892","Avenida Villa del Mar, Villa El Salvador, Lima")</f>
      </c>
      <c r="N438">
        <v>7.2</v>
      </c>
      <c r="O438">
        <v>78</v>
      </c>
      <c r="P438">
        <v>295657.9</v>
      </c>
      <c r="Q438" t="str">
        <v>131.35</v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438</v>
      </c>
      <c r="B439" t="str">
        <v>MASS BSF</v>
      </c>
      <c r="C439" t="str">
        <v>C6E-921</v>
      </c>
      <c r="D439" t="str">
        <v>C6E-921</v>
      </c>
      <c r="E439" t="str">
        <v/>
      </c>
      <c r="F439" t="str">
        <v>867806078831353</v>
      </c>
      <c r="G439" t="str">
        <v>TBD</v>
      </c>
      <c r="H439" t="str">
        <v/>
      </c>
      <c r="I439" t="str">
        <v>28/09/2026</v>
      </c>
      <c r="J439" t="str">
        <v>17:14:17</v>
      </c>
      <c r="K439">
        <v>-12.213021</v>
      </c>
      <c r="L439">
        <v>-76.958885</v>
      </c>
      <c r="M439">
        <f>HYPERLINK("https://www.google.com/maps/search/?api=1&amp;query=-12.213021,-76.958885","Villa El Salvador, Lima")</f>
      </c>
      <c r="N439">
        <v>0</v>
      </c>
      <c r="O439">
        <v>78</v>
      </c>
      <c r="P439">
        <v>295657.94</v>
      </c>
      <c r="Q439" t="str">
        <v>132.03</v>
      </c>
      <c r="R439" t="str">
        <v>Vehículo apagado</v>
      </c>
      <c r="S439" t="str">
        <v/>
      </c>
      <c r="T439" t="str">
        <v/>
      </c>
      <c r="U439" t="str">
        <v/>
      </c>
    </row>
    <row r="440">
      <c r="A440" t="str">
        <v>439</v>
      </c>
      <c r="B440" t="str">
        <v>MASS BSF</v>
      </c>
      <c r="C440" t="str">
        <v>C6E-921</v>
      </c>
      <c r="D440" t="str">
        <v>C6E-921</v>
      </c>
      <c r="E440" t="str">
        <v/>
      </c>
      <c r="F440" t="str">
        <v>867806078831353</v>
      </c>
      <c r="G440" t="str">
        <v>TBD</v>
      </c>
      <c r="H440" t="str">
        <v/>
      </c>
      <c r="I440" t="str">
        <v>28/09/2026</v>
      </c>
      <c r="J440" t="str">
        <v>17:14:17</v>
      </c>
      <c r="K440">
        <v>-12.213021</v>
      </c>
      <c r="L440">
        <v>-76.958885</v>
      </c>
      <c r="M440">
        <f>HYPERLINK("https://www.google.com/maps/search/?api=1&amp;query=-12.213021,-76.958885","Villa El Salvador, Lima")</f>
      </c>
      <c r="N440">
        <v>0</v>
      </c>
      <c r="O440">
        <v>78</v>
      </c>
      <c r="P440">
        <v>295657.94</v>
      </c>
      <c r="Q440" t="str">
        <v>131.35</v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440</v>
      </c>
      <c r="B441" t="str">
        <v>MASS BSF</v>
      </c>
      <c r="C441" t="str">
        <v>C6E-921</v>
      </c>
      <c r="D441" t="str">
        <v>C6E-921</v>
      </c>
      <c r="E441" t="str">
        <v/>
      </c>
      <c r="F441" t="str">
        <v>867806078831353</v>
      </c>
      <c r="G441" t="str">
        <v>TBD</v>
      </c>
      <c r="H441" t="str">
        <v/>
      </c>
      <c r="I441" t="str">
        <v>28/09/2026</v>
      </c>
      <c r="J441" t="str">
        <v>17:14:18</v>
      </c>
      <c r="K441">
        <v>-12.213021</v>
      </c>
      <c r="L441">
        <v>-76.958885</v>
      </c>
      <c r="M441">
        <f>HYPERLINK("https://www.google.com/maps/search/?api=1&amp;query=-12.213021,-76.958885","Villa El Salvador, Lima")</f>
      </c>
      <c r="N441">
        <v>0</v>
      </c>
      <c r="O441">
        <v>78</v>
      </c>
      <c r="P441">
        <v>295657.94</v>
      </c>
      <c r="Q441" t="str">
        <v>132.03</v>
      </c>
      <c r="R441" t="str">
        <v>Salida de camino vecinal</v>
      </c>
      <c r="S441" t="str">
        <v/>
      </c>
      <c r="T441" t="str">
        <v/>
      </c>
      <c r="U441" t="str">
        <v/>
      </c>
    </row>
    <row r="442">
      <c r="A442" t="str">
        <v>441</v>
      </c>
      <c r="B442" t="str">
        <v>MASS BSF</v>
      </c>
      <c r="C442" t="str">
        <v>C6E-921</v>
      </c>
      <c r="D442" t="str">
        <v>C6E-921</v>
      </c>
      <c r="E442" t="str">
        <v/>
      </c>
      <c r="F442" t="str">
        <v>867806078831353</v>
      </c>
      <c r="G442" t="str">
        <v>TBD</v>
      </c>
      <c r="H442" t="str">
        <v/>
      </c>
      <c r="I442" t="str">
        <v>28/09/2026</v>
      </c>
      <c r="J442" t="str">
        <v>17:23:26</v>
      </c>
      <c r="K442">
        <v>-12.213021</v>
      </c>
      <c r="L442">
        <v>-76.958885</v>
      </c>
      <c r="M442">
        <f>HYPERLINK("https://www.google.com/maps/search/?api=1&amp;query=-12.213021,-76.958885","Villa El Salvador, Lima")</f>
      </c>
      <c r="N442">
        <v>0</v>
      </c>
      <c r="O442">
        <v>78</v>
      </c>
      <c r="P442">
        <v>295657.94</v>
      </c>
      <c r="Q442" t="str">
        <v>132.03</v>
      </c>
      <c r="R442" t="str">
        <v>Se detuvo</v>
      </c>
      <c r="S442" t="str">
        <v/>
      </c>
      <c r="T442" t="str">
        <v/>
      </c>
      <c r="U442" t="str">
        <v/>
      </c>
    </row>
    <row r="443">
      <c r="A443" t="str">
        <v>442</v>
      </c>
      <c r="B443" t="str">
        <v>MASS BSF</v>
      </c>
      <c r="C443" t="str">
        <v>C6E-921</v>
      </c>
      <c r="D443" t="str">
        <v>C6E-921</v>
      </c>
      <c r="E443" t="str">
        <v/>
      </c>
      <c r="F443" t="str">
        <v>867806078831353</v>
      </c>
      <c r="G443" t="str">
        <v>TBD</v>
      </c>
      <c r="H443" t="str">
        <v/>
      </c>
      <c r="I443" t="str">
        <v>28/09/2026</v>
      </c>
      <c r="J443" t="str">
        <v>17:24:17</v>
      </c>
      <c r="K443">
        <v>-12.213021</v>
      </c>
      <c r="L443">
        <v>-76.958885</v>
      </c>
      <c r="M443">
        <f>HYPERLINK("https://www.google.com/maps/search/?api=1&amp;query=-12.213021,-76.958885","Villa El Salvador, Lima")</f>
      </c>
      <c r="N443">
        <v>0</v>
      </c>
      <c r="O443">
        <v>78</v>
      </c>
      <c r="P443">
        <v>295657.94</v>
      </c>
      <c r="Q443" t="str">
        <v>132.03</v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443</v>
      </c>
      <c r="B444" t="str">
        <v>MASS BSF</v>
      </c>
      <c r="C444" t="str">
        <v>C6E-921</v>
      </c>
      <c r="D444" t="str">
        <v>C6E-921</v>
      </c>
      <c r="E444" t="str">
        <v/>
      </c>
      <c r="F444" t="str">
        <v>867806078831353</v>
      </c>
      <c r="G444" t="str">
        <v>TBD</v>
      </c>
      <c r="H444" t="str">
        <v/>
      </c>
      <c r="I444" t="str">
        <v>28/09/2026</v>
      </c>
      <c r="J444" t="str">
        <v>17:34:17</v>
      </c>
      <c r="K444">
        <v>-12.213021</v>
      </c>
      <c r="L444">
        <v>-76.958885</v>
      </c>
      <c r="M444">
        <f>HYPERLINK("https://www.google.com/maps/search/?api=1&amp;query=-12.213021,-76.958885","Villa El Salvador, Lima")</f>
      </c>
      <c r="N444">
        <v>0</v>
      </c>
      <c r="O444">
        <v>78</v>
      </c>
      <c r="P444">
        <v>295657.94</v>
      </c>
      <c r="Q444" t="str">
        <v>132.03</v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444</v>
      </c>
      <c r="B445" t="str">
        <v>MASS BSF</v>
      </c>
      <c r="C445" t="str">
        <v>C6E-921</v>
      </c>
      <c r="D445" t="str">
        <v>C6E-921</v>
      </c>
      <c r="E445" t="str">
        <v/>
      </c>
      <c r="F445" t="str">
        <v>867806078831353</v>
      </c>
      <c r="G445" t="str">
        <v>TBD</v>
      </c>
      <c r="H445" t="str">
        <v/>
      </c>
      <c r="I445" t="str">
        <v>28/09/2026</v>
      </c>
      <c r="J445" t="str">
        <v>17:36:46</v>
      </c>
      <c r="K445">
        <v>-12.213021</v>
      </c>
      <c r="L445">
        <v>-76.958885</v>
      </c>
      <c r="M445">
        <f>HYPERLINK("https://www.google.com/maps/search/?api=1&amp;query=-12.213021,-76.958885","Villa El Salvador, Lima")</f>
      </c>
      <c r="N445">
        <v>0</v>
      </c>
      <c r="O445">
        <v>78</v>
      </c>
      <c r="P445">
        <v>295657.94</v>
      </c>
      <c r="Q445" t="str">
        <v>132.03</v>
      </c>
      <c r="R445" t="str">
        <v>Se detuvo</v>
      </c>
      <c r="S445" t="str">
        <v/>
      </c>
      <c r="T445" t="str">
        <v/>
      </c>
      <c r="U445" t="str">
        <v/>
      </c>
    </row>
    <row r="446">
      <c r="A446" t="str">
        <v>445</v>
      </c>
      <c r="B446" t="str">
        <v>MASS BSF</v>
      </c>
      <c r="C446" t="str">
        <v>C6E-921</v>
      </c>
      <c r="D446" t="str">
        <v>C6E-921</v>
      </c>
      <c r="E446" t="str">
        <v/>
      </c>
      <c r="F446" t="str">
        <v>867806078831353</v>
      </c>
      <c r="G446" t="str">
        <v>TBD</v>
      </c>
      <c r="H446" t="str">
        <v/>
      </c>
      <c r="I446" t="str">
        <v>28/09/2026</v>
      </c>
      <c r="J446" t="str">
        <v>17:44:17</v>
      </c>
      <c r="K446">
        <v>-12.213021</v>
      </c>
      <c r="L446">
        <v>-76.958885</v>
      </c>
      <c r="M446">
        <f>HYPERLINK("https://www.google.com/maps/search/?api=1&amp;query=-12.213021,-76.958885","Villa El Salvador, Lima")</f>
      </c>
      <c r="N446">
        <v>0</v>
      </c>
      <c r="O446">
        <v>78</v>
      </c>
      <c r="P446">
        <v>295657.94</v>
      </c>
      <c r="Q446" t="str">
        <v>132.03</v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446</v>
      </c>
      <c r="B447" t="str">
        <v>MASS BSF</v>
      </c>
      <c r="C447" t="str">
        <v>C6E-921</v>
      </c>
      <c r="D447" t="str">
        <v>C6E-921</v>
      </c>
      <c r="E447" t="str">
        <v/>
      </c>
      <c r="F447" t="str">
        <v>867806078831353</v>
      </c>
      <c r="G447" t="str">
        <v>TBD</v>
      </c>
      <c r="H447" t="str">
        <v/>
      </c>
      <c r="I447" t="str">
        <v>28/09/2026</v>
      </c>
      <c r="J447" t="str">
        <v>17:44:52</v>
      </c>
      <c r="K447">
        <v>-12.213021</v>
      </c>
      <c r="L447">
        <v>-76.958885</v>
      </c>
      <c r="M447">
        <f>HYPERLINK("https://www.google.com/maps/search/?api=1&amp;query=-12.213021,-76.958885","Villa El Salvador, Lima")</f>
      </c>
      <c r="N447">
        <v>0</v>
      </c>
      <c r="O447">
        <v>78</v>
      </c>
      <c r="P447">
        <v>295657.94</v>
      </c>
      <c r="Q447" t="str">
        <v>132.03</v>
      </c>
      <c r="R447" t="str">
        <v>Encendido o Entró en cobertura</v>
      </c>
      <c r="S447" t="str">
        <v/>
      </c>
      <c r="T447" t="str">
        <v/>
      </c>
      <c r="U447" t="str">
        <v/>
      </c>
    </row>
    <row r="448">
      <c r="A448" t="str">
        <v>447</v>
      </c>
      <c r="B448" t="str">
        <v>MASS BSF</v>
      </c>
      <c r="C448" t="str">
        <v>C6E-921</v>
      </c>
      <c r="D448" t="str">
        <v>C6E-921</v>
      </c>
      <c r="E448" t="str">
        <v/>
      </c>
      <c r="F448" t="str">
        <v>867806078831353</v>
      </c>
      <c r="G448" t="str">
        <v>TBD</v>
      </c>
      <c r="H448" t="str">
        <v/>
      </c>
      <c r="I448" t="str">
        <v>28/09/2026</v>
      </c>
      <c r="J448" t="str">
        <v>17:54:17</v>
      </c>
      <c r="K448">
        <v>-12.213021</v>
      </c>
      <c r="L448">
        <v>-76.958885</v>
      </c>
      <c r="M448">
        <f>HYPERLINK("https://www.google.com/maps/search/?api=1&amp;query=-12.213021,-76.958885","Villa El Salvador, Lima")</f>
      </c>
      <c r="N448">
        <v>0</v>
      </c>
      <c r="O448">
        <v>78</v>
      </c>
      <c r="P448">
        <v>295657.94</v>
      </c>
      <c r="Q448" t="str">
        <v>132.03</v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448</v>
      </c>
      <c r="B449" t="str">
        <v>MASS BSF</v>
      </c>
      <c r="C449" t="str">
        <v>C6E-921</v>
      </c>
      <c r="D449" t="str">
        <v>C6E-921</v>
      </c>
      <c r="E449" t="str">
        <v/>
      </c>
      <c r="F449" t="str">
        <v>867806078831353</v>
      </c>
      <c r="G449" t="str">
        <v>TBD</v>
      </c>
      <c r="H449" t="str">
        <v/>
      </c>
      <c r="I449" t="str">
        <v>28/09/2026</v>
      </c>
      <c r="J449" t="str">
        <v>18:04:17</v>
      </c>
      <c r="K449">
        <v>-12.213021</v>
      </c>
      <c r="L449">
        <v>-76.958885</v>
      </c>
      <c r="M449">
        <f>HYPERLINK("https://www.google.com/maps/search/?api=1&amp;query=-12.213021,-76.958885","Villa El Salvador, Lima")</f>
      </c>
      <c r="N449">
        <v>0</v>
      </c>
      <c r="O449">
        <v>78</v>
      </c>
      <c r="P449">
        <v>295657.94</v>
      </c>
      <c r="Q449" t="str">
        <v>132.03</v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449</v>
      </c>
      <c r="B450" t="str">
        <v>MASS BSF</v>
      </c>
      <c r="C450" t="str">
        <v>C6E-921</v>
      </c>
      <c r="D450" t="str">
        <v>C6E-921</v>
      </c>
      <c r="E450" t="str">
        <v/>
      </c>
      <c r="F450" t="str">
        <v>867806078831353</v>
      </c>
      <c r="G450" t="str">
        <v>TBD</v>
      </c>
      <c r="H450" t="str">
        <v/>
      </c>
      <c r="I450" t="str">
        <v>28/09/2026</v>
      </c>
      <c r="J450" t="str">
        <v>18:14:17</v>
      </c>
      <c r="K450">
        <v>-12.213021</v>
      </c>
      <c r="L450">
        <v>-76.958885</v>
      </c>
      <c r="M450">
        <f>HYPERLINK("https://www.google.com/maps/search/?api=1&amp;query=-12.213021,-76.958885","Villa El Salvador, Lima")</f>
      </c>
      <c r="N450">
        <v>0</v>
      </c>
      <c r="O450">
        <v>74</v>
      </c>
      <c r="P450">
        <v>295657.94</v>
      </c>
      <c r="Q450" t="str">
        <v>132.03</v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450</v>
      </c>
      <c r="B451" t="str">
        <v>MASS BSF</v>
      </c>
      <c r="C451" t="str">
        <v>C6E-921</v>
      </c>
      <c r="D451" t="str">
        <v>C6E-921</v>
      </c>
      <c r="E451" t="str">
        <v/>
      </c>
      <c r="F451" t="str">
        <v>867806078831353</v>
      </c>
      <c r="G451" t="str">
        <v>TBD</v>
      </c>
      <c r="H451" t="str">
        <v/>
      </c>
      <c r="I451" t="str">
        <v>28/09/2026</v>
      </c>
      <c r="J451" t="str">
        <v>18:24:17</v>
      </c>
      <c r="K451">
        <v>-12.213021</v>
      </c>
      <c r="L451">
        <v>-76.958885</v>
      </c>
      <c r="M451">
        <f>HYPERLINK("https://www.google.com/maps/search/?api=1&amp;query=-12.213021,-76.958885","Villa El Salvador, Lima")</f>
      </c>
      <c r="N451">
        <v>0</v>
      </c>
      <c r="O451">
        <v>74</v>
      </c>
      <c r="P451">
        <v>295657.94</v>
      </c>
      <c r="Q451" t="str">
        <v>132.03</v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451</v>
      </c>
      <c r="B452" t="str">
        <v>MASS BSF</v>
      </c>
      <c r="C452" t="str">
        <v>C6E-921</v>
      </c>
      <c r="D452" t="str">
        <v>C6E-921</v>
      </c>
      <c r="E452" t="str">
        <v/>
      </c>
      <c r="F452" t="str">
        <v>867806078831353</v>
      </c>
      <c r="G452" t="str">
        <v>TBD</v>
      </c>
      <c r="H452" t="str">
        <v/>
      </c>
      <c r="I452" t="str">
        <v>28/09/2026</v>
      </c>
      <c r="J452" t="str">
        <v>18:34:17</v>
      </c>
      <c r="K452">
        <v>-12.213021</v>
      </c>
      <c r="L452">
        <v>-76.958885</v>
      </c>
      <c r="M452">
        <f>HYPERLINK("https://www.google.com/maps/search/?api=1&amp;query=-12.213021,-76.958885","Villa El Salvador, Lima")</f>
      </c>
      <c r="N452">
        <v>0</v>
      </c>
      <c r="O452">
        <v>80</v>
      </c>
      <c r="P452">
        <v>295657.94</v>
      </c>
      <c r="Q452" t="str">
        <v>132.03</v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452</v>
      </c>
      <c r="B453" t="str">
        <v>MASS BSF</v>
      </c>
      <c r="C453" t="str">
        <v>C6E-921</v>
      </c>
      <c r="D453" t="str">
        <v>C6E-921</v>
      </c>
      <c r="E453" t="str">
        <v/>
      </c>
      <c r="F453" t="str">
        <v>867806078831353</v>
      </c>
      <c r="G453" t="str">
        <v>TBD</v>
      </c>
      <c r="H453" t="str">
        <v/>
      </c>
      <c r="I453" t="str">
        <v>28/09/2026</v>
      </c>
      <c r="J453" t="str">
        <v>18:44:17</v>
      </c>
      <c r="K453">
        <v>-12.213021</v>
      </c>
      <c r="L453">
        <v>-76.958885</v>
      </c>
      <c r="M453">
        <f>HYPERLINK("https://www.google.com/maps/search/?api=1&amp;query=-12.213021,-76.958885","Villa El Salvador, Lima")</f>
      </c>
      <c r="N453">
        <v>0</v>
      </c>
      <c r="O453">
        <v>80</v>
      </c>
      <c r="P453">
        <v>295657.94</v>
      </c>
      <c r="Q453" t="str">
        <v>132.03</v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453</v>
      </c>
      <c r="B454" t="str">
        <v>MASS BSF</v>
      </c>
      <c r="C454" t="str">
        <v>C6E-921</v>
      </c>
      <c r="D454" t="str">
        <v>C6E-921</v>
      </c>
      <c r="E454" t="str">
        <v/>
      </c>
      <c r="F454" t="str">
        <v>867806078831353</v>
      </c>
      <c r="G454" t="str">
        <v>TBD</v>
      </c>
      <c r="H454" t="str">
        <v/>
      </c>
      <c r="I454" t="str">
        <v>28/09/2026</v>
      </c>
      <c r="J454" t="str">
        <v>18:54:17</v>
      </c>
      <c r="K454">
        <v>-12.213021</v>
      </c>
      <c r="L454">
        <v>-76.958885</v>
      </c>
      <c r="M454">
        <f>HYPERLINK("https://www.google.com/maps/search/?api=1&amp;query=-12.213021,-76.958885","Villa El Salvador, Lima")</f>
      </c>
      <c r="N454">
        <v>0</v>
      </c>
      <c r="O454">
        <v>80</v>
      </c>
      <c r="P454">
        <v>295657.94</v>
      </c>
      <c r="Q454" t="str">
        <v>132.03</v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454</v>
      </c>
      <c r="B455" t="str">
        <v>MASS BSF</v>
      </c>
      <c r="C455" t="str">
        <v>C6E-921</v>
      </c>
      <c r="D455" t="str">
        <v>C6E-921</v>
      </c>
      <c r="E455" t="str">
        <v/>
      </c>
      <c r="F455" t="str">
        <v>867806078831353</v>
      </c>
      <c r="G455" t="str">
        <v>TBD</v>
      </c>
      <c r="H455" t="str">
        <v/>
      </c>
      <c r="I455" t="str">
        <v>28/09/2026</v>
      </c>
      <c r="J455" t="str">
        <v>19:04:17</v>
      </c>
      <c r="K455">
        <v>-12.213021</v>
      </c>
      <c r="L455">
        <v>-76.958885</v>
      </c>
      <c r="M455">
        <f>HYPERLINK("https://www.google.com/maps/search/?api=1&amp;query=-12.213021,-76.958885","Villa El Salvador, Lima")</f>
      </c>
      <c r="N455">
        <v>0</v>
      </c>
      <c r="O455">
        <v>80</v>
      </c>
      <c r="P455">
        <v>295657.94</v>
      </c>
      <c r="Q455" t="str">
        <v>132.03</v>
      </c>
      <c r="R455" t="str">
        <v/>
      </c>
      <c r="S455" t="str">
        <v/>
      </c>
      <c r="T455" t="str">
        <v/>
      </c>
      <c r="U455" t="str">
        <v/>
      </c>
    </row>
    <row r="456">
      <c r="A456" t="str">
        <v>455</v>
      </c>
      <c r="B456" t="str">
        <v>MASS BSF</v>
      </c>
      <c r="C456" t="str">
        <v>C6E-921</v>
      </c>
      <c r="D456" t="str">
        <v>C6E-921</v>
      </c>
      <c r="E456" t="str">
        <v/>
      </c>
      <c r="F456" t="str">
        <v>867806078831353</v>
      </c>
      <c r="G456" t="str">
        <v>TBD</v>
      </c>
      <c r="H456" t="str">
        <v/>
      </c>
      <c r="I456" t="str">
        <v>28/09/2026</v>
      </c>
      <c r="J456" t="str">
        <v>19:14:17</v>
      </c>
      <c r="K456">
        <v>-12.213021</v>
      </c>
      <c r="L456">
        <v>-76.958885</v>
      </c>
      <c r="M456">
        <f>HYPERLINK("https://www.google.com/maps/search/?api=1&amp;query=-12.213021,-76.958885","Villa El Salvador, Lima")</f>
      </c>
      <c r="N456">
        <v>0</v>
      </c>
      <c r="O456">
        <v>80</v>
      </c>
      <c r="P456">
        <v>295657.94</v>
      </c>
      <c r="Q456" t="str">
        <v>132.03</v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456</v>
      </c>
      <c r="B457" t="str">
        <v>MASS BSF</v>
      </c>
      <c r="C457" t="str">
        <v>C6E-921</v>
      </c>
      <c r="D457" t="str">
        <v>C6E-921</v>
      </c>
      <c r="E457" t="str">
        <v/>
      </c>
      <c r="F457" t="str">
        <v>867806078831353</v>
      </c>
      <c r="G457" t="str">
        <v>TBD</v>
      </c>
      <c r="H457" t="str">
        <v/>
      </c>
      <c r="I457" t="str">
        <v>28/09/2026</v>
      </c>
      <c r="J457" t="str">
        <v>19:24:17</v>
      </c>
      <c r="K457">
        <v>-12.213021</v>
      </c>
      <c r="L457">
        <v>-76.958885</v>
      </c>
      <c r="M457">
        <f>HYPERLINK("https://www.google.com/maps/search/?api=1&amp;query=-12.213021,-76.958885","Villa El Salvador, Lima")</f>
      </c>
      <c r="N457">
        <v>0</v>
      </c>
      <c r="O457">
        <v>80</v>
      </c>
      <c r="P457">
        <v>295657.94</v>
      </c>
      <c r="Q457" t="str">
        <v>132.03</v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457</v>
      </c>
      <c r="B458" t="str">
        <v>MASS BSF</v>
      </c>
      <c r="C458" t="str">
        <v>C6E-921</v>
      </c>
      <c r="D458" t="str">
        <v>C6E-921</v>
      </c>
      <c r="E458" t="str">
        <v/>
      </c>
      <c r="F458" t="str">
        <v>867806078831353</v>
      </c>
      <c r="G458" t="str">
        <v>TBD</v>
      </c>
      <c r="H458" t="str">
        <v/>
      </c>
      <c r="I458" t="str">
        <v>28/09/2026</v>
      </c>
      <c r="J458" t="str">
        <v>19:34:17</v>
      </c>
      <c r="K458">
        <v>-12.213021</v>
      </c>
      <c r="L458">
        <v>-76.958885</v>
      </c>
      <c r="M458">
        <f>HYPERLINK("https://www.google.com/maps/search/?api=1&amp;query=-12.213021,-76.958885","Villa El Salvador, Lima")</f>
      </c>
      <c r="N458">
        <v>0</v>
      </c>
      <c r="O458">
        <v>80</v>
      </c>
      <c r="P458">
        <v>295657.94</v>
      </c>
      <c r="Q458" t="str">
        <v>132.03</v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458</v>
      </c>
      <c r="B459" t="str">
        <v>MASS BSF</v>
      </c>
      <c r="C459" t="str">
        <v>C6E-921</v>
      </c>
      <c r="D459" t="str">
        <v>C6E-921</v>
      </c>
      <c r="E459" t="str">
        <v/>
      </c>
      <c r="F459" t="str">
        <v>867806078831353</v>
      </c>
      <c r="G459" t="str">
        <v>TBD</v>
      </c>
      <c r="H459" t="str">
        <v/>
      </c>
      <c r="I459" t="str">
        <v>28/09/2026</v>
      </c>
      <c r="J459" t="str">
        <v>19:44:17</v>
      </c>
      <c r="K459">
        <v>-12.213021</v>
      </c>
      <c r="L459">
        <v>-76.958885</v>
      </c>
      <c r="M459">
        <f>HYPERLINK("https://www.google.com/maps/search/?api=1&amp;query=-12.213021,-76.958885","Villa El Salvador, Lima")</f>
      </c>
      <c r="N459">
        <v>0</v>
      </c>
      <c r="O459">
        <v>80</v>
      </c>
      <c r="P459">
        <v>295657.94</v>
      </c>
      <c r="Q459" t="str">
        <v>132.03</v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459</v>
      </c>
      <c r="B460" t="str">
        <v>MASS BSF</v>
      </c>
      <c r="C460" t="str">
        <v>C6E-921</v>
      </c>
      <c r="D460" t="str">
        <v>C6E-921</v>
      </c>
      <c r="E460" t="str">
        <v/>
      </c>
      <c r="F460" t="str">
        <v>867806078831353</v>
      </c>
      <c r="G460" t="str">
        <v>TBD</v>
      </c>
      <c r="H460" t="str">
        <v/>
      </c>
      <c r="I460" t="str">
        <v>28/09/2026</v>
      </c>
      <c r="J460" t="str">
        <v>19:54:17</v>
      </c>
      <c r="K460">
        <v>-12.213021</v>
      </c>
      <c r="L460">
        <v>-76.958885</v>
      </c>
      <c r="M460">
        <f>HYPERLINK("https://www.google.com/maps/search/?api=1&amp;query=-12.213021,-76.958885","Villa El Salvador, Lima")</f>
      </c>
      <c r="N460">
        <v>0</v>
      </c>
      <c r="O460">
        <v>75</v>
      </c>
      <c r="P460">
        <v>295657.94</v>
      </c>
      <c r="Q460" t="str">
        <v>132.03</v>
      </c>
      <c r="R460" t="str">
        <v/>
      </c>
      <c r="S460" t="str">
        <v/>
      </c>
      <c r="T460" t="str">
        <v/>
      </c>
      <c r="U460" t="str">
        <v/>
      </c>
    </row>
    <row r="461">
      <c r="A461" t="str">
        <v>460</v>
      </c>
      <c r="B461" t="str">
        <v>MASS BSF</v>
      </c>
      <c r="C461" t="str">
        <v>C6E-921</v>
      </c>
      <c r="D461" t="str">
        <v>C6E-921</v>
      </c>
      <c r="E461" t="str">
        <v/>
      </c>
      <c r="F461" t="str">
        <v>867806078831353</v>
      </c>
      <c r="G461" t="str">
        <v>TBD</v>
      </c>
      <c r="H461" t="str">
        <v/>
      </c>
      <c r="I461" t="str">
        <v>28/09/2026</v>
      </c>
      <c r="J461" t="str">
        <v>20:04:17</v>
      </c>
      <c r="K461">
        <v>-12.213021</v>
      </c>
      <c r="L461">
        <v>-76.958885</v>
      </c>
      <c r="M461">
        <f>HYPERLINK("https://www.google.com/maps/search/?api=1&amp;query=-12.213021,-76.958885","Villa El Salvador, Lima")</f>
      </c>
      <c r="N461">
        <v>0</v>
      </c>
      <c r="O461">
        <v>75</v>
      </c>
      <c r="P461">
        <v>295657.94</v>
      </c>
      <c r="Q461" t="str">
        <v>132.03</v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461</v>
      </c>
      <c r="B462" t="str">
        <v>MASS BSF</v>
      </c>
      <c r="C462" t="str">
        <v>C6E-921</v>
      </c>
      <c r="D462" t="str">
        <v>C6E-921</v>
      </c>
      <c r="E462" t="str">
        <v/>
      </c>
      <c r="F462" t="str">
        <v>867806078831353</v>
      </c>
      <c r="G462" t="str">
        <v>TBD</v>
      </c>
      <c r="H462" t="str">
        <v/>
      </c>
      <c r="I462" t="str">
        <v>28/09/2026</v>
      </c>
      <c r="J462" t="str">
        <v>20:14:17</v>
      </c>
      <c r="K462">
        <v>-12.213021</v>
      </c>
      <c r="L462">
        <v>-76.958885</v>
      </c>
      <c r="M462">
        <f>HYPERLINK("https://www.google.com/maps/search/?api=1&amp;query=-12.213021,-76.958885","Villa El Salvador, Lima")</f>
      </c>
      <c r="N462">
        <v>0</v>
      </c>
      <c r="O462">
        <v>79</v>
      </c>
      <c r="P462">
        <v>295657.94</v>
      </c>
      <c r="Q462" t="str">
        <v>132.03</v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462</v>
      </c>
      <c r="B463" t="str">
        <v>MASS BSF</v>
      </c>
      <c r="C463" t="str">
        <v>C6E-921</v>
      </c>
      <c r="D463" t="str">
        <v>C6E-921</v>
      </c>
      <c r="E463" t="str">
        <v/>
      </c>
      <c r="F463" t="str">
        <v>867806078831353</v>
      </c>
      <c r="G463" t="str">
        <v>TBD</v>
      </c>
      <c r="H463" t="str">
        <v/>
      </c>
      <c r="I463" t="str">
        <v>28/09/2026</v>
      </c>
      <c r="J463" t="str">
        <v>20:24:17</v>
      </c>
      <c r="K463">
        <v>-12.213021</v>
      </c>
      <c r="L463">
        <v>-76.958885</v>
      </c>
      <c r="M463">
        <f>HYPERLINK("https://www.google.com/maps/search/?api=1&amp;query=-12.213021,-76.958885","Villa El Salvador, Lima")</f>
      </c>
      <c r="N463">
        <v>0</v>
      </c>
      <c r="O463">
        <v>79</v>
      </c>
      <c r="P463">
        <v>295657.94</v>
      </c>
      <c r="Q463" t="str">
        <v>132.03</v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463</v>
      </c>
      <c r="B464" t="str">
        <v>MASS BSF</v>
      </c>
      <c r="C464" t="str">
        <v>C6E-921</v>
      </c>
      <c r="D464" t="str">
        <v>C6E-921</v>
      </c>
      <c r="E464" t="str">
        <v/>
      </c>
      <c r="F464" t="str">
        <v>867806078831353</v>
      </c>
      <c r="G464" t="str">
        <v>TBD</v>
      </c>
      <c r="H464" t="str">
        <v/>
      </c>
      <c r="I464" t="str">
        <v>28/09/2026</v>
      </c>
      <c r="J464" t="str">
        <v>20:34:17</v>
      </c>
      <c r="K464">
        <v>-12.213021</v>
      </c>
      <c r="L464">
        <v>-76.958885</v>
      </c>
      <c r="M464">
        <f>HYPERLINK("https://www.google.com/maps/search/?api=1&amp;query=-12.213021,-76.958885","Villa El Salvador, Lima")</f>
      </c>
      <c r="N464">
        <v>0</v>
      </c>
      <c r="O464">
        <v>79</v>
      </c>
      <c r="P464">
        <v>295657.94</v>
      </c>
      <c r="Q464" t="str">
        <v>132.03</v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464</v>
      </c>
      <c r="B465" t="str">
        <v>MASS BSF</v>
      </c>
      <c r="C465" t="str">
        <v>C6E-921</v>
      </c>
      <c r="D465" t="str">
        <v>C6E-921</v>
      </c>
      <c r="E465" t="str">
        <v/>
      </c>
      <c r="F465" t="str">
        <v>867806078831353</v>
      </c>
      <c r="G465" t="str">
        <v>TBD</v>
      </c>
      <c r="H465" t="str">
        <v/>
      </c>
      <c r="I465" t="str">
        <v>28/09/2026</v>
      </c>
      <c r="J465" t="str">
        <v>20:44:17</v>
      </c>
      <c r="K465">
        <v>-12.213021</v>
      </c>
      <c r="L465">
        <v>-76.958885</v>
      </c>
      <c r="M465">
        <f>HYPERLINK("https://www.google.com/maps/search/?api=1&amp;query=-12.213021,-76.958885","Villa El Salvador, Lima")</f>
      </c>
      <c r="N465">
        <v>0</v>
      </c>
      <c r="O465">
        <v>79</v>
      </c>
      <c r="P465">
        <v>295657.94</v>
      </c>
      <c r="Q465" t="str">
        <v>132.03</v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465</v>
      </c>
      <c r="B466" t="str">
        <v>MASS BSF</v>
      </c>
      <c r="C466" t="str">
        <v>C6E-921</v>
      </c>
      <c r="D466" t="str">
        <v>C6E-921</v>
      </c>
      <c r="E466" t="str">
        <v/>
      </c>
      <c r="F466" t="str">
        <v>867806078831353</v>
      </c>
      <c r="G466" t="str">
        <v>TBD</v>
      </c>
      <c r="H466" t="str">
        <v/>
      </c>
      <c r="I466" t="str">
        <v>28/09/2026</v>
      </c>
      <c r="J466" t="str">
        <v>20:54:17</v>
      </c>
      <c r="K466">
        <v>-12.213021</v>
      </c>
      <c r="L466">
        <v>-76.958885</v>
      </c>
      <c r="M466">
        <f>HYPERLINK("https://www.google.com/maps/search/?api=1&amp;query=-12.213021,-76.958885","Villa El Salvador, Lima")</f>
      </c>
      <c r="N466">
        <v>0</v>
      </c>
      <c r="O466">
        <v>79</v>
      </c>
      <c r="P466">
        <v>295657.94</v>
      </c>
      <c r="Q466" t="str">
        <v>132.03</v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466</v>
      </c>
      <c r="B467" t="str">
        <v>MASS BSF</v>
      </c>
      <c r="C467" t="str">
        <v>C6E-921</v>
      </c>
      <c r="D467" t="str">
        <v>C6E-921</v>
      </c>
      <c r="E467" t="str">
        <v/>
      </c>
      <c r="F467" t="str">
        <v>867806078831353</v>
      </c>
      <c r="G467" t="str">
        <v>TBD</v>
      </c>
      <c r="H467" t="str">
        <v/>
      </c>
      <c r="I467" t="str">
        <v>28/09/2026</v>
      </c>
      <c r="J467" t="str">
        <v>21:04:17</v>
      </c>
      <c r="K467">
        <v>-12.213021</v>
      </c>
      <c r="L467">
        <v>-76.958885</v>
      </c>
      <c r="M467">
        <f>HYPERLINK("https://www.google.com/maps/search/?api=1&amp;query=-12.213021,-76.958885","Villa El Salvador, Lima")</f>
      </c>
      <c r="N467">
        <v>0</v>
      </c>
      <c r="O467">
        <v>76</v>
      </c>
      <c r="P467">
        <v>295657.94</v>
      </c>
      <c r="Q467" t="str">
        <v>132.03</v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467</v>
      </c>
      <c r="B468" t="str">
        <v>MASS BSF</v>
      </c>
      <c r="C468" t="str">
        <v>C6E-921</v>
      </c>
      <c r="D468" t="str">
        <v>C6E-921</v>
      </c>
      <c r="E468" t="str">
        <v/>
      </c>
      <c r="F468" t="str">
        <v>867806078831353</v>
      </c>
      <c r="G468" t="str">
        <v>TBD</v>
      </c>
      <c r="H468" t="str">
        <v/>
      </c>
      <c r="I468" t="str">
        <v>28/09/2026</v>
      </c>
      <c r="J468" t="str">
        <v>21:14:17</v>
      </c>
      <c r="K468">
        <v>-12.213021</v>
      </c>
      <c r="L468">
        <v>-76.958885</v>
      </c>
      <c r="M468">
        <f>HYPERLINK("https://www.google.com/maps/search/?api=1&amp;query=-12.213021,-76.958885","Villa El Salvador, Lima")</f>
      </c>
      <c r="N468">
        <v>0</v>
      </c>
      <c r="O468">
        <v>76</v>
      </c>
      <c r="P468">
        <v>295657.94</v>
      </c>
      <c r="Q468" t="str">
        <v>132.03</v>
      </c>
      <c r="R468" t="str">
        <v/>
      </c>
      <c r="S468" t="str">
        <v/>
      </c>
      <c r="T468" t="str">
        <v/>
      </c>
      <c r="U468" t="str">
        <v/>
      </c>
    </row>
    <row r="469">
      <c r="A469" t="str">
        <v>468</v>
      </c>
      <c r="B469" t="str">
        <v>MASS BSF</v>
      </c>
      <c r="C469" t="str">
        <v>C6E-921</v>
      </c>
      <c r="D469" t="str">
        <v>C6E-921</v>
      </c>
      <c r="E469" t="str">
        <v/>
      </c>
      <c r="F469" t="str">
        <v>867806078831353</v>
      </c>
      <c r="G469" t="str">
        <v>TBD</v>
      </c>
      <c r="H469" t="str">
        <v/>
      </c>
      <c r="I469" t="str">
        <v>28/09/2026</v>
      </c>
      <c r="J469" t="str">
        <v>21:24:17</v>
      </c>
      <c r="K469">
        <v>-12.213021</v>
      </c>
      <c r="L469">
        <v>-76.958885</v>
      </c>
      <c r="M469">
        <f>HYPERLINK("https://www.google.com/maps/search/?api=1&amp;query=-12.213021,-76.958885","Villa El Salvador, Lima")</f>
      </c>
      <c r="N469">
        <v>0</v>
      </c>
      <c r="O469">
        <v>76</v>
      </c>
      <c r="P469">
        <v>295657.94</v>
      </c>
      <c r="Q469" t="str">
        <v>132.03</v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469</v>
      </c>
      <c r="B470" t="str">
        <v>MASS BSF</v>
      </c>
      <c r="C470" t="str">
        <v>C6E-921</v>
      </c>
      <c r="D470" t="str">
        <v>C6E-921</v>
      </c>
      <c r="E470" t="str">
        <v/>
      </c>
      <c r="F470" t="str">
        <v>867806078831353</v>
      </c>
      <c r="G470" t="str">
        <v>TBD</v>
      </c>
      <c r="H470" t="str">
        <v/>
      </c>
      <c r="I470" t="str">
        <v>28/09/2026</v>
      </c>
      <c r="J470" t="str">
        <v>21:34:12</v>
      </c>
      <c r="K470">
        <v>-12.213021</v>
      </c>
      <c r="L470">
        <v>-76.958885</v>
      </c>
      <c r="M470">
        <f>HYPERLINK("https://www.google.com/maps/search/?api=1&amp;query=-12.213021,-76.958885","Villa El Salvador, Lima")</f>
      </c>
      <c r="N470">
        <v>0</v>
      </c>
      <c r="O470">
        <v>76</v>
      </c>
      <c r="P470">
        <v>295657.94</v>
      </c>
      <c r="Q470" t="str">
        <v>132.03</v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470</v>
      </c>
      <c r="B471" t="str">
        <v>MASS BSF</v>
      </c>
      <c r="C471" t="str">
        <v>C6E-921</v>
      </c>
      <c r="D471" t="str">
        <v>C6E-921</v>
      </c>
      <c r="E471" t="str">
        <v/>
      </c>
      <c r="F471" t="str">
        <v>867806078831353</v>
      </c>
      <c r="G471" t="str">
        <v>TBD</v>
      </c>
      <c r="H471" t="str">
        <v/>
      </c>
      <c r="I471" t="str">
        <v>28/09/2026</v>
      </c>
      <c r="J471" t="str">
        <v>21:44:12</v>
      </c>
      <c r="K471">
        <v>-12.213021</v>
      </c>
      <c r="L471">
        <v>-76.958885</v>
      </c>
      <c r="M471">
        <f>HYPERLINK("https://www.google.com/maps/search/?api=1&amp;query=-12.213021,-76.958885","Villa El Salvador, Lima")</f>
      </c>
      <c r="N471">
        <v>0</v>
      </c>
      <c r="O471">
        <v>76</v>
      </c>
      <c r="P471">
        <v>295657.94</v>
      </c>
      <c r="Q471" t="str">
        <v>132.03</v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471</v>
      </c>
      <c r="B472" t="str">
        <v>MASS BSF</v>
      </c>
      <c r="C472" t="str">
        <v>C6E-921</v>
      </c>
      <c r="D472" t="str">
        <v>C6E-921</v>
      </c>
      <c r="E472" t="str">
        <v/>
      </c>
      <c r="F472" t="str">
        <v>867806078831353</v>
      </c>
      <c r="G472" t="str">
        <v>TBD</v>
      </c>
      <c r="H472" t="str">
        <v/>
      </c>
      <c r="I472" t="str">
        <v>28/09/2026</v>
      </c>
      <c r="J472" t="str">
        <v>21:54:12</v>
      </c>
      <c r="K472">
        <v>-12.213021</v>
      </c>
      <c r="L472">
        <v>-76.958885</v>
      </c>
      <c r="M472">
        <f>HYPERLINK("https://www.google.com/maps/search/?api=1&amp;query=-12.213021,-76.958885","Villa El Salvador, Lima")</f>
      </c>
      <c r="N472">
        <v>0</v>
      </c>
      <c r="O472">
        <v>76</v>
      </c>
      <c r="P472">
        <v>295657.94</v>
      </c>
      <c r="Q472" t="str">
        <v>132.03</v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472</v>
      </c>
      <c r="B473" t="str">
        <v>MASS BSF</v>
      </c>
      <c r="C473" t="str">
        <v>C6E-921</v>
      </c>
      <c r="D473" t="str">
        <v>C6E-921</v>
      </c>
      <c r="E473" t="str">
        <v/>
      </c>
      <c r="F473" t="str">
        <v>867806078831353</v>
      </c>
      <c r="G473" t="str">
        <v>TBD</v>
      </c>
      <c r="H473" t="str">
        <v/>
      </c>
      <c r="I473" t="str">
        <v>28/09/2026</v>
      </c>
      <c r="J473" t="str">
        <v>22:04:12</v>
      </c>
      <c r="K473">
        <v>-12.213021</v>
      </c>
      <c r="L473">
        <v>-76.958885</v>
      </c>
      <c r="M473">
        <f>HYPERLINK("https://www.google.com/maps/search/?api=1&amp;query=-12.213021,-76.958885","Villa El Salvador, Lima")</f>
      </c>
      <c r="N473">
        <v>0</v>
      </c>
      <c r="O473">
        <v>76</v>
      </c>
      <c r="P473">
        <v>295657.94</v>
      </c>
      <c r="Q473" t="str">
        <v>132.03</v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473</v>
      </c>
      <c r="B474" t="str">
        <v>MASS BSF</v>
      </c>
      <c r="C474" t="str">
        <v>C6E-921</v>
      </c>
      <c r="D474" t="str">
        <v>C6E-921</v>
      </c>
      <c r="E474" t="str">
        <v/>
      </c>
      <c r="F474" t="str">
        <v>867806078831353</v>
      </c>
      <c r="G474" t="str">
        <v>TBD</v>
      </c>
      <c r="H474" t="str">
        <v/>
      </c>
      <c r="I474" t="str">
        <v>28/09/2026</v>
      </c>
      <c r="J474" t="str">
        <v>22:14:12</v>
      </c>
      <c r="K474">
        <v>-12.213021</v>
      </c>
      <c r="L474">
        <v>-76.958885</v>
      </c>
      <c r="M474">
        <f>HYPERLINK("https://www.google.com/maps/search/?api=1&amp;query=-12.213021,-76.958885","Villa El Salvador, Lima")</f>
      </c>
      <c r="N474">
        <v>0</v>
      </c>
      <c r="O474">
        <v>76</v>
      </c>
      <c r="P474">
        <v>295657.94</v>
      </c>
      <c r="Q474" t="str">
        <v>132.03</v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474</v>
      </c>
      <c r="B475" t="str">
        <v>MASS BSF</v>
      </c>
      <c r="C475" t="str">
        <v>C6E-921</v>
      </c>
      <c r="D475" t="str">
        <v>C6E-921</v>
      </c>
      <c r="E475" t="str">
        <v/>
      </c>
      <c r="F475" t="str">
        <v>867806078831353</v>
      </c>
      <c r="G475" t="str">
        <v>TBD</v>
      </c>
      <c r="H475" t="str">
        <v/>
      </c>
      <c r="I475" t="str">
        <v>28/09/2026</v>
      </c>
      <c r="J475" t="str">
        <v>22:24:12</v>
      </c>
      <c r="K475">
        <v>-12.213021</v>
      </c>
      <c r="L475">
        <v>-76.958885</v>
      </c>
      <c r="M475">
        <f>HYPERLINK("https://www.google.com/maps/search/?api=1&amp;query=-12.213021,-76.958885","Villa El Salvador, Lima")</f>
      </c>
      <c r="N475">
        <v>0</v>
      </c>
      <c r="O475">
        <v>77</v>
      </c>
      <c r="P475">
        <v>295657.94</v>
      </c>
      <c r="Q475" t="str">
        <v>132.03</v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475</v>
      </c>
      <c r="B476" t="str">
        <v>MASS BSF</v>
      </c>
      <c r="C476" t="str">
        <v>C6E-921</v>
      </c>
      <c r="D476" t="str">
        <v>C6E-921</v>
      </c>
      <c r="E476" t="str">
        <v/>
      </c>
      <c r="F476" t="str">
        <v>867806078831353</v>
      </c>
      <c r="G476" t="str">
        <v>TBD</v>
      </c>
      <c r="H476" t="str">
        <v/>
      </c>
      <c r="I476" t="str">
        <v>28/09/2026</v>
      </c>
      <c r="J476" t="str">
        <v>22:34:12</v>
      </c>
      <c r="K476">
        <v>-12.213021</v>
      </c>
      <c r="L476">
        <v>-76.958885</v>
      </c>
      <c r="M476">
        <f>HYPERLINK("https://www.google.com/maps/search/?api=1&amp;query=-12.213021,-76.958885","Villa El Salvador, Lima")</f>
      </c>
      <c r="N476">
        <v>0</v>
      </c>
      <c r="O476">
        <v>77</v>
      </c>
      <c r="P476">
        <v>295657.94</v>
      </c>
      <c r="Q476" t="str">
        <v>132.03</v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476</v>
      </c>
      <c r="B477" t="str">
        <v>MASS BSF</v>
      </c>
      <c r="C477" t="str">
        <v>C6E-921</v>
      </c>
      <c r="D477" t="str">
        <v>C6E-921</v>
      </c>
      <c r="E477" t="str">
        <v/>
      </c>
      <c r="F477" t="str">
        <v>867806078831353</v>
      </c>
      <c r="G477" t="str">
        <v>TBD</v>
      </c>
      <c r="H477" t="str">
        <v/>
      </c>
      <c r="I477" t="str">
        <v>28/09/2026</v>
      </c>
      <c r="J477" t="str">
        <v>22:44:12</v>
      </c>
      <c r="K477">
        <v>-12.213021</v>
      </c>
      <c r="L477">
        <v>-76.958885</v>
      </c>
      <c r="M477">
        <f>HYPERLINK("https://www.google.com/maps/search/?api=1&amp;query=-12.213021,-76.958885","Villa El Salvador, Lima")</f>
      </c>
      <c r="N477">
        <v>0</v>
      </c>
      <c r="O477">
        <v>80</v>
      </c>
      <c r="P477">
        <v>295657.94</v>
      </c>
      <c r="Q477" t="str">
        <v>132.03</v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477</v>
      </c>
      <c r="B478" t="str">
        <v>MASS BSF</v>
      </c>
      <c r="C478" t="str">
        <v>C6E-921</v>
      </c>
      <c r="D478" t="str">
        <v>C6E-921</v>
      </c>
      <c r="E478" t="str">
        <v/>
      </c>
      <c r="F478" t="str">
        <v>867806078831353</v>
      </c>
      <c r="G478" t="str">
        <v>TBD</v>
      </c>
      <c r="H478" t="str">
        <v/>
      </c>
      <c r="I478" t="str">
        <v>28/09/2026</v>
      </c>
      <c r="J478" t="str">
        <v>22:54:12</v>
      </c>
      <c r="K478">
        <v>-12.213021</v>
      </c>
      <c r="L478">
        <v>-76.958885</v>
      </c>
      <c r="M478">
        <f>HYPERLINK("https://www.google.com/maps/search/?api=1&amp;query=-12.213021,-76.958885","Villa El Salvador, Lima")</f>
      </c>
      <c r="N478">
        <v>0</v>
      </c>
      <c r="O478">
        <v>80</v>
      </c>
      <c r="P478">
        <v>295657.94</v>
      </c>
      <c r="Q478" t="str">
        <v>132.03</v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478</v>
      </c>
      <c r="B479" t="str">
        <v>MASS BSF</v>
      </c>
      <c r="C479" t="str">
        <v>C6E-921</v>
      </c>
      <c r="D479" t="str">
        <v>C6E-921</v>
      </c>
      <c r="E479" t="str">
        <v/>
      </c>
      <c r="F479" t="str">
        <v>867806078831353</v>
      </c>
      <c r="G479" t="str">
        <v>TBD</v>
      </c>
      <c r="H479" t="str">
        <v/>
      </c>
      <c r="I479" t="str">
        <v>28/09/2026</v>
      </c>
      <c r="J479" t="str">
        <v>23:04:12</v>
      </c>
      <c r="K479">
        <v>-12.213021</v>
      </c>
      <c r="L479">
        <v>-76.958885</v>
      </c>
      <c r="M479">
        <f>HYPERLINK("https://www.google.com/maps/search/?api=1&amp;query=-12.213021,-76.958885","Villa El Salvador, Lima")</f>
      </c>
      <c r="N479">
        <v>0</v>
      </c>
      <c r="O479">
        <v>80</v>
      </c>
      <c r="P479">
        <v>295657.94</v>
      </c>
      <c r="Q479" t="str">
        <v>132.03</v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479</v>
      </c>
      <c r="B480" t="str">
        <v>MASS BSF</v>
      </c>
      <c r="C480" t="str">
        <v>C6E-921</v>
      </c>
      <c r="D480" t="str">
        <v>C6E-921</v>
      </c>
      <c r="E480" t="str">
        <v/>
      </c>
      <c r="F480" t="str">
        <v>867806078831353</v>
      </c>
      <c r="G480" t="str">
        <v>TBD</v>
      </c>
      <c r="H480" t="str">
        <v/>
      </c>
      <c r="I480" t="str">
        <v>28/09/2026</v>
      </c>
      <c r="J480" t="str">
        <v>23:14:12</v>
      </c>
      <c r="K480">
        <v>-12.213021</v>
      </c>
      <c r="L480">
        <v>-76.958885</v>
      </c>
      <c r="M480">
        <f>HYPERLINK("https://www.google.com/maps/search/?api=1&amp;query=-12.213021,-76.958885","Villa El Salvador, Lima")</f>
      </c>
      <c r="N480">
        <v>0</v>
      </c>
      <c r="O480">
        <v>82</v>
      </c>
      <c r="P480">
        <v>295657.94</v>
      </c>
      <c r="Q480" t="str">
        <v>132.03</v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480</v>
      </c>
      <c r="B481" t="str">
        <v>MASS BSF</v>
      </c>
      <c r="C481" t="str">
        <v>C6E-921</v>
      </c>
      <c r="D481" t="str">
        <v>C6E-921</v>
      </c>
      <c r="E481" t="str">
        <v/>
      </c>
      <c r="F481" t="str">
        <v>867806078831353</v>
      </c>
      <c r="G481" t="str">
        <v>TBD</v>
      </c>
      <c r="H481" t="str">
        <v/>
      </c>
      <c r="I481" t="str">
        <v>28/09/2026</v>
      </c>
      <c r="J481" t="str">
        <v>23:24:12</v>
      </c>
      <c r="K481">
        <v>-12.213021</v>
      </c>
      <c r="L481">
        <v>-76.958885</v>
      </c>
      <c r="M481">
        <f>HYPERLINK("https://www.google.com/maps/search/?api=1&amp;query=-12.213021,-76.958885","Villa El Salvador, Lima")</f>
      </c>
      <c r="N481">
        <v>0</v>
      </c>
      <c r="O481">
        <v>82</v>
      </c>
      <c r="P481">
        <v>295657.94</v>
      </c>
      <c r="Q481" t="str">
        <v>132.03</v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481</v>
      </c>
      <c r="B482" t="str">
        <v>MASS BSF</v>
      </c>
      <c r="C482" t="str">
        <v>C6E-921</v>
      </c>
      <c r="D482" t="str">
        <v>C6E-921</v>
      </c>
      <c r="E482" t="str">
        <v/>
      </c>
      <c r="F482" t="str">
        <v>867806078831353</v>
      </c>
      <c r="G482" t="str">
        <v>TBD</v>
      </c>
      <c r="H482" t="str">
        <v/>
      </c>
      <c r="I482" t="str">
        <v>28/09/2026</v>
      </c>
      <c r="J482" t="str">
        <v>23:34:12</v>
      </c>
      <c r="K482">
        <v>-12.213021</v>
      </c>
      <c r="L482">
        <v>-76.958885</v>
      </c>
      <c r="M482">
        <f>HYPERLINK("https://www.google.com/maps/search/?api=1&amp;query=-12.213021,-76.958885","Villa El Salvador, Lima")</f>
      </c>
      <c r="N482">
        <v>0</v>
      </c>
      <c r="O482">
        <v>82</v>
      </c>
      <c r="P482">
        <v>295657.94</v>
      </c>
      <c r="Q482" t="str">
        <v>132.03</v>
      </c>
      <c r="R482" t="str">
        <v/>
      </c>
      <c r="S482" t="str">
        <v/>
      </c>
      <c r="T482" t="str">
        <v/>
      </c>
      <c r="U482" t="str">
        <v/>
      </c>
    </row>
    <row r="483">
      <c r="A483" t="str">
        <v>482</v>
      </c>
      <c r="B483" t="str">
        <v>MASS BSF</v>
      </c>
      <c r="C483" t="str">
        <v>C6E-921</v>
      </c>
      <c r="D483" t="str">
        <v>C6E-921</v>
      </c>
      <c r="E483" t="str">
        <v/>
      </c>
      <c r="F483" t="str">
        <v>867806078831353</v>
      </c>
      <c r="G483" t="str">
        <v>TBD</v>
      </c>
      <c r="H483" t="str">
        <v/>
      </c>
      <c r="I483" t="str">
        <v>28/09/2026</v>
      </c>
      <c r="J483" t="str">
        <v>23:44:12</v>
      </c>
      <c r="K483">
        <v>-12.213021</v>
      </c>
      <c r="L483">
        <v>-76.958885</v>
      </c>
      <c r="M483">
        <f>HYPERLINK("https://www.google.com/maps/search/?api=1&amp;query=-12.213021,-76.958885","Villa El Salvador, Lima")</f>
      </c>
      <c r="N483">
        <v>0</v>
      </c>
      <c r="O483">
        <v>82</v>
      </c>
      <c r="P483">
        <v>295657.94</v>
      </c>
      <c r="Q483" t="str">
        <v>132.03</v>
      </c>
      <c r="R483" t="str">
        <v/>
      </c>
      <c r="S483" t="str">
        <v/>
      </c>
      <c r="T483" t="str">
        <v/>
      </c>
      <c r="U483" t="str">
        <v/>
      </c>
    </row>
    <row r="484">
      <c r="A484" t="str">
        <v>483</v>
      </c>
      <c r="B484" t="str">
        <v>MASS BSF</v>
      </c>
      <c r="C484" t="str">
        <v>C6E-921</v>
      </c>
      <c r="D484" t="str">
        <v>C6E-921</v>
      </c>
      <c r="E484" t="str">
        <v/>
      </c>
      <c r="F484" t="str">
        <v>867806078831353</v>
      </c>
      <c r="G484" t="str">
        <v>TBD</v>
      </c>
      <c r="H484" t="str">
        <v/>
      </c>
      <c r="I484" t="str">
        <v>28/09/2026</v>
      </c>
      <c r="J484" t="str">
        <v>23:54:12</v>
      </c>
      <c r="K484">
        <v>-12.213021</v>
      </c>
      <c r="L484">
        <v>-76.958885</v>
      </c>
      <c r="M484">
        <f>HYPERLINK("https://www.google.com/maps/search/?api=1&amp;query=-12.213021,-76.958885","Villa El Salvador, Lima")</f>
      </c>
      <c r="N484">
        <v>0</v>
      </c>
      <c r="O484">
        <v>82</v>
      </c>
      <c r="P484">
        <v>295657.94</v>
      </c>
      <c r="Q484" t="str">
        <v>132.03</v>
      </c>
      <c r="R484" t="str">
        <v/>
      </c>
      <c r="S484" t="str">
        <v/>
      </c>
      <c r="T484" t="str">
        <v/>
      </c>
      <c r="U484" t="str">
        <v/>
      </c>
    </row>
  </sheetData>
  <ignoredErrors>
    <ignoredError numberStoredAsText="1" sqref="A1:U4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History</dc:subject>
  <dc:title>Report History</dc:title>
</cp:coreProperties>
</file>