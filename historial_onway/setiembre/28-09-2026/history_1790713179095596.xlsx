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BXT-918</v>
      </c>
      <c r="D2" t="str">
        <v>BXT-918</v>
      </c>
      <c r="E2" t="str">
        <v/>
      </c>
      <c r="F2" t="str">
        <v>867806075765992</v>
      </c>
      <c r="G2" t="str">
        <v>TBD</v>
      </c>
      <c r="H2" t="str">
        <v/>
      </c>
      <c r="I2" t="str">
        <v>28/09/2026</v>
      </c>
      <c r="J2" t="str">
        <v>00:07:09</v>
      </c>
      <c r="K2">
        <v>-12.271069</v>
      </c>
      <c r="L2">
        <v>-76.8743</v>
      </c>
      <c r="M2">
        <f>HYPERLINK("https://www.google.com/maps/search/?api=1&amp;query=-12.271069,-76.8743","Calle Los Pinos, Lurín, Lima")</f>
      </c>
      <c r="N2">
        <v>0</v>
      </c>
      <c r="O2">
        <v>80</v>
      </c>
      <c r="P2">
        <v>70844</v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BXT-918</v>
      </c>
      <c r="D3" t="str">
        <v>BXT-918</v>
      </c>
      <c r="E3" t="str">
        <v/>
      </c>
      <c r="F3" t="str">
        <v>867806075765992</v>
      </c>
      <c r="G3" t="str">
        <v>TBD</v>
      </c>
      <c r="H3" t="str">
        <v/>
      </c>
      <c r="I3" t="str">
        <v>28/09/2026</v>
      </c>
      <c r="J3" t="str">
        <v>00:17:09</v>
      </c>
      <c r="K3">
        <v>-12.271069</v>
      </c>
      <c r="L3">
        <v>-76.8743</v>
      </c>
      <c r="M3">
        <f>HYPERLINK("https://www.google.com/maps/search/?api=1&amp;query=-12.271069,-76.8743","Calle Los Pinos, Lurín, Lima")</f>
      </c>
      <c r="N3">
        <v>0</v>
      </c>
      <c r="O3">
        <v>80</v>
      </c>
      <c r="P3">
        <v>70844</v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BXT-918</v>
      </c>
      <c r="D4" t="str">
        <v>BXT-918</v>
      </c>
      <c r="E4" t="str">
        <v/>
      </c>
      <c r="F4" t="str">
        <v>867806075765992</v>
      </c>
      <c r="G4" t="str">
        <v>TBD</v>
      </c>
      <c r="H4" t="str">
        <v/>
      </c>
      <c r="I4" t="str">
        <v>28/09/2026</v>
      </c>
      <c r="J4" t="str">
        <v>00:27:09</v>
      </c>
      <c r="K4">
        <v>-12.271069</v>
      </c>
      <c r="L4">
        <v>-76.8743</v>
      </c>
      <c r="M4">
        <f>HYPERLINK("https://www.google.com/maps/search/?api=1&amp;query=-12.271069,-76.8743","Calle Los Pinos, Lurín, Lima")</f>
      </c>
      <c r="N4">
        <v>0</v>
      </c>
      <c r="O4">
        <v>76</v>
      </c>
      <c r="P4">
        <v>70844</v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BXT-918</v>
      </c>
      <c r="D5" t="str">
        <v>BXT-918</v>
      </c>
      <c r="E5" t="str">
        <v/>
      </c>
      <c r="F5" t="str">
        <v>867806075765992</v>
      </c>
      <c r="G5" t="str">
        <v>TBD</v>
      </c>
      <c r="H5" t="str">
        <v/>
      </c>
      <c r="I5" t="str">
        <v>28/09/2026</v>
      </c>
      <c r="J5" t="str">
        <v>00:37:09</v>
      </c>
      <c r="K5">
        <v>-12.271069</v>
      </c>
      <c r="L5">
        <v>-76.8743</v>
      </c>
      <c r="M5">
        <f>HYPERLINK("https://www.google.com/maps/search/?api=1&amp;query=-12.271069,-76.8743","Calle Los Pinos, Lurín, Lima")</f>
      </c>
      <c r="N5">
        <v>0</v>
      </c>
      <c r="O5">
        <v>76</v>
      </c>
      <c r="P5">
        <v>70844</v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BXT-918</v>
      </c>
      <c r="D6" t="str">
        <v>BXT-918</v>
      </c>
      <c r="E6" t="str">
        <v/>
      </c>
      <c r="F6" t="str">
        <v>867806075765992</v>
      </c>
      <c r="G6" t="str">
        <v>TBD</v>
      </c>
      <c r="H6" t="str">
        <v/>
      </c>
      <c r="I6" t="str">
        <v>28/09/2026</v>
      </c>
      <c r="J6" t="str">
        <v>00:47:09</v>
      </c>
      <c r="K6">
        <v>-12.271069</v>
      </c>
      <c r="L6">
        <v>-76.8743</v>
      </c>
      <c r="M6">
        <f>HYPERLINK("https://www.google.com/maps/search/?api=1&amp;query=-12.271069,-76.8743","Calle Los Pinos, Lurín, Lima")</f>
      </c>
      <c r="N6">
        <v>0</v>
      </c>
      <c r="O6">
        <v>79</v>
      </c>
      <c r="P6">
        <v>70844</v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BXT-918</v>
      </c>
      <c r="D7" t="str">
        <v>BXT-918</v>
      </c>
      <c r="E7" t="str">
        <v/>
      </c>
      <c r="F7" t="str">
        <v>867806075765992</v>
      </c>
      <c r="G7" t="str">
        <v>TBD</v>
      </c>
      <c r="H7" t="str">
        <v/>
      </c>
      <c r="I7" t="str">
        <v>28/09/2026</v>
      </c>
      <c r="J7" t="str">
        <v>00:57:09</v>
      </c>
      <c r="K7">
        <v>-12.271069</v>
      </c>
      <c r="L7">
        <v>-76.8743</v>
      </c>
      <c r="M7">
        <f>HYPERLINK("https://www.google.com/maps/search/?api=1&amp;query=-12.271069,-76.8743","Calle Los Pinos, Lurín, Lima")</f>
      </c>
      <c r="N7">
        <v>0</v>
      </c>
      <c r="O7">
        <v>87</v>
      </c>
      <c r="P7">
        <v>70844</v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BXT-918</v>
      </c>
      <c r="D8" t="str">
        <v>BXT-918</v>
      </c>
      <c r="E8" t="str">
        <v/>
      </c>
      <c r="F8" t="str">
        <v>867806075765992</v>
      </c>
      <c r="G8" t="str">
        <v>TBD</v>
      </c>
      <c r="H8" t="str">
        <v/>
      </c>
      <c r="I8" t="str">
        <v>28/09/2026</v>
      </c>
      <c r="J8" t="str">
        <v>01:07:09</v>
      </c>
      <c r="K8">
        <v>-12.271069</v>
      </c>
      <c r="L8">
        <v>-76.8743</v>
      </c>
      <c r="M8">
        <f>HYPERLINK("https://www.google.com/maps/search/?api=1&amp;query=-12.271069,-76.8743","Calle Los Pinos, Lurín, Lima")</f>
      </c>
      <c r="N8">
        <v>0</v>
      </c>
      <c r="O8">
        <v>76</v>
      </c>
      <c r="P8">
        <v>70844</v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BXT-918</v>
      </c>
      <c r="D9" t="str">
        <v>BXT-918</v>
      </c>
      <c r="E9" t="str">
        <v/>
      </c>
      <c r="F9" t="str">
        <v>867806075765992</v>
      </c>
      <c r="G9" t="str">
        <v>TBD</v>
      </c>
      <c r="H9" t="str">
        <v/>
      </c>
      <c r="I9" t="str">
        <v>28/09/2026</v>
      </c>
      <c r="J9" t="str">
        <v>01:17:09</v>
      </c>
      <c r="K9">
        <v>-12.271069</v>
      </c>
      <c r="L9">
        <v>-76.8743</v>
      </c>
      <c r="M9">
        <f>HYPERLINK("https://www.google.com/maps/search/?api=1&amp;query=-12.271069,-76.8743","Calle Los Pinos, Lurín, Lima")</f>
      </c>
      <c r="N9">
        <v>0</v>
      </c>
      <c r="O9">
        <v>76</v>
      </c>
      <c r="P9">
        <v>70844</v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BXT-918</v>
      </c>
      <c r="D10" t="str">
        <v>BXT-918</v>
      </c>
      <c r="E10" t="str">
        <v/>
      </c>
      <c r="F10" t="str">
        <v>867806075765992</v>
      </c>
      <c r="G10" t="str">
        <v>TBD</v>
      </c>
      <c r="H10" t="str">
        <v/>
      </c>
      <c r="I10" t="str">
        <v>28/09/2026</v>
      </c>
      <c r="J10" t="str">
        <v>01:27:09</v>
      </c>
      <c r="K10">
        <v>-12.271069</v>
      </c>
      <c r="L10">
        <v>-76.8743</v>
      </c>
      <c r="M10">
        <f>HYPERLINK("https://www.google.com/maps/search/?api=1&amp;query=-12.271069,-76.8743","Calle Los Pinos, Lurín, Lima")</f>
      </c>
      <c r="N10">
        <v>0</v>
      </c>
      <c r="O10">
        <v>76</v>
      </c>
      <c r="P10">
        <v>70844</v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BXT-918</v>
      </c>
      <c r="D11" t="str">
        <v>BXT-918</v>
      </c>
      <c r="E11" t="str">
        <v/>
      </c>
      <c r="F11" t="str">
        <v>867806075765992</v>
      </c>
      <c r="G11" t="str">
        <v>TBD</v>
      </c>
      <c r="H11" t="str">
        <v/>
      </c>
      <c r="I11" t="str">
        <v>28/09/2026</v>
      </c>
      <c r="J11" t="str">
        <v>01:37:09</v>
      </c>
      <c r="K11">
        <v>-12.271069</v>
      </c>
      <c r="L11">
        <v>-76.8743</v>
      </c>
      <c r="M11">
        <f>HYPERLINK("https://www.google.com/maps/search/?api=1&amp;query=-12.271069,-76.8743","Calle Los Pinos, Lurín, Lima")</f>
      </c>
      <c r="N11">
        <v>0</v>
      </c>
      <c r="O11">
        <v>76</v>
      </c>
      <c r="P11">
        <v>70844</v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BXT-918</v>
      </c>
      <c r="D12" t="str">
        <v>BXT-918</v>
      </c>
      <c r="E12" t="str">
        <v/>
      </c>
      <c r="F12" t="str">
        <v>867806075765992</v>
      </c>
      <c r="G12" t="str">
        <v>TBD</v>
      </c>
      <c r="H12" t="str">
        <v/>
      </c>
      <c r="I12" t="str">
        <v>28/09/2026</v>
      </c>
      <c r="J12" t="str">
        <v>01:47:09</v>
      </c>
      <c r="K12">
        <v>-12.271069</v>
      </c>
      <c r="L12">
        <v>-76.8743</v>
      </c>
      <c r="M12">
        <f>HYPERLINK("https://www.google.com/maps/search/?api=1&amp;query=-12.271069,-76.8743","Calle Los Pinos, Lurín, Lima")</f>
      </c>
      <c r="N12">
        <v>0</v>
      </c>
      <c r="O12">
        <v>76</v>
      </c>
      <c r="P12">
        <v>70844</v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BXT-918</v>
      </c>
      <c r="D13" t="str">
        <v>BXT-918</v>
      </c>
      <c r="E13" t="str">
        <v/>
      </c>
      <c r="F13" t="str">
        <v>867806075765992</v>
      </c>
      <c r="G13" t="str">
        <v>TBD</v>
      </c>
      <c r="H13" t="str">
        <v/>
      </c>
      <c r="I13" t="str">
        <v>28/09/2026</v>
      </c>
      <c r="J13" t="str">
        <v>01:57:09</v>
      </c>
      <c r="K13">
        <v>-12.271069</v>
      </c>
      <c r="L13">
        <v>-76.8743</v>
      </c>
      <c r="M13">
        <f>HYPERLINK("https://www.google.com/maps/search/?api=1&amp;query=-12.271069,-76.8743","Calle Los Pinos, Lurín, Lima")</f>
      </c>
      <c r="N13">
        <v>0</v>
      </c>
      <c r="O13">
        <v>76</v>
      </c>
      <c r="P13">
        <v>70844</v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BXT-918</v>
      </c>
      <c r="D14" t="str">
        <v>BXT-918</v>
      </c>
      <c r="E14" t="str">
        <v/>
      </c>
      <c r="F14" t="str">
        <v>867806075765992</v>
      </c>
      <c r="G14" t="str">
        <v>TBD</v>
      </c>
      <c r="H14" t="str">
        <v/>
      </c>
      <c r="I14" t="str">
        <v>28/09/2026</v>
      </c>
      <c r="J14" t="str">
        <v>02:07:09</v>
      </c>
      <c r="K14">
        <v>-12.271069</v>
      </c>
      <c r="L14">
        <v>-76.8743</v>
      </c>
      <c r="M14">
        <f>HYPERLINK("https://www.google.com/maps/search/?api=1&amp;query=-12.271069,-76.8743","Calle Los Pinos, Lurín, Lima")</f>
      </c>
      <c r="N14">
        <v>0</v>
      </c>
      <c r="O14">
        <v>76</v>
      </c>
      <c r="P14">
        <v>70844</v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BXT-918</v>
      </c>
      <c r="D15" t="str">
        <v>BXT-918</v>
      </c>
      <c r="E15" t="str">
        <v/>
      </c>
      <c r="F15" t="str">
        <v>867806075765992</v>
      </c>
      <c r="G15" t="str">
        <v>TBD</v>
      </c>
      <c r="H15" t="str">
        <v/>
      </c>
      <c r="I15" t="str">
        <v>28/09/2026</v>
      </c>
      <c r="J15" t="str">
        <v>02:17:09</v>
      </c>
      <c r="K15">
        <v>-12.271069</v>
      </c>
      <c r="L15">
        <v>-76.8743</v>
      </c>
      <c r="M15">
        <f>HYPERLINK("https://www.google.com/maps/search/?api=1&amp;query=-12.271069,-76.8743","Calle Los Pinos, Lurín, Lima")</f>
      </c>
      <c r="N15">
        <v>0</v>
      </c>
      <c r="O15">
        <v>76</v>
      </c>
      <c r="P15">
        <v>70844</v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BXT-918</v>
      </c>
      <c r="D16" t="str">
        <v>BXT-918</v>
      </c>
      <c r="E16" t="str">
        <v/>
      </c>
      <c r="F16" t="str">
        <v>867806075765992</v>
      </c>
      <c r="G16" t="str">
        <v>TBD</v>
      </c>
      <c r="H16" t="str">
        <v/>
      </c>
      <c r="I16" t="str">
        <v>28/09/2026</v>
      </c>
      <c r="J16" t="str">
        <v>02:27:09</v>
      </c>
      <c r="K16">
        <v>-12.271069</v>
      </c>
      <c r="L16">
        <v>-76.8743</v>
      </c>
      <c r="M16">
        <f>HYPERLINK("https://www.google.com/maps/search/?api=1&amp;query=-12.271069,-76.8743","Calle Los Pinos, Lurín, Lima")</f>
      </c>
      <c r="N16">
        <v>0</v>
      </c>
      <c r="O16">
        <v>78</v>
      </c>
      <c r="P16">
        <v>70844</v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BXT-918</v>
      </c>
      <c r="D17" t="str">
        <v>BXT-918</v>
      </c>
      <c r="E17" t="str">
        <v/>
      </c>
      <c r="F17" t="str">
        <v>867806075765992</v>
      </c>
      <c r="G17" t="str">
        <v>TBD</v>
      </c>
      <c r="H17" t="str">
        <v/>
      </c>
      <c r="I17" t="str">
        <v>28/09/2026</v>
      </c>
      <c r="J17" t="str">
        <v>02:37:09</v>
      </c>
      <c r="K17">
        <v>-12.271069</v>
      </c>
      <c r="L17">
        <v>-76.8743</v>
      </c>
      <c r="M17">
        <f>HYPERLINK("https://www.google.com/maps/search/?api=1&amp;query=-12.271069,-76.8743","Calle Los Pinos, Lurín, Lima")</f>
      </c>
      <c r="N17">
        <v>0</v>
      </c>
      <c r="O17">
        <v>78</v>
      </c>
      <c r="P17">
        <v>70844</v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BXT-918</v>
      </c>
      <c r="D18" t="str">
        <v>BXT-918</v>
      </c>
      <c r="E18" t="str">
        <v/>
      </c>
      <c r="F18" t="str">
        <v>867806075765992</v>
      </c>
      <c r="G18" t="str">
        <v>TBD</v>
      </c>
      <c r="H18" t="str">
        <v/>
      </c>
      <c r="I18" t="str">
        <v>28/09/2026</v>
      </c>
      <c r="J18" t="str">
        <v>02:47:09</v>
      </c>
      <c r="K18">
        <v>-12.271069</v>
      </c>
      <c r="L18">
        <v>-76.8743</v>
      </c>
      <c r="M18">
        <f>HYPERLINK("https://www.google.com/maps/search/?api=1&amp;query=-12.271069,-76.8743","Calle Los Pinos, Lurín, Lima")</f>
      </c>
      <c r="N18">
        <v>0</v>
      </c>
      <c r="O18">
        <v>79</v>
      </c>
      <c r="P18">
        <v>70844</v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BXT-918</v>
      </c>
      <c r="D19" t="str">
        <v>BXT-918</v>
      </c>
      <c r="E19" t="str">
        <v/>
      </c>
      <c r="F19" t="str">
        <v>867806075765992</v>
      </c>
      <c r="G19" t="str">
        <v>TBD</v>
      </c>
      <c r="H19" t="str">
        <v/>
      </c>
      <c r="I19" t="str">
        <v>28/09/2026</v>
      </c>
      <c r="J19" t="str">
        <v>02:57:09</v>
      </c>
      <c r="K19">
        <v>-12.271069</v>
      </c>
      <c r="L19">
        <v>-76.8743</v>
      </c>
      <c r="M19">
        <f>HYPERLINK("https://www.google.com/maps/search/?api=1&amp;query=-12.271069,-76.8743","Calle Los Pinos, Lurín, Lima")</f>
      </c>
      <c r="N19">
        <v>0</v>
      </c>
      <c r="O19">
        <v>79</v>
      </c>
      <c r="P19">
        <v>70844</v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BXT-918</v>
      </c>
      <c r="D20" t="str">
        <v>BXT-918</v>
      </c>
      <c r="E20" t="str">
        <v/>
      </c>
      <c r="F20" t="str">
        <v>867806075765992</v>
      </c>
      <c r="G20" t="str">
        <v>TBD</v>
      </c>
      <c r="H20" t="str">
        <v/>
      </c>
      <c r="I20" t="str">
        <v>28/09/2026</v>
      </c>
      <c r="J20" t="str">
        <v>03:07:09</v>
      </c>
      <c r="K20">
        <v>-12.271069</v>
      </c>
      <c r="L20">
        <v>-76.8743</v>
      </c>
      <c r="M20">
        <f>HYPERLINK("https://www.google.com/maps/search/?api=1&amp;query=-12.271069,-76.8743","Calle Los Pinos, Lurín, Lima")</f>
      </c>
      <c r="N20">
        <v>0</v>
      </c>
      <c r="O20">
        <v>79</v>
      </c>
      <c r="P20">
        <v>70844</v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BXT-918</v>
      </c>
      <c r="D21" t="str">
        <v>BXT-918</v>
      </c>
      <c r="E21" t="str">
        <v/>
      </c>
      <c r="F21" t="str">
        <v>867806075765992</v>
      </c>
      <c r="G21" t="str">
        <v>TBD</v>
      </c>
      <c r="H21" t="str">
        <v/>
      </c>
      <c r="I21" t="str">
        <v>28/09/2026</v>
      </c>
      <c r="J21" t="str">
        <v>03:17:09</v>
      </c>
      <c r="K21">
        <v>-12.271069</v>
      </c>
      <c r="L21">
        <v>-76.8743</v>
      </c>
      <c r="M21">
        <f>HYPERLINK("https://www.google.com/maps/search/?api=1&amp;query=-12.271069,-76.8743","Calle Los Pinos, Lurín, Lima")</f>
      </c>
      <c r="N21">
        <v>0</v>
      </c>
      <c r="O21">
        <v>79</v>
      </c>
      <c r="P21">
        <v>70844</v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BXT-918</v>
      </c>
      <c r="D22" t="str">
        <v>BXT-918</v>
      </c>
      <c r="E22" t="str">
        <v/>
      </c>
      <c r="F22" t="str">
        <v>867806075765992</v>
      </c>
      <c r="G22" t="str">
        <v>TBD</v>
      </c>
      <c r="H22" t="str">
        <v/>
      </c>
      <c r="I22" t="str">
        <v>28/09/2026</v>
      </c>
      <c r="J22" t="str">
        <v>03:27:09</v>
      </c>
      <c r="K22">
        <v>-12.271069</v>
      </c>
      <c r="L22">
        <v>-76.8743</v>
      </c>
      <c r="M22">
        <f>HYPERLINK("https://www.google.com/maps/search/?api=1&amp;query=-12.271069,-76.8743","Calle Los Pinos, Lurín, Lima")</f>
      </c>
      <c r="N22">
        <v>0</v>
      </c>
      <c r="O22">
        <v>79</v>
      </c>
      <c r="P22">
        <v>70844</v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BXT-918</v>
      </c>
      <c r="D23" t="str">
        <v>BXT-918</v>
      </c>
      <c r="E23" t="str">
        <v/>
      </c>
      <c r="F23" t="str">
        <v>867806075765992</v>
      </c>
      <c r="G23" t="str">
        <v>TBD</v>
      </c>
      <c r="H23" t="str">
        <v/>
      </c>
      <c r="I23" t="str">
        <v>28/09/2026</v>
      </c>
      <c r="J23" t="str">
        <v>03:37:09</v>
      </c>
      <c r="K23">
        <v>-12.271069</v>
      </c>
      <c r="L23">
        <v>-76.8743</v>
      </c>
      <c r="M23">
        <f>HYPERLINK("https://www.google.com/maps/search/?api=1&amp;query=-12.271069,-76.8743","Calle Los Pinos, Lurín, Lima")</f>
      </c>
      <c r="N23">
        <v>0</v>
      </c>
      <c r="O23">
        <v>79</v>
      </c>
      <c r="P23">
        <v>70844</v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BXT-918</v>
      </c>
      <c r="D24" t="str">
        <v>BXT-918</v>
      </c>
      <c r="E24" t="str">
        <v/>
      </c>
      <c r="F24" t="str">
        <v>867806075765992</v>
      </c>
      <c r="G24" t="str">
        <v>TBD</v>
      </c>
      <c r="H24" t="str">
        <v/>
      </c>
      <c r="I24" t="str">
        <v>28/09/2026</v>
      </c>
      <c r="J24" t="str">
        <v>03:47:09</v>
      </c>
      <c r="K24">
        <v>-12.271069</v>
      </c>
      <c r="L24">
        <v>-76.8743</v>
      </c>
      <c r="M24">
        <f>HYPERLINK("https://www.google.com/maps/search/?api=1&amp;query=-12.271069,-76.8743","Calle Los Pinos, Lurín, Lima")</f>
      </c>
      <c r="N24">
        <v>0</v>
      </c>
      <c r="O24">
        <v>79</v>
      </c>
      <c r="P24">
        <v>70844</v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BXT-918</v>
      </c>
      <c r="D25" t="str">
        <v>BXT-918</v>
      </c>
      <c r="E25" t="str">
        <v/>
      </c>
      <c r="F25" t="str">
        <v>867806075765992</v>
      </c>
      <c r="G25" t="str">
        <v>TBD</v>
      </c>
      <c r="H25" t="str">
        <v/>
      </c>
      <c r="I25" t="str">
        <v>28/09/2026</v>
      </c>
      <c r="J25" t="str">
        <v>03:57:09</v>
      </c>
      <c r="K25">
        <v>-12.271069</v>
      </c>
      <c r="L25">
        <v>-76.8743</v>
      </c>
      <c r="M25">
        <f>HYPERLINK("https://www.google.com/maps/search/?api=1&amp;query=-12.271069,-76.8743","Calle Los Pinos, Lurín, Lima")</f>
      </c>
      <c r="N25">
        <v>0</v>
      </c>
      <c r="O25">
        <v>76</v>
      </c>
      <c r="P25">
        <v>70844</v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BXT-918</v>
      </c>
      <c r="D26" t="str">
        <v>BXT-918</v>
      </c>
      <c r="E26" t="str">
        <v/>
      </c>
      <c r="F26" t="str">
        <v>867806075765992</v>
      </c>
      <c r="G26" t="str">
        <v>TBD</v>
      </c>
      <c r="H26" t="str">
        <v/>
      </c>
      <c r="I26" t="str">
        <v>28/09/2026</v>
      </c>
      <c r="J26" t="str">
        <v>04:07:09</v>
      </c>
      <c r="K26">
        <v>-12.271069</v>
      </c>
      <c r="L26">
        <v>-76.8743</v>
      </c>
      <c r="M26">
        <f>HYPERLINK("https://www.google.com/maps/search/?api=1&amp;query=-12.271069,-76.8743","Calle Los Pinos, Lurín, Lima")</f>
      </c>
      <c r="N26">
        <v>0</v>
      </c>
      <c r="O26">
        <v>76</v>
      </c>
      <c r="P26">
        <v>70844</v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BXT-918</v>
      </c>
      <c r="D27" t="str">
        <v>BXT-918</v>
      </c>
      <c r="E27" t="str">
        <v/>
      </c>
      <c r="F27" t="str">
        <v>867806075765992</v>
      </c>
      <c r="G27" t="str">
        <v>TBD</v>
      </c>
      <c r="H27" t="str">
        <v/>
      </c>
      <c r="I27" t="str">
        <v>28/09/2026</v>
      </c>
      <c r="J27" t="str">
        <v>04:17:09</v>
      </c>
      <c r="K27">
        <v>-12.271069</v>
      </c>
      <c r="L27">
        <v>-76.8743</v>
      </c>
      <c r="M27">
        <f>HYPERLINK("https://www.google.com/maps/search/?api=1&amp;query=-12.271069,-76.8743","Calle Los Pinos, Lurín, Lima")</f>
      </c>
      <c r="N27">
        <v>0</v>
      </c>
      <c r="O27">
        <v>82</v>
      </c>
      <c r="P27">
        <v>70844</v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BXT-918</v>
      </c>
      <c r="D28" t="str">
        <v>BXT-918</v>
      </c>
      <c r="E28" t="str">
        <v/>
      </c>
      <c r="F28" t="str">
        <v>867806075765992</v>
      </c>
      <c r="G28" t="str">
        <v>TBD</v>
      </c>
      <c r="H28" t="str">
        <v/>
      </c>
      <c r="I28" t="str">
        <v>28/09/2026</v>
      </c>
      <c r="J28" t="str">
        <v>04:27:09</v>
      </c>
      <c r="K28">
        <v>-12.271069</v>
      </c>
      <c r="L28">
        <v>-76.8743</v>
      </c>
      <c r="M28">
        <f>HYPERLINK("https://www.google.com/maps/search/?api=1&amp;query=-12.271069,-76.8743","Calle Los Pinos, Lurín, Lima")</f>
      </c>
      <c r="N28">
        <v>0</v>
      </c>
      <c r="O28">
        <v>76</v>
      </c>
      <c r="P28">
        <v>70844</v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BXT-918</v>
      </c>
      <c r="D29" t="str">
        <v>BXT-918</v>
      </c>
      <c r="E29" t="str">
        <v/>
      </c>
      <c r="F29" t="str">
        <v>867806075765992</v>
      </c>
      <c r="G29" t="str">
        <v>TBD</v>
      </c>
      <c r="H29" t="str">
        <v/>
      </c>
      <c r="I29" t="str">
        <v>28/09/2026</v>
      </c>
      <c r="J29" t="str">
        <v>04:37:09</v>
      </c>
      <c r="K29">
        <v>-12.271069</v>
      </c>
      <c r="L29">
        <v>-76.8743</v>
      </c>
      <c r="M29">
        <f>HYPERLINK("https://www.google.com/maps/search/?api=1&amp;query=-12.271069,-76.8743","Calle Los Pinos, Lurín, Lima")</f>
      </c>
      <c r="N29">
        <v>0</v>
      </c>
      <c r="O29">
        <v>76</v>
      </c>
      <c r="P29">
        <v>70844</v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BXT-918</v>
      </c>
      <c r="D30" t="str">
        <v>BXT-918</v>
      </c>
      <c r="E30" t="str">
        <v/>
      </c>
      <c r="F30" t="str">
        <v>867806075765992</v>
      </c>
      <c r="G30" t="str">
        <v>TBD</v>
      </c>
      <c r="H30" t="str">
        <v/>
      </c>
      <c r="I30" t="str">
        <v>28/09/2026</v>
      </c>
      <c r="J30" t="str">
        <v>04:47:09</v>
      </c>
      <c r="K30">
        <v>-12.271069</v>
      </c>
      <c r="L30">
        <v>-76.8743</v>
      </c>
      <c r="M30">
        <f>HYPERLINK("https://www.google.com/maps/search/?api=1&amp;query=-12.271069,-76.8743","Calle Los Pinos, Lurín, Lima")</f>
      </c>
      <c r="N30">
        <v>0</v>
      </c>
      <c r="O30">
        <v>76</v>
      </c>
      <c r="P30">
        <v>70844</v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BXT-918</v>
      </c>
      <c r="D31" t="str">
        <v>BXT-918</v>
      </c>
      <c r="E31" t="str">
        <v/>
      </c>
      <c r="F31" t="str">
        <v>867806075765992</v>
      </c>
      <c r="G31" t="str">
        <v>TBD</v>
      </c>
      <c r="H31" t="str">
        <v/>
      </c>
      <c r="I31" t="str">
        <v>28/09/2026</v>
      </c>
      <c r="J31" t="str">
        <v>04:57:09</v>
      </c>
      <c r="K31">
        <v>-12.271069</v>
      </c>
      <c r="L31">
        <v>-76.8743</v>
      </c>
      <c r="M31">
        <f>HYPERLINK("https://www.google.com/maps/search/?api=1&amp;query=-12.271069,-76.8743","Calle Los Pinos, Lurín, Lima")</f>
      </c>
      <c r="N31">
        <v>0</v>
      </c>
      <c r="O31">
        <v>76</v>
      </c>
      <c r="P31">
        <v>70844</v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BXT-918</v>
      </c>
      <c r="D32" t="str">
        <v>BXT-918</v>
      </c>
      <c r="E32" t="str">
        <v/>
      </c>
      <c r="F32" t="str">
        <v>867806075765992</v>
      </c>
      <c r="G32" t="str">
        <v>TBD</v>
      </c>
      <c r="H32" t="str">
        <v/>
      </c>
      <c r="I32" t="str">
        <v>28/09/2026</v>
      </c>
      <c r="J32" t="str">
        <v>05:07:09</v>
      </c>
      <c r="K32">
        <v>-12.271069</v>
      </c>
      <c r="L32">
        <v>-76.8743</v>
      </c>
      <c r="M32">
        <f>HYPERLINK("https://www.google.com/maps/search/?api=1&amp;query=-12.271069,-76.8743","Calle Los Pinos, Lurín, Lima")</f>
      </c>
      <c r="N32">
        <v>0</v>
      </c>
      <c r="O32">
        <v>76</v>
      </c>
      <c r="P32">
        <v>70844</v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BXT-918</v>
      </c>
      <c r="D33" t="str">
        <v>BXT-918</v>
      </c>
      <c r="E33" t="str">
        <v/>
      </c>
      <c r="F33" t="str">
        <v>867806075765992</v>
      </c>
      <c r="G33" t="str">
        <v>TBD</v>
      </c>
      <c r="H33" t="str">
        <v/>
      </c>
      <c r="I33" t="str">
        <v>28/09/2026</v>
      </c>
      <c r="J33" t="str">
        <v>05:17:09</v>
      </c>
      <c r="K33">
        <v>-12.271069</v>
      </c>
      <c r="L33">
        <v>-76.8743</v>
      </c>
      <c r="M33">
        <f>HYPERLINK("https://www.google.com/maps/search/?api=1&amp;query=-12.271069,-76.8743","Calle Los Pinos, Lurín, Lima")</f>
      </c>
      <c r="N33">
        <v>0</v>
      </c>
      <c r="O33">
        <v>78</v>
      </c>
      <c r="P33">
        <v>70844</v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BXT-918</v>
      </c>
      <c r="D34" t="str">
        <v>BXT-918</v>
      </c>
      <c r="E34" t="str">
        <v/>
      </c>
      <c r="F34" t="str">
        <v>867806075765992</v>
      </c>
      <c r="G34" t="str">
        <v>TBD</v>
      </c>
      <c r="H34" t="str">
        <v/>
      </c>
      <c r="I34" t="str">
        <v>28/09/2026</v>
      </c>
      <c r="J34" t="str">
        <v>05:27:09</v>
      </c>
      <c r="K34">
        <v>-12.271069</v>
      </c>
      <c r="L34">
        <v>-76.8743</v>
      </c>
      <c r="M34">
        <f>HYPERLINK("https://www.google.com/maps/search/?api=1&amp;query=-12.271069,-76.8743","Calle Los Pinos, Lurín, Lima")</f>
      </c>
      <c r="N34">
        <v>0</v>
      </c>
      <c r="O34">
        <v>78</v>
      </c>
      <c r="P34">
        <v>70844</v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BXT-918</v>
      </c>
      <c r="D35" t="str">
        <v>BXT-918</v>
      </c>
      <c r="E35" t="str">
        <v/>
      </c>
      <c r="F35" t="str">
        <v>867806075765992</v>
      </c>
      <c r="G35" t="str">
        <v>TBD</v>
      </c>
      <c r="H35" t="str">
        <v/>
      </c>
      <c r="I35" t="str">
        <v>28/09/2026</v>
      </c>
      <c r="J35" t="str">
        <v>05:37:09</v>
      </c>
      <c r="K35">
        <v>-12.271069</v>
      </c>
      <c r="L35">
        <v>-76.8743</v>
      </c>
      <c r="M35">
        <f>HYPERLINK("https://www.google.com/maps/search/?api=1&amp;query=-12.271069,-76.8743","Calle Los Pinos, Lurín, Lima")</f>
      </c>
      <c r="N35">
        <v>0</v>
      </c>
      <c r="O35">
        <v>78</v>
      </c>
      <c r="P35">
        <v>70844</v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BXT-918</v>
      </c>
      <c r="D36" t="str">
        <v>BXT-918</v>
      </c>
      <c r="E36" t="str">
        <v/>
      </c>
      <c r="F36" t="str">
        <v>867806075765992</v>
      </c>
      <c r="G36" t="str">
        <v>TBD</v>
      </c>
      <c r="H36" t="str">
        <v/>
      </c>
      <c r="I36" t="str">
        <v>28/09/2026</v>
      </c>
      <c r="J36" t="str">
        <v>05:47:09</v>
      </c>
      <c r="K36">
        <v>-12.271069</v>
      </c>
      <c r="L36">
        <v>-76.8743</v>
      </c>
      <c r="M36">
        <f>HYPERLINK("https://www.google.com/maps/search/?api=1&amp;query=-12.271069,-76.8743","Calle Los Pinos, Lurín, Lima")</f>
      </c>
      <c r="N36">
        <v>0</v>
      </c>
      <c r="O36">
        <v>80</v>
      </c>
      <c r="P36">
        <v>70844</v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BXT-918</v>
      </c>
      <c r="D37" t="str">
        <v>BXT-918</v>
      </c>
      <c r="E37" t="str">
        <v/>
      </c>
      <c r="F37" t="str">
        <v>867806075765992</v>
      </c>
      <c r="G37" t="str">
        <v>TBD</v>
      </c>
      <c r="H37" t="str">
        <v/>
      </c>
      <c r="I37" t="str">
        <v>28/09/2026</v>
      </c>
      <c r="J37" t="str">
        <v>05:57:09</v>
      </c>
      <c r="K37">
        <v>-12.271069</v>
      </c>
      <c r="L37">
        <v>-76.8743</v>
      </c>
      <c r="M37">
        <f>HYPERLINK("https://www.google.com/maps/search/?api=1&amp;query=-12.271069,-76.8743","Calle Los Pinos, Lurín, Lima")</f>
      </c>
      <c r="N37">
        <v>0</v>
      </c>
      <c r="O37">
        <v>80</v>
      </c>
      <c r="P37">
        <v>70844</v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BXT-918</v>
      </c>
      <c r="D38" t="str">
        <v>BXT-918</v>
      </c>
      <c r="E38" t="str">
        <v/>
      </c>
      <c r="F38" t="str">
        <v>867806075765992</v>
      </c>
      <c r="G38" t="str">
        <v>TBD</v>
      </c>
      <c r="H38" t="str">
        <v/>
      </c>
      <c r="I38" t="str">
        <v>28/09/2026</v>
      </c>
      <c r="J38" t="str">
        <v>06:07:09</v>
      </c>
      <c r="K38">
        <v>-12.271069</v>
      </c>
      <c r="L38">
        <v>-76.8743</v>
      </c>
      <c r="M38">
        <f>HYPERLINK("https://www.google.com/maps/search/?api=1&amp;query=-12.271069,-76.8743","Calle Los Pinos, Lurín, Lima")</f>
      </c>
      <c r="N38">
        <v>0</v>
      </c>
      <c r="O38">
        <v>80</v>
      </c>
      <c r="P38">
        <v>70844</v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BXT-918</v>
      </c>
      <c r="D39" t="str">
        <v>BXT-918</v>
      </c>
      <c r="E39" t="str">
        <v/>
      </c>
      <c r="F39" t="str">
        <v>867806075765992</v>
      </c>
      <c r="G39" t="str">
        <v>TBD</v>
      </c>
      <c r="H39" t="str">
        <v/>
      </c>
      <c r="I39" t="str">
        <v>28/09/2026</v>
      </c>
      <c r="J39" t="str">
        <v>06:17:09</v>
      </c>
      <c r="K39">
        <v>-12.271069</v>
      </c>
      <c r="L39">
        <v>-76.8743</v>
      </c>
      <c r="M39">
        <f>HYPERLINK("https://www.google.com/maps/search/?api=1&amp;query=-12.271069,-76.8743","Calle Los Pinos, Lurín, Lima")</f>
      </c>
      <c r="N39">
        <v>0</v>
      </c>
      <c r="O39">
        <v>80</v>
      </c>
      <c r="P39">
        <v>70844</v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BXT-918</v>
      </c>
      <c r="D40" t="str">
        <v>BXT-918</v>
      </c>
      <c r="E40" t="str">
        <v/>
      </c>
      <c r="F40" t="str">
        <v>867806075765992</v>
      </c>
      <c r="G40" t="str">
        <v>TBD</v>
      </c>
      <c r="H40" t="str">
        <v/>
      </c>
      <c r="I40" t="str">
        <v>28/09/2026</v>
      </c>
      <c r="J40" t="str">
        <v>06:27:09</v>
      </c>
      <c r="K40">
        <v>-12.271069</v>
      </c>
      <c r="L40">
        <v>-76.8743</v>
      </c>
      <c r="M40">
        <f>HYPERLINK("https://www.google.com/maps/search/?api=1&amp;query=-12.271069,-76.8743","Calle Los Pinos, Lurín, Lima")</f>
      </c>
      <c r="N40">
        <v>0</v>
      </c>
      <c r="O40">
        <v>80</v>
      </c>
      <c r="P40">
        <v>70844</v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BXT-918</v>
      </c>
      <c r="D41" t="str">
        <v>BXT-918</v>
      </c>
      <c r="E41" t="str">
        <v/>
      </c>
      <c r="F41" t="str">
        <v>867806075765992</v>
      </c>
      <c r="G41" t="str">
        <v>TBD</v>
      </c>
      <c r="H41" t="str">
        <v/>
      </c>
      <c r="I41" t="str">
        <v>28/09/2026</v>
      </c>
      <c r="J41" t="str">
        <v>06:37:09</v>
      </c>
      <c r="K41">
        <v>-12.271069</v>
      </c>
      <c r="L41">
        <v>-76.8743</v>
      </c>
      <c r="M41">
        <f>HYPERLINK("https://www.google.com/maps/search/?api=1&amp;query=-12.271069,-76.8743","Calle Los Pinos, Lurín, Lima")</f>
      </c>
      <c r="N41">
        <v>0</v>
      </c>
      <c r="O41">
        <v>80</v>
      </c>
      <c r="P41">
        <v>70844</v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BXT-918</v>
      </c>
      <c r="D42" t="str">
        <v>BXT-918</v>
      </c>
      <c r="E42" t="str">
        <v/>
      </c>
      <c r="F42" t="str">
        <v>867806075765992</v>
      </c>
      <c r="G42" t="str">
        <v>TBD</v>
      </c>
      <c r="H42" t="str">
        <v/>
      </c>
      <c r="I42" t="str">
        <v>28/09/2026</v>
      </c>
      <c r="J42" t="str">
        <v>06:47:09</v>
      </c>
      <c r="K42">
        <v>-12.271069</v>
      </c>
      <c r="L42">
        <v>-76.8743</v>
      </c>
      <c r="M42">
        <f>HYPERLINK("https://www.google.com/maps/search/?api=1&amp;query=-12.271069,-76.8743","Calle Los Pinos, Lurín, Lima")</f>
      </c>
      <c r="N42">
        <v>0</v>
      </c>
      <c r="O42">
        <v>80</v>
      </c>
      <c r="P42">
        <v>70844</v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BXT-918</v>
      </c>
      <c r="D43" t="str">
        <v>BXT-918</v>
      </c>
      <c r="E43" t="str">
        <v/>
      </c>
      <c r="F43" t="str">
        <v>867806075765992</v>
      </c>
      <c r="G43" t="str">
        <v>TBD</v>
      </c>
      <c r="H43" t="str">
        <v/>
      </c>
      <c r="I43" t="str">
        <v>28/09/2026</v>
      </c>
      <c r="J43" t="str">
        <v>06:57:09</v>
      </c>
      <c r="K43">
        <v>-12.271069</v>
      </c>
      <c r="L43">
        <v>-76.8743</v>
      </c>
      <c r="M43">
        <f>HYPERLINK("https://www.google.com/maps/search/?api=1&amp;query=-12.271069,-76.8743","Calle Los Pinos, Lurín, Lima")</f>
      </c>
      <c r="N43">
        <v>0</v>
      </c>
      <c r="O43">
        <v>80</v>
      </c>
      <c r="P43">
        <v>70844</v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BXT-918</v>
      </c>
      <c r="D44" t="str">
        <v>BXT-918</v>
      </c>
      <c r="E44" t="str">
        <v/>
      </c>
      <c r="F44" t="str">
        <v>867806075765992</v>
      </c>
      <c r="G44" t="str">
        <v>TBD</v>
      </c>
      <c r="H44" t="str">
        <v/>
      </c>
      <c r="I44" t="str">
        <v>28/09/2026</v>
      </c>
      <c r="J44" t="str">
        <v>07:07:09</v>
      </c>
      <c r="K44">
        <v>-12.271069</v>
      </c>
      <c r="L44">
        <v>-76.8743</v>
      </c>
      <c r="M44">
        <f>HYPERLINK("https://www.google.com/maps/search/?api=1&amp;query=-12.271069,-76.8743","Calle Los Pinos, Lurín, Lima")</f>
      </c>
      <c r="N44">
        <v>0</v>
      </c>
      <c r="O44">
        <v>80</v>
      </c>
      <c r="P44">
        <v>70844</v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BXT-918</v>
      </c>
      <c r="D45" t="str">
        <v>BXT-918</v>
      </c>
      <c r="E45" t="str">
        <v/>
      </c>
      <c r="F45" t="str">
        <v>867806075765992</v>
      </c>
      <c r="G45" t="str">
        <v>TBD</v>
      </c>
      <c r="H45" t="str">
        <v/>
      </c>
      <c r="I45" t="str">
        <v>28/09/2026</v>
      </c>
      <c r="J45" t="str">
        <v>07:17:09</v>
      </c>
      <c r="K45">
        <v>-12.271069</v>
      </c>
      <c r="L45">
        <v>-76.8743</v>
      </c>
      <c r="M45">
        <f>HYPERLINK("https://www.google.com/maps/search/?api=1&amp;query=-12.271069,-76.8743","Calle Los Pinos, Lurín, Lima")</f>
      </c>
      <c r="N45">
        <v>0</v>
      </c>
      <c r="O45">
        <v>80</v>
      </c>
      <c r="P45">
        <v>70844</v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BXT-918</v>
      </c>
      <c r="D46" t="str">
        <v>BXT-918</v>
      </c>
      <c r="E46" t="str">
        <v/>
      </c>
      <c r="F46" t="str">
        <v>867806075765992</v>
      </c>
      <c r="G46" t="str">
        <v>TBD</v>
      </c>
      <c r="H46" t="str">
        <v/>
      </c>
      <c r="I46" t="str">
        <v>28/09/2026</v>
      </c>
      <c r="J46" t="str">
        <v>07:18:23</v>
      </c>
      <c r="K46">
        <v>-12.271069</v>
      </c>
      <c r="L46">
        <v>-76.8743</v>
      </c>
      <c r="M46">
        <f>HYPERLINK("https://www.google.com/maps/search/?api=1&amp;query=-12.271069,-76.8743","Calle Los Pinos, Lurín, Lima")</f>
      </c>
      <c r="N46">
        <v>0</v>
      </c>
      <c r="O46">
        <v>79</v>
      </c>
      <c r="P46">
        <v>70844</v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BXT-918</v>
      </c>
      <c r="D47" t="str">
        <v>BXT-918</v>
      </c>
      <c r="E47" t="str">
        <v/>
      </c>
      <c r="F47" t="str">
        <v>867806075765992</v>
      </c>
      <c r="G47" t="str">
        <v>TBD</v>
      </c>
      <c r="H47" t="str">
        <v/>
      </c>
      <c r="I47" t="str">
        <v>28/09/2026</v>
      </c>
      <c r="J47" t="str">
        <v>07:21:23</v>
      </c>
      <c r="K47">
        <v>-12.271042</v>
      </c>
      <c r="L47">
        <v>-76.87434</v>
      </c>
      <c r="M47">
        <f>HYPERLINK("https://www.google.com/maps/search/?api=1&amp;query=-12.271042,-76.87434","Calle Los Pinos, Lurín, Lima")</f>
      </c>
      <c r="N47">
        <v>0</v>
      </c>
      <c r="O47">
        <v>79</v>
      </c>
      <c r="P47">
        <v>70844</v>
      </c>
      <c r="Q47" t="str">
        <v/>
      </c>
      <c r="R47" t="str">
        <v>Inicio de ralentí</v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BXT-918</v>
      </c>
      <c r="D48" t="str">
        <v>BXT-918</v>
      </c>
      <c r="E48" t="str">
        <v/>
      </c>
      <c r="F48" t="str">
        <v>867806075765992</v>
      </c>
      <c r="G48" t="str">
        <v>TBD</v>
      </c>
      <c r="H48" t="str">
        <v/>
      </c>
      <c r="I48" t="str">
        <v>28/09/2026</v>
      </c>
      <c r="J48" t="str">
        <v>07:27:09</v>
      </c>
      <c r="K48">
        <v>-12.271156</v>
      </c>
      <c r="L48">
        <v>-76.87423</v>
      </c>
      <c r="M48">
        <f>HYPERLINK("https://www.google.com/maps/search/?api=1&amp;query=-12.271156,-76.87423","Calle Los Pinos, Lurín, Lima")</f>
      </c>
      <c r="N48">
        <v>0</v>
      </c>
      <c r="O48">
        <v>79</v>
      </c>
      <c r="P48">
        <v>70844</v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BXT-918</v>
      </c>
      <c r="D49" t="str">
        <v>BXT-918</v>
      </c>
      <c r="E49" t="str">
        <v/>
      </c>
      <c r="F49" t="str">
        <v>867806075765992</v>
      </c>
      <c r="G49" t="str">
        <v>TBD</v>
      </c>
      <c r="H49" t="str">
        <v/>
      </c>
      <c r="I49" t="str">
        <v>28/09/2026</v>
      </c>
      <c r="J49" t="str">
        <v>07:33:00</v>
      </c>
      <c r="K49">
        <v>-12.271236</v>
      </c>
      <c r="L49">
        <v>-76.87415</v>
      </c>
      <c r="M49">
        <f>HYPERLINK("https://www.google.com/maps/search/?api=1&amp;query=-12.271236,-76.87415","Calle Los Pinos, Lurín, Lima")</f>
      </c>
      <c r="N49">
        <v>5.5</v>
      </c>
      <c r="O49">
        <v>79</v>
      </c>
      <c r="P49">
        <v>70844</v>
      </c>
      <c r="Q49" t="str">
        <v/>
      </c>
      <c r="R49" t="str">
        <v>Fin de ralentí</v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BXT-918</v>
      </c>
      <c r="D50" t="str">
        <v>BXT-918</v>
      </c>
      <c r="E50" t="str">
        <v/>
      </c>
      <c r="F50" t="str">
        <v>867806075765992</v>
      </c>
      <c r="G50" t="str">
        <v>TBD</v>
      </c>
      <c r="H50" t="str">
        <v/>
      </c>
      <c r="I50" t="str">
        <v>28/09/2026</v>
      </c>
      <c r="J50" t="str">
        <v>07:33:09</v>
      </c>
      <c r="K50">
        <v>-12.271408</v>
      </c>
      <c r="L50">
        <v>-76.87428</v>
      </c>
      <c r="M50">
        <f>HYPERLINK("https://www.google.com/maps/search/?api=1&amp;query=-12.271408,-76.87428","Calle Los Pinos, Lurín, Lima")</f>
      </c>
      <c r="N50">
        <v>10.7</v>
      </c>
      <c r="O50">
        <v>79</v>
      </c>
      <c r="P50">
        <v>70844</v>
      </c>
      <c r="Q50" t="str">
        <v/>
      </c>
      <c r="R50" t="str">
        <v>Se movio</v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BXT-918</v>
      </c>
      <c r="D51" t="str">
        <v>BXT-918</v>
      </c>
      <c r="E51" t="str">
        <v/>
      </c>
      <c r="F51" t="str">
        <v>867806075765992</v>
      </c>
      <c r="G51" t="str">
        <v>TBD</v>
      </c>
      <c r="H51" t="str">
        <v/>
      </c>
      <c r="I51" t="str">
        <v>28/09/2026</v>
      </c>
      <c r="J51" t="str">
        <v>07:36:50</v>
      </c>
      <c r="K51">
        <v>-12.271428</v>
      </c>
      <c r="L51">
        <v>-76.874565</v>
      </c>
      <c r="M51">
        <f>HYPERLINK("https://www.google.com/maps/search/?api=1&amp;query=-12.271428,-76.874565","Antigua Panamericana Sur, Lurín, Lima")</f>
      </c>
      <c r="N51">
        <v>0</v>
      </c>
      <c r="O51">
        <v>79</v>
      </c>
      <c r="P51">
        <v>70844</v>
      </c>
      <c r="Q51" t="str">
        <v/>
      </c>
      <c r="R51" t="str">
        <v>Inicio de ralentí</v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BXT-918</v>
      </c>
      <c r="D52" t="str">
        <v>BXT-918</v>
      </c>
      <c r="E52" t="str">
        <v/>
      </c>
      <c r="F52" t="str">
        <v>867806075765992</v>
      </c>
      <c r="G52" t="str">
        <v>TBD</v>
      </c>
      <c r="H52" t="str">
        <v/>
      </c>
      <c r="I52" t="str">
        <v>28/09/2026</v>
      </c>
      <c r="J52" t="str">
        <v>07:37:09</v>
      </c>
      <c r="K52">
        <v>-12.271428</v>
      </c>
      <c r="L52">
        <v>-76.874565</v>
      </c>
      <c r="M52">
        <f>HYPERLINK("https://www.google.com/maps/search/?api=1&amp;query=-12.271428,-76.874565","Antigua Panamericana Sur, Lurín, Lima")</f>
      </c>
      <c r="N52">
        <v>0</v>
      </c>
      <c r="O52">
        <v>79</v>
      </c>
      <c r="P52">
        <v>70844</v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BXT-918</v>
      </c>
      <c r="D53" t="str">
        <v>BXT-918</v>
      </c>
      <c r="E53" t="str">
        <v/>
      </c>
      <c r="F53" t="str">
        <v>867806075765992</v>
      </c>
      <c r="G53" t="str">
        <v>TBD</v>
      </c>
      <c r="H53" t="str">
        <v/>
      </c>
      <c r="I53" t="str">
        <v>28/09/2026</v>
      </c>
      <c r="J53" t="str">
        <v>07:40:43</v>
      </c>
      <c r="K53">
        <v>-12.271325</v>
      </c>
      <c r="L53">
        <v>-76.87444</v>
      </c>
      <c r="M53">
        <f>HYPERLINK("https://www.google.com/maps/search/?api=1&amp;query=-12.271325,-76.87444","Calle Los Pinos, Lurín, Lima")</f>
      </c>
      <c r="N53">
        <v>5.9</v>
      </c>
      <c r="O53">
        <v>83</v>
      </c>
      <c r="P53">
        <v>70844</v>
      </c>
      <c r="Q53" t="str">
        <v/>
      </c>
      <c r="R53" t="str">
        <v>Fin de ralentí</v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BXT-918</v>
      </c>
      <c r="D54" t="str">
        <v>BXT-918</v>
      </c>
      <c r="E54" t="str">
        <v/>
      </c>
      <c r="F54" t="str">
        <v>867806075765992</v>
      </c>
      <c r="G54" t="str">
        <v>TBD</v>
      </c>
      <c r="H54" t="str">
        <v/>
      </c>
      <c r="I54" t="str">
        <v>28/09/2026</v>
      </c>
      <c r="J54" t="str">
        <v>07:43:03</v>
      </c>
      <c r="K54">
        <v>-12.27114</v>
      </c>
      <c r="L54">
        <v>-76.87439</v>
      </c>
      <c r="M54">
        <f>HYPERLINK("https://www.google.com/maps/search/?api=1&amp;query=-12.27114,-76.87439","Calle Los Pinos, Lurín, Lima")</f>
      </c>
      <c r="N54">
        <v>0</v>
      </c>
      <c r="O54">
        <v>83</v>
      </c>
      <c r="P54">
        <v>70844</v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BXT-918</v>
      </c>
      <c r="D55" t="str">
        <v>BXT-918</v>
      </c>
      <c r="E55" t="str">
        <v/>
      </c>
      <c r="F55" t="str">
        <v>867806075765992</v>
      </c>
      <c r="G55" t="str">
        <v>TBD</v>
      </c>
      <c r="H55" t="str">
        <v/>
      </c>
      <c r="I55" t="str">
        <v>28/09/2026</v>
      </c>
      <c r="J55" t="str">
        <v>07:47:09</v>
      </c>
      <c r="K55">
        <v>-12.271051</v>
      </c>
      <c r="L55">
        <v>-76.87441</v>
      </c>
      <c r="M55">
        <f>HYPERLINK("https://www.google.com/maps/search/?api=1&amp;query=-12.271051,-76.87441","Calle Los Pinos, Lurín, Lima")</f>
      </c>
      <c r="N55">
        <v>0</v>
      </c>
      <c r="O55">
        <v>79</v>
      </c>
      <c r="P55">
        <v>70844</v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BXT-918</v>
      </c>
      <c r="D56" t="str">
        <v>BXT-918</v>
      </c>
      <c r="E56" t="str">
        <v/>
      </c>
      <c r="F56" t="str">
        <v>867806075765992</v>
      </c>
      <c r="G56" t="str">
        <v>TBD</v>
      </c>
      <c r="H56" t="str">
        <v/>
      </c>
      <c r="I56" t="str">
        <v>28/09/2026</v>
      </c>
      <c r="J56" t="str">
        <v>07:57:09</v>
      </c>
      <c r="K56">
        <v>-12.271051</v>
      </c>
      <c r="L56">
        <v>-76.87441</v>
      </c>
      <c r="M56">
        <f>HYPERLINK("https://www.google.com/maps/search/?api=1&amp;query=-12.271051,-76.87441","Calle Los Pinos, Lurín, Lima")</f>
      </c>
      <c r="N56">
        <v>0</v>
      </c>
      <c r="O56">
        <v>79</v>
      </c>
      <c r="P56">
        <v>70844</v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BXT-918</v>
      </c>
      <c r="D57" t="str">
        <v>BXT-918</v>
      </c>
      <c r="E57" t="str">
        <v/>
      </c>
      <c r="F57" t="str">
        <v>867806075765992</v>
      </c>
      <c r="G57" t="str">
        <v>TBD</v>
      </c>
      <c r="H57" t="str">
        <v/>
      </c>
      <c r="I57" t="str">
        <v>28/09/2026</v>
      </c>
      <c r="J57" t="str">
        <v>08:07:09</v>
      </c>
      <c r="K57">
        <v>-12.271051</v>
      </c>
      <c r="L57">
        <v>-76.87441</v>
      </c>
      <c r="M57">
        <f>HYPERLINK("https://www.google.com/maps/search/?api=1&amp;query=-12.271051,-76.87441","Calle Los Pinos, Lurín, Lima")</f>
      </c>
      <c r="N57">
        <v>0</v>
      </c>
      <c r="O57">
        <v>79</v>
      </c>
      <c r="P57">
        <v>70844</v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BXT-918</v>
      </c>
      <c r="D58" t="str">
        <v>BXT-918</v>
      </c>
      <c r="E58" t="str">
        <v/>
      </c>
      <c r="F58" t="str">
        <v>867806075765992</v>
      </c>
      <c r="G58" t="str">
        <v>TBD</v>
      </c>
      <c r="H58" t="str">
        <v/>
      </c>
      <c r="I58" t="str">
        <v>28/09/2026</v>
      </c>
      <c r="J58" t="str">
        <v>08:17:09</v>
      </c>
      <c r="K58">
        <v>-12.271051</v>
      </c>
      <c r="L58">
        <v>-76.87441</v>
      </c>
      <c r="M58">
        <f>HYPERLINK("https://www.google.com/maps/search/?api=1&amp;query=-12.271051,-76.87441","Calle Los Pinos, Lurín, Lima")</f>
      </c>
      <c r="N58">
        <v>0</v>
      </c>
      <c r="O58">
        <v>83</v>
      </c>
      <c r="P58">
        <v>70844</v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BXT-918</v>
      </c>
      <c r="D59" t="str">
        <v>BXT-918</v>
      </c>
      <c r="E59" t="str">
        <v/>
      </c>
      <c r="F59" t="str">
        <v>867806075765992</v>
      </c>
      <c r="G59" t="str">
        <v>TBD</v>
      </c>
      <c r="H59" t="str">
        <v/>
      </c>
      <c r="I59" t="str">
        <v>28/09/2026</v>
      </c>
      <c r="J59" t="str">
        <v>08:17:29</v>
      </c>
      <c r="K59">
        <v>-12.271051</v>
      </c>
      <c r="L59">
        <v>-76.87441</v>
      </c>
      <c r="M59">
        <f>HYPERLINK("https://www.google.com/maps/search/?api=1&amp;query=-12.271051,-76.87441","Calle Los Pinos, Lurín, Lima")</f>
      </c>
      <c r="N59">
        <v>0</v>
      </c>
      <c r="O59">
        <v>86</v>
      </c>
      <c r="P59">
        <v>70844</v>
      </c>
      <c r="Q59" t="str">
        <v/>
      </c>
      <c r="R59" t="str">
        <v>Se movio</v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BXT-918</v>
      </c>
      <c r="D60" t="str">
        <v>BXT-918</v>
      </c>
      <c r="E60" t="str">
        <v/>
      </c>
      <c r="F60" t="str">
        <v>867806075765992</v>
      </c>
      <c r="G60" t="str">
        <v>TBD</v>
      </c>
      <c r="H60" t="str">
        <v/>
      </c>
      <c r="I60" t="str">
        <v>28/09/2026</v>
      </c>
      <c r="J60" t="str">
        <v>08:24:53</v>
      </c>
      <c r="K60">
        <v>-12.271051</v>
      </c>
      <c r="L60">
        <v>-76.87441</v>
      </c>
      <c r="M60">
        <f>HYPERLINK("https://www.google.com/maps/search/?api=1&amp;query=-12.271051,-76.87441","Calle Los Pinos, Lurín, Lima")</f>
      </c>
      <c r="N60">
        <v>0</v>
      </c>
      <c r="O60">
        <v>86</v>
      </c>
      <c r="P60">
        <v>70844</v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BXT-918</v>
      </c>
      <c r="D61" t="str">
        <v>BXT-918</v>
      </c>
      <c r="E61" t="str">
        <v/>
      </c>
      <c r="F61" t="str">
        <v>867806075765992</v>
      </c>
      <c r="G61" t="str">
        <v>TBD</v>
      </c>
      <c r="H61" t="str">
        <v/>
      </c>
      <c r="I61" t="str">
        <v>28/09/2026</v>
      </c>
      <c r="J61" t="str">
        <v>08:26:41</v>
      </c>
      <c r="K61">
        <v>-12.271278</v>
      </c>
      <c r="L61">
        <v>-76.87451</v>
      </c>
      <c r="M61">
        <f>HYPERLINK("https://www.google.com/maps/search/?api=1&amp;query=-12.271278,-76.87451","Antigua Panamericana Sur, Lurín, Lima")</f>
      </c>
      <c r="N61">
        <v>0</v>
      </c>
      <c r="O61">
        <v>86</v>
      </c>
      <c r="P61">
        <v>70844</v>
      </c>
      <c r="Q61" t="str">
        <v/>
      </c>
      <c r="R61" t="str">
        <v>Se movio</v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BXT-918</v>
      </c>
      <c r="D62" t="str">
        <v>BXT-918</v>
      </c>
      <c r="E62" t="str">
        <v/>
      </c>
      <c r="F62" t="str">
        <v>867806075765992</v>
      </c>
      <c r="G62" t="str">
        <v>TBD</v>
      </c>
      <c r="H62" t="str">
        <v/>
      </c>
      <c r="I62" t="str">
        <v>28/09/2026</v>
      </c>
      <c r="J62" t="str">
        <v>08:27:09</v>
      </c>
      <c r="K62">
        <v>-12.271265</v>
      </c>
      <c r="L62">
        <v>-76.874466</v>
      </c>
      <c r="M62">
        <f>HYPERLINK("https://www.google.com/maps/search/?api=1&amp;query=-12.271265,-76.874466","Calle Los Pinos, Lurín, Lima")</f>
      </c>
      <c r="N62">
        <v>0</v>
      </c>
      <c r="O62">
        <v>86</v>
      </c>
      <c r="P62">
        <v>70844</v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BXT-918</v>
      </c>
      <c r="D63" t="str">
        <v>BXT-918</v>
      </c>
      <c r="E63" t="str">
        <v/>
      </c>
      <c r="F63" t="str">
        <v>867806075765992</v>
      </c>
      <c r="G63" t="str">
        <v>TBD</v>
      </c>
      <c r="H63" t="str">
        <v/>
      </c>
      <c r="I63" t="str">
        <v>28/09/2026</v>
      </c>
      <c r="J63" t="str">
        <v>08:27:53</v>
      </c>
      <c r="K63">
        <v>-12.271261</v>
      </c>
      <c r="L63">
        <v>-76.874466</v>
      </c>
      <c r="M63">
        <f>HYPERLINK("https://www.google.com/maps/search/?api=1&amp;query=-12.271261,-76.874466","Calle Los Pinos, Lurín, Lima")</f>
      </c>
      <c r="N63">
        <v>0</v>
      </c>
      <c r="O63">
        <v>86</v>
      </c>
      <c r="P63">
        <v>70844</v>
      </c>
      <c r="Q63" t="str">
        <v/>
      </c>
      <c r="R63" t="str">
        <v>Inicio de ralentí</v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BXT-918</v>
      </c>
      <c r="D64" t="str">
        <v>BXT-918</v>
      </c>
      <c r="E64" t="str">
        <v/>
      </c>
      <c r="F64" t="str">
        <v>867806075765992</v>
      </c>
      <c r="G64" t="str">
        <v>TBD</v>
      </c>
      <c r="H64" t="str">
        <v/>
      </c>
      <c r="I64" t="str">
        <v>28/09/2026</v>
      </c>
      <c r="J64" t="str">
        <v>08:29:53</v>
      </c>
      <c r="K64">
        <v>-12.271261</v>
      </c>
      <c r="L64">
        <v>-76.874466</v>
      </c>
      <c r="M64">
        <f>HYPERLINK("https://www.google.com/maps/search/?api=1&amp;query=-12.271261,-76.874466","Calle Los Pinos, Lurín, Lima")</f>
      </c>
      <c r="N64">
        <v>0</v>
      </c>
      <c r="O64">
        <v>86</v>
      </c>
      <c r="P64">
        <v>70844</v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BXT-918</v>
      </c>
      <c r="D65" t="str">
        <v>BXT-918</v>
      </c>
      <c r="E65" t="str">
        <v/>
      </c>
      <c r="F65" t="str">
        <v>867806075765992</v>
      </c>
      <c r="G65" t="str">
        <v>TBD</v>
      </c>
      <c r="H65" t="str">
        <v/>
      </c>
      <c r="I65" t="str">
        <v>28/09/2026</v>
      </c>
      <c r="J65" t="str">
        <v>08:29:53</v>
      </c>
      <c r="K65">
        <v>-12.271261</v>
      </c>
      <c r="L65">
        <v>-76.874466</v>
      </c>
      <c r="M65">
        <f>HYPERLINK("https://www.google.com/maps/search/?api=1&amp;query=-12.271261,-76.874466","Calle Los Pinos, Lurín, Lima")</f>
      </c>
      <c r="N65">
        <v>0</v>
      </c>
      <c r="O65">
        <v>86</v>
      </c>
      <c r="P65">
        <v>70844</v>
      </c>
      <c r="Q65" t="str">
        <v/>
      </c>
      <c r="R65" t="str">
        <v>Fin de ralentí</v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BXT-918</v>
      </c>
      <c r="D66" t="str">
        <v>BXT-918</v>
      </c>
      <c r="E66" t="str">
        <v/>
      </c>
      <c r="F66" t="str">
        <v>867806075765992</v>
      </c>
      <c r="G66" t="str">
        <v>TBD</v>
      </c>
      <c r="H66" t="str">
        <v/>
      </c>
      <c r="I66" t="str">
        <v>28/09/2026</v>
      </c>
      <c r="J66" t="str">
        <v>08:37:09</v>
      </c>
      <c r="K66">
        <v>-12.271261</v>
      </c>
      <c r="L66">
        <v>-76.874466</v>
      </c>
      <c r="M66">
        <f>HYPERLINK("https://www.google.com/maps/search/?api=1&amp;query=-12.271261,-76.874466","Calle Los Pinos, Lurín, Lima")</f>
      </c>
      <c r="N66">
        <v>0</v>
      </c>
      <c r="O66">
        <v>86</v>
      </c>
      <c r="P66">
        <v>70844</v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BXT-918</v>
      </c>
      <c r="D67" t="str">
        <v>BXT-918</v>
      </c>
      <c r="E67" t="str">
        <v/>
      </c>
      <c r="F67" t="str">
        <v>867806075765992</v>
      </c>
      <c r="G67" t="str">
        <v>TBD</v>
      </c>
      <c r="H67" t="str">
        <v/>
      </c>
      <c r="I67" t="str">
        <v>28/09/2026</v>
      </c>
      <c r="J67" t="str">
        <v>08:47:09</v>
      </c>
      <c r="K67">
        <v>-12.271196</v>
      </c>
      <c r="L67">
        <v>-76.8744</v>
      </c>
      <c r="M67">
        <f>HYPERLINK("https://www.google.com/maps/search/?api=1&amp;query=-12.271196,-76.8744","Calle Los Pinos, Lurín, Lima")</f>
      </c>
      <c r="N67">
        <v>0</v>
      </c>
      <c r="O67">
        <v>86</v>
      </c>
      <c r="P67">
        <v>70844</v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BXT-918</v>
      </c>
      <c r="D68" t="str">
        <v>BXT-918</v>
      </c>
      <c r="E68" t="str">
        <v/>
      </c>
      <c r="F68" t="str">
        <v>867806075765992</v>
      </c>
      <c r="G68" t="str">
        <v>TBD</v>
      </c>
      <c r="H68" t="str">
        <v/>
      </c>
      <c r="I68" t="str">
        <v>28/09/2026</v>
      </c>
      <c r="J68" t="str">
        <v>08:50:16</v>
      </c>
      <c r="K68">
        <v>-12.271196</v>
      </c>
      <c r="L68">
        <v>-76.8744</v>
      </c>
      <c r="M68">
        <f>HYPERLINK("https://www.google.com/maps/search/?api=1&amp;query=-12.271196,-76.8744","Calle Los Pinos, Lurín, Lima")</f>
      </c>
      <c r="N68">
        <v>0</v>
      </c>
      <c r="O68">
        <v>83</v>
      </c>
      <c r="P68">
        <v>70844</v>
      </c>
      <c r="Q68" t="str">
        <v/>
      </c>
      <c r="R68" t="str">
        <v>Se movio</v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BXT-918</v>
      </c>
      <c r="D69" t="str">
        <v>BXT-918</v>
      </c>
      <c r="E69" t="str">
        <v/>
      </c>
      <c r="F69" t="str">
        <v>867806075765992</v>
      </c>
      <c r="G69" t="str">
        <v>TBD</v>
      </c>
      <c r="H69" t="str">
        <v/>
      </c>
      <c r="I69" t="str">
        <v>28/09/2026</v>
      </c>
      <c r="J69" t="str">
        <v>08:57:09</v>
      </c>
      <c r="K69">
        <v>-12.271215</v>
      </c>
      <c r="L69">
        <v>-76.874306</v>
      </c>
      <c r="M69">
        <f>HYPERLINK("https://www.google.com/maps/search/?api=1&amp;query=-12.271215,-76.874306","Calle Los Pinos, Lurín, Lima")</f>
      </c>
      <c r="N69">
        <v>0</v>
      </c>
      <c r="O69">
        <v>83</v>
      </c>
      <c r="P69">
        <v>70844</v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BXT-918</v>
      </c>
      <c r="D70" t="str">
        <v>BXT-918</v>
      </c>
      <c r="E70" t="str">
        <v/>
      </c>
      <c r="F70" t="str">
        <v>867806075765992</v>
      </c>
      <c r="G70" t="str">
        <v>TBD</v>
      </c>
      <c r="H70" t="str">
        <v/>
      </c>
      <c r="I70" t="str">
        <v>28/09/2026</v>
      </c>
      <c r="J70" t="str">
        <v>09:06:08</v>
      </c>
      <c r="K70">
        <v>-12.271263</v>
      </c>
      <c r="L70">
        <v>-76.87413</v>
      </c>
      <c r="M70">
        <f>HYPERLINK("https://www.google.com/maps/search/?api=1&amp;query=-12.271263,-76.87413","Calle Los Pinos, Lurín, Lima")</f>
      </c>
      <c r="N70">
        <v>0</v>
      </c>
      <c r="O70">
        <v>80</v>
      </c>
      <c r="P70">
        <v>70844</v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BXT-918</v>
      </c>
      <c r="D71" t="str">
        <v>BXT-918</v>
      </c>
      <c r="E71" t="str">
        <v/>
      </c>
      <c r="F71" t="str">
        <v>867806075765992</v>
      </c>
      <c r="G71" t="str">
        <v>TBD</v>
      </c>
      <c r="H71" t="str">
        <v/>
      </c>
      <c r="I71" t="str">
        <v>28/09/2026</v>
      </c>
      <c r="J71" t="str">
        <v>09:07:09</v>
      </c>
      <c r="K71">
        <v>-12.271263</v>
      </c>
      <c r="L71">
        <v>-76.87413</v>
      </c>
      <c r="M71">
        <f>HYPERLINK("https://www.google.com/maps/search/?api=1&amp;query=-12.271263,-76.87413","Calle Los Pinos, Lurín, Lima")</f>
      </c>
      <c r="N71">
        <v>0</v>
      </c>
      <c r="O71">
        <v>80</v>
      </c>
      <c r="P71">
        <v>70844</v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BXT-918</v>
      </c>
      <c r="D72" t="str">
        <v>BXT-918</v>
      </c>
      <c r="E72" t="str">
        <v/>
      </c>
      <c r="F72" t="str">
        <v>867806075765992</v>
      </c>
      <c r="G72" t="str">
        <v>TBD</v>
      </c>
      <c r="H72" t="str">
        <v/>
      </c>
      <c r="I72" t="str">
        <v>28/09/2026</v>
      </c>
      <c r="J72" t="str">
        <v>09:08:48</v>
      </c>
      <c r="K72">
        <v>-12.271261</v>
      </c>
      <c r="L72">
        <v>-76.87424</v>
      </c>
      <c r="M72">
        <f>HYPERLINK("https://www.google.com/maps/search/?api=1&amp;query=-12.271261,-76.87424","Calle Los Pinos, Lurín, Lima")</f>
      </c>
      <c r="N72">
        <v>0</v>
      </c>
      <c r="O72">
        <v>80</v>
      </c>
      <c r="P72">
        <v>70844</v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BXT-918</v>
      </c>
      <c r="D73" t="str">
        <v>BXT-918</v>
      </c>
      <c r="E73" t="str">
        <v/>
      </c>
      <c r="F73" t="str">
        <v>867806075765992</v>
      </c>
      <c r="G73" t="str">
        <v>TBD</v>
      </c>
      <c r="H73" t="str">
        <v/>
      </c>
      <c r="I73" t="str">
        <v>28/09/2026</v>
      </c>
      <c r="J73" t="str">
        <v>09:17:09</v>
      </c>
      <c r="K73">
        <v>-12.271261</v>
      </c>
      <c r="L73">
        <v>-76.87424</v>
      </c>
      <c r="M73">
        <f>HYPERLINK("https://www.google.com/maps/search/?api=1&amp;query=-12.271261,-76.87424","Calle Los Pinos, Lurín, Lima")</f>
      </c>
      <c r="N73">
        <v>0</v>
      </c>
      <c r="O73">
        <v>80</v>
      </c>
      <c r="P73">
        <v>70844</v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BXT-918</v>
      </c>
      <c r="D74" t="str">
        <v>BXT-918</v>
      </c>
      <c r="E74" t="str">
        <v/>
      </c>
      <c r="F74" t="str">
        <v>867806075765992</v>
      </c>
      <c r="G74" t="str">
        <v>TBD</v>
      </c>
      <c r="H74" t="str">
        <v/>
      </c>
      <c r="I74" t="str">
        <v>28/09/2026</v>
      </c>
      <c r="J74" t="str">
        <v>09:27:09</v>
      </c>
      <c r="K74">
        <v>-12.271261</v>
      </c>
      <c r="L74">
        <v>-76.87424</v>
      </c>
      <c r="M74">
        <f>HYPERLINK("https://www.google.com/maps/search/?api=1&amp;query=-12.271261,-76.87424","Calle Los Pinos, Lurín, Lima")</f>
      </c>
      <c r="N74">
        <v>0</v>
      </c>
      <c r="O74">
        <v>80</v>
      </c>
      <c r="P74">
        <v>70844</v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BXT-918</v>
      </c>
      <c r="D75" t="str">
        <v>BXT-918</v>
      </c>
      <c r="E75" t="str">
        <v/>
      </c>
      <c r="F75" t="str">
        <v>867806075765992</v>
      </c>
      <c r="G75" t="str">
        <v>TBD</v>
      </c>
      <c r="H75" t="str">
        <v/>
      </c>
      <c r="I75" t="str">
        <v>28/09/2026</v>
      </c>
      <c r="J75" t="str">
        <v>09:37:04</v>
      </c>
      <c r="K75">
        <v>-12.271261</v>
      </c>
      <c r="L75">
        <v>-76.87424</v>
      </c>
      <c r="M75">
        <f>HYPERLINK("https://www.google.com/maps/search/?api=1&amp;query=-12.271261,-76.87424","Calle Los Pinos, Lurín, Lima")</f>
      </c>
      <c r="N75">
        <v>0</v>
      </c>
      <c r="O75">
        <v>80</v>
      </c>
      <c r="P75">
        <v>70844</v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BXT-918</v>
      </c>
      <c r="D76" t="str">
        <v>BXT-918</v>
      </c>
      <c r="E76" t="str">
        <v/>
      </c>
      <c r="F76" t="str">
        <v>867806075765992</v>
      </c>
      <c r="G76" t="str">
        <v>TBD</v>
      </c>
      <c r="H76" t="str">
        <v/>
      </c>
      <c r="I76" t="str">
        <v>28/09/2026</v>
      </c>
      <c r="J76" t="str">
        <v>09:47:04</v>
      </c>
      <c r="K76">
        <v>-12.271261</v>
      </c>
      <c r="L76">
        <v>-76.87424</v>
      </c>
      <c r="M76">
        <f>HYPERLINK("https://www.google.com/maps/search/?api=1&amp;query=-12.271261,-76.87424","Calle Los Pinos, Lurín, Lima")</f>
      </c>
      <c r="N76">
        <v>0</v>
      </c>
      <c r="O76">
        <v>80</v>
      </c>
      <c r="P76">
        <v>70844</v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BXT-918</v>
      </c>
      <c r="D77" t="str">
        <v>BXT-918</v>
      </c>
      <c r="E77" t="str">
        <v/>
      </c>
      <c r="F77" t="str">
        <v>867806075765992</v>
      </c>
      <c r="G77" t="str">
        <v>TBD</v>
      </c>
      <c r="H77" t="str">
        <v/>
      </c>
      <c r="I77" t="str">
        <v>28/09/2026</v>
      </c>
      <c r="J77" t="str">
        <v>09:57:04</v>
      </c>
      <c r="K77">
        <v>-12.271261</v>
      </c>
      <c r="L77">
        <v>-76.87424</v>
      </c>
      <c r="M77">
        <f>HYPERLINK("https://www.google.com/maps/search/?api=1&amp;query=-12.271261,-76.87424","Calle Los Pinos, Lurín, Lima")</f>
      </c>
      <c r="N77">
        <v>0</v>
      </c>
      <c r="O77">
        <v>80</v>
      </c>
      <c r="P77">
        <v>70844</v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BXT-918</v>
      </c>
      <c r="D78" t="str">
        <v>BXT-918</v>
      </c>
      <c r="E78" t="str">
        <v/>
      </c>
      <c r="F78" t="str">
        <v>867806075765992</v>
      </c>
      <c r="G78" t="str">
        <v>TBD</v>
      </c>
      <c r="H78" t="str">
        <v/>
      </c>
      <c r="I78" t="str">
        <v>28/09/2026</v>
      </c>
      <c r="J78" t="str">
        <v>10:07:04</v>
      </c>
      <c r="K78">
        <v>-12.271261</v>
      </c>
      <c r="L78">
        <v>-76.87424</v>
      </c>
      <c r="M78">
        <f>HYPERLINK("https://www.google.com/maps/search/?api=1&amp;query=-12.271261,-76.87424","Calle Los Pinos, Lurín, Lima")</f>
      </c>
      <c r="N78">
        <v>0</v>
      </c>
      <c r="O78">
        <v>80</v>
      </c>
      <c r="P78">
        <v>70844</v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BXT-918</v>
      </c>
      <c r="D79" t="str">
        <v>BXT-918</v>
      </c>
      <c r="E79" t="str">
        <v/>
      </c>
      <c r="F79" t="str">
        <v>867806075765992</v>
      </c>
      <c r="G79" t="str">
        <v>TBD</v>
      </c>
      <c r="H79" t="str">
        <v/>
      </c>
      <c r="I79" t="str">
        <v>28/09/2026</v>
      </c>
      <c r="J79" t="str">
        <v>10:17:04</v>
      </c>
      <c r="K79">
        <v>-12.271261</v>
      </c>
      <c r="L79">
        <v>-76.87424</v>
      </c>
      <c r="M79">
        <f>HYPERLINK("https://www.google.com/maps/search/?api=1&amp;query=-12.271261,-76.87424","Calle Los Pinos, Lurín, Lima")</f>
      </c>
      <c r="N79">
        <v>0</v>
      </c>
      <c r="O79">
        <v>80</v>
      </c>
      <c r="P79">
        <v>70844</v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BXT-918</v>
      </c>
      <c r="D80" t="str">
        <v>BXT-918</v>
      </c>
      <c r="E80" t="str">
        <v/>
      </c>
      <c r="F80" t="str">
        <v>867806075765992</v>
      </c>
      <c r="G80" t="str">
        <v>TBD</v>
      </c>
      <c r="H80" t="str">
        <v/>
      </c>
      <c r="I80" t="str">
        <v>28/09/2026</v>
      </c>
      <c r="J80" t="str">
        <v>10:20:09</v>
      </c>
      <c r="K80">
        <v>-12.271261</v>
      </c>
      <c r="L80">
        <v>-76.87424</v>
      </c>
      <c r="M80">
        <f>HYPERLINK("https://www.google.com/maps/search/?api=1&amp;query=-12.271261,-76.87424","Calle Los Pinos, Lurín, Lima")</f>
      </c>
      <c r="N80">
        <v>0</v>
      </c>
      <c r="O80">
        <v>80</v>
      </c>
      <c r="P80">
        <v>70844</v>
      </c>
      <c r="Q80" t="str">
        <v/>
      </c>
      <c r="R80" t="str">
        <v>Se movio</v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BXT-918</v>
      </c>
      <c r="D81" t="str">
        <v>BXT-918</v>
      </c>
      <c r="E81" t="str">
        <v/>
      </c>
      <c r="F81" t="str">
        <v>867806075765992</v>
      </c>
      <c r="G81" t="str">
        <v>TBD</v>
      </c>
      <c r="H81" t="str">
        <v/>
      </c>
      <c r="I81" t="str">
        <v>28/09/2026</v>
      </c>
      <c r="J81" t="str">
        <v>10:20:51</v>
      </c>
      <c r="K81">
        <v>-12.27126</v>
      </c>
      <c r="L81">
        <v>-76.874435</v>
      </c>
      <c r="M81">
        <f>HYPERLINK("https://www.google.com/maps/search/?api=1&amp;query=-12.27126,-76.874435","Calle Los Pinos, Lurín, Lima")</f>
      </c>
      <c r="N81">
        <v>0</v>
      </c>
      <c r="O81">
        <v>80</v>
      </c>
      <c r="P81">
        <v>70844</v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BXT-918</v>
      </c>
      <c r="D82" t="str">
        <v>BXT-918</v>
      </c>
      <c r="E82" t="str">
        <v/>
      </c>
      <c r="F82" t="str">
        <v>867806075765992</v>
      </c>
      <c r="G82" t="str">
        <v>TBD</v>
      </c>
      <c r="H82" t="str">
        <v/>
      </c>
      <c r="I82" t="str">
        <v>28/09/2026</v>
      </c>
      <c r="J82" t="str">
        <v>10:23:51</v>
      </c>
      <c r="K82">
        <v>-12.271378</v>
      </c>
      <c r="L82">
        <v>-76.874535</v>
      </c>
      <c r="M82">
        <f>HYPERLINK("https://www.google.com/maps/search/?api=1&amp;query=-12.271378,-76.874535","Antigua Panamericana Sur, Lurín, Lima")</f>
      </c>
      <c r="N82">
        <v>0</v>
      </c>
      <c r="O82">
        <v>80</v>
      </c>
      <c r="P82">
        <v>70844</v>
      </c>
      <c r="Q82" t="str">
        <v/>
      </c>
      <c r="R82" t="str">
        <v>Inicio de ralentí</v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BXT-918</v>
      </c>
      <c r="D83" t="str">
        <v>BXT-918</v>
      </c>
      <c r="E83" t="str">
        <v/>
      </c>
      <c r="F83" t="str">
        <v>867806075765992</v>
      </c>
      <c r="G83" t="str">
        <v>TBD</v>
      </c>
      <c r="H83" t="str">
        <v/>
      </c>
      <c r="I83" t="str">
        <v>28/09/2026</v>
      </c>
      <c r="J83" t="str">
        <v>10:25:04</v>
      </c>
      <c r="K83">
        <v>-12.271222</v>
      </c>
      <c r="L83">
        <v>-76.8748</v>
      </c>
      <c r="M83">
        <f>HYPERLINK("https://www.google.com/maps/search/?api=1&amp;query=-12.271222,-76.8748","Antigua Panamericana Sur, Lurín, Lima")</f>
      </c>
      <c r="N83">
        <v>6.2</v>
      </c>
      <c r="O83">
        <v>80</v>
      </c>
      <c r="P83">
        <v>70844</v>
      </c>
      <c r="Q83" t="str">
        <v/>
      </c>
      <c r="R83" t="str">
        <v>Fin de ralentí</v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BXT-918</v>
      </c>
      <c r="D84" t="str">
        <v>BXT-918</v>
      </c>
      <c r="E84" t="str">
        <v/>
      </c>
      <c r="F84" t="str">
        <v>867806075765992</v>
      </c>
      <c r="G84" t="str">
        <v>TBD</v>
      </c>
      <c r="H84" t="str">
        <v/>
      </c>
      <c r="I84" t="str">
        <v>28/09/2026</v>
      </c>
      <c r="J84" t="str">
        <v>10:27:04</v>
      </c>
      <c r="K84">
        <v>-12.264433</v>
      </c>
      <c r="L84">
        <v>-76.88079</v>
      </c>
      <c r="M84">
        <f>HYPERLINK("https://www.google.com/maps/search/?api=1&amp;query=-12.264433,-76.88079","Antigua Panamericana Sur, Lurín, Lima")</f>
      </c>
      <c r="N84">
        <v>31.8</v>
      </c>
      <c r="O84">
        <v>80</v>
      </c>
      <c r="P84">
        <v>70844</v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BXT-918</v>
      </c>
      <c r="D85" t="str">
        <v>BXT-918</v>
      </c>
      <c r="E85" t="str">
        <v/>
      </c>
      <c r="F85" t="str">
        <v>867806075765992</v>
      </c>
      <c r="G85" t="str">
        <v>TBD</v>
      </c>
      <c r="H85" t="str">
        <v/>
      </c>
      <c r="I85" t="str">
        <v>28/09/2026</v>
      </c>
      <c r="J85" t="str">
        <v>10:28:14</v>
      </c>
      <c r="K85">
        <v>-12.264433</v>
      </c>
      <c r="L85">
        <v>-76.88079</v>
      </c>
      <c r="M85">
        <f>HYPERLINK("https://www.google.com/maps/search/?api=1&amp;query=-12.264433,-76.88079","Antigua Panamericana Sur, Lurín, Lima")</f>
      </c>
      <c r="N85">
        <v>31.8</v>
      </c>
      <c r="O85">
        <v>80</v>
      </c>
      <c r="P85">
        <v>70844</v>
      </c>
      <c r="Q85" t="str">
        <v/>
      </c>
      <c r="R85" t="str">
        <v>Encendido o Entró en cobertura</v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BXT-918</v>
      </c>
      <c r="D86" t="str">
        <v>BXT-918</v>
      </c>
      <c r="E86" t="str">
        <v/>
      </c>
      <c r="F86" t="str">
        <v>867806075765992</v>
      </c>
      <c r="G86" t="str">
        <v>TBD</v>
      </c>
      <c r="H86" t="str">
        <v/>
      </c>
      <c r="I86" t="str">
        <v>28/09/2026</v>
      </c>
      <c r="J86" t="str">
        <v>10:37:04</v>
      </c>
      <c r="K86">
        <v>-12.293475</v>
      </c>
      <c r="L86">
        <v>-76.862236</v>
      </c>
      <c r="M86">
        <f>HYPERLINK("https://www.google.com/maps/search/?api=1&amp;query=-12.293475,-76.862236","Carretera Panamericana Sur, Lurín, Lima")</f>
      </c>
      <c r="N86">
        <v>82.4</v>
      </c>
      <c r="O86">
        <v>80</v>
      </c>
      <c r="P86">
        <v>70844</v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BXT-918</v>
      </c>
      <c r="D87" t="str">
        <v>BXT-918</v>
      </c>
      <c r="E87" t="str">
        <v/>
      </c>
      <c r="F87" t="str">
        <v>867806075765992</v>
      </c>
      <c r="G87" t="str">
        <v>TBD</v>
      </c>
      <c r="H87" t="str">
        <v/>
      </c>
      <c r="I87" t="str">
        <v>28/09/2026</v>
      </c>
      <c r="J87" t="str">
        <v>10:46:09</v>
      </c>
      <c r="K87">
        <v>-12.335565</v>
      </c>
      <c r="L87">
        <v>-76.81927</v>
      </c>
      <c r="M87">
        <f>HYPERLINK("https://www.google.com/maps/search/?api=1&amp;query=-12.335565,-76.81927","Antigua Panamericana Sur, Punta Hermosa, Lima")</f>
      </c>
      <c r="N87">
        <v>0</v>
      </c>
      <c r="O87">
        <v>76</v>
      </c>
      <c r="P87">
        <v>70844</v>
      </c>
      <c r="Q87" t="str">
        <v/>
      </c>
      <c r="R87" t="str">
        <v>Inicio de ralentí</v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BXT-918</v>
      </c>
      <c r="D88" t="str">
        <v>BXT-918</v>
      </c>
      <c r="E88" t="str">
        <v/>
      </c>
      <c r="F88" t="str">
        <v>867806075765992</v>
      </c>
      <c r="G88" t="str">
        <v>TBD</v>
      </c>
      <c r="H88" t="str">
        <v/>
      </c>
      <c r="I88" t="str">
        <v>28/09/2026</v>
      </c>
      <c r="J88" t="str">
        <v>10:47:04</v>
      </c>
      <c r="K88">
        <v>-12.335565</v>
      </c>
      <c r="L88">
        <v>-76.81927</v>
      </c>
      <c r="M88">
        <f>HYPERLINK("https://www.google.com/maps/search/?api=1&amp;query=-12.335565,-76.81927","Antigua Panamericana Sur, Punta Hermosa, Lima")</f>
      </c>
      <c r="N88">
        <v>0</v>
      </c>
      <c r="O88">
        <v>76</v>
      </c>
      <c r="P88">
        <v>70844</v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BXT-918</v>
      </c>
      <c r="D89" t="str">
        <v>BXT-918</v>
      </c>
      <c r="E89" t="str">
        <v/>
      </c>
      <c r="F89" t="str">
        <v>867806075765992</v>
      </c>
      <c r="G89" t="str">
        <v>TBD</v>
      </c>
      <c r="H89" t="str">
        <v/>
      </c>
      <c r="I89" t="str">
        <v>28/09/2026</v>
      </c>
      <c r="J89" t="str">
        <v>10:50:32</v>
      </c>
      <c r="K89">
        <v>-12.335546</v>
      </c>
      <c r="L89">
        <v>-76.819305</v>
      </c>
      <c r="M89">
        <f>HYPERLINK("https://www.google.com/maps/search/?api=1&amp;query=-12.335546,-76.819305","Antigua Panamericana Sur, Punta Hermosa, Lima")</f>
      </c>
      <c r="N89">
        <v>11.4</v>
      </c>
      <c r="O89">
        <v>76</v>
      </c>
      <c r="P89">
        <v>70844</v>
      </c>
      <c r="Q89" t="str">
        <v/>
      </c>
      <c r="R89" t="str">
        <v>Fin de ralentí</v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BXT-918</v>
      </c>
      <c r="D90" t="str">
        <v>BXT-918</v>
      </c>
      <c r="E90" t="str">
        <v/>
      </c>
      <c r="F90" t="str">
        <v>867806075765992</v>
      </c>
      <c r="G90" t="str">
        <v>TBD</v>
      </c>
      <c r="H90" t="str">
        <v/>
      </c>
      <c r="I90" t="str">
        <v>28/09/2026</v>
      </c>
      <c r="J90" t="str">
        <v>10:50:47</v>
      </c>
      <c r="K90">
        <v>-12.334967</v>
      </c>
      <c r="L90">
        <v>-76.8197</v>
      </c>
      <c r="M90">
        <f>HYPERLINK("https://www.google.com/maps/search/?api=1&amp;query=-12.334967,-76.8197","Antigua Panamericana Sur, Punta Hermosa, Lima")</f>
      </c>
      <c r="N90">
        <v>19</v>
      </c>
      <c r="O90">
        <v>76</v>
      </c>
      <c r="P90">
        <v>70844</v>
      </c>
      <c r="Q90" t="str">
        <v/>
      </c>
      <c r="R90" t="str">
        <v>Se movio</v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BXT-918</v>
      </c>
      <c r="D91" t="str">
        <v>BXT-918</v>
      </c>
      <c r="E91" t="str">
        <v/>
      </c>
      <c r="F91" t="str">
        <v>867806075765992</v>
      </c>
      <c r="G91" t="str">
        <v>TBD</v>
      </c>
      <c r="H91" t="str">
        <v/>
      </c>
      <c r="I91" t="str">
        <v>28/09/2026</v>
      </c>
      <c r="J91" t="str">
        <v>10:57:04</v>
      </c>
      <c r="K91">
        <v>-12.316562</v>
      </c>
      <c r="L91">
        <v>-76.82514</v>
      </c>
      <c r="M91">
        <f>HYPERLINK("https://www.google.com/maps/search/?api=1&amp;query=-12.316562,-76.82514","Punta Hermosa, Lima")</f>
      </c>
      <c r="N91">
        <v>17.4</v>
      </c>
      <c r="O91">
        <v>86</v>
      </c>
      <c r="P91">
        <v>70844</v>
      </c>
      <c r="Q91" t="str">
        <v/>
      </c>
      <c r="R91" t="str">
        <v>Llegó a la zona</v>
      </c>
      <c r="S91" t="str">
        <v>MASS BSF 1</v>
      </c>
      <c r="T91" t="str">
        <v xml:space="preserve"> </v>
      </c>
      <c r="U91" t="str">
        <v/>
      </c>
    </row>
    <row r="92">
      <c r="A92" t="str">
        <v>91</v>
      </c>
      <c r="B92" t="str">
        <v>MASS BSF</v>
      </c>
      <c r="C92" t="str">
        <v>BXT-918</v>
      </c>
      <c r="D92" t="str">
        <v>BXT-918</v>
      </c>
      <c r="E92" t="str">
        <v/>
      </c>
      <c r="F92" t="str">
        <v>867806075765992</v>
      </c>
      <c r="G92" t="str">
        <v>TBD</v>
      </c>
      <c r="H92" t="str">
        <v/>
      </c>
      <c r="I92" t="str">
        <v>28/09/2026</v>
      </c>
      <c r="J92" t="str">
        <v>10:57:04</v>
      </c>
      <c r="K92">
        <v>-12.316562</v>
      </c>
      <c r="L92">
        <v>-76.82514</v>
      </c>
      <c r="M92">
        <f>HYPERLINK("https://www.google.com/maps/search/?api=1&amp;query=-12.316562,-76.82514","Punta Hermosa, Lima")</f>
      </c>
      <c r="N92">
        <v>17.4</v>
      </c>
      <c r="O92">
        <v>76</v>
      </c>
      <c r="P92">
        <v>70844</v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BXT-918</v>
      </c>
      <c r="D93" t="str">
        <v>BXT-918</v>
      </c>
      <c r="E93" t="str">
        <v/>
      </c>
      <c r="F93" t="str">
        <v>867806075765992</v>
      </c>
      <c r="G93" t="str">
        <v>TBD</v>
      </c>
      <c r="H93" t="str">
        <v/>
      </c>
      <c r="I93" t="str">
        <v>28/09/2026</v>
      </c>
      <c r="J93" t="str">
        <v>11:04:38</v>
      </c>
      <c r="K93">
        <v>-12.317295</v>
      </c>
      <c r="L93">
        <v>-76.82302</v>
      </c>
      <c r="M93">
        <f>HYPERLINK("https://www.google.com/maps/search/?api=1&amp;query=-12.317295,-76.82302","Punta Hermosa, Lima")</f>
      </c>
      <c r="N93">
        <v>0</v>
      </c>
      <c r="O93">
        <v>76</v>
      </c>
      <c r="P93">
        <v>70844</v>
      </c>
      <c r="Q93" t="str">
        <v/>
      </c>
      <c r="R93" t="str">
        <v>Inicio de ralentí</v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BXT-918</v>
      </c>
      <c r="D94" t="str">
        <v>BXT-918</v>
      </c>
      <c r="E94" t="str">
        <v/>
      </c>
      <c r="F94" t="str">
        <v>867806075765992</v>
      </c>
      <c r="G94" t="str">
        <v>TBD</v>
      </c>
      <c r="H94" t="str">
        <v/>
      </c>
      <c r="I94" t="str">
        <v>28/09/2026</v>
      </c>
      <c r="J94" t="str">
        <v>11:07:04</v>
      </c>
      <c r="K94">
        <v>-12.317295</v>
      </c>
      <c r="L94">
        <v>-76.82302</v>
      </c>
      <c r="M94">
        <f>HYPERLINK("https://www.google.com/maps/search/?api=1&amp;query=-12.317295,-76.82302","Punta Hermosa, Lima")</f>
      </c>
      <c r="N94">
        <v>0</v>
      </c>
      <c r="O94">
        <v>76</v>
      </c>
      <c r="P94">
        <v>70844</v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BXT-918</v>
      </c>
      <c r="D95" t="str">
        <v>BXT-918</v>
      </c>
      <c r="E95" t="str">
        <v/>
      </c>
      <c r="F95" t="str">
        <v>867806075765992</v>
      </c>
      <c r="G95" t="str">
        <v>TBD</v>
      </c>
      <c r="H95" t="str">
        <v/>
      </c>
      <c r="I95" t="str">
        <v>28/09/2026</v>
      </c>
      <c r="J95" t="str">
        <v>11:08:16</v>
      </c>
      <c r="K95">
        <v>-12.317295</v>
      </c>
      <c r="L95">
        <v>-76.82302</v>
      </c>
      <c r="M95">
        <f>HYPERLINK("https://www.google.com/maps/search/?api=1&amp;query=-12.317295,-76.82302","Punta Hermosa, Lima")</f>
      </c>
      <c r="N95">
        <v>0</v>
      </c>
      <c r="O95">
        <v>76</v>
      </c>
      <c r="P95">
        <v>70844</v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BXT-918</v>
      </c>
      <c r="D96" t="str">
        <v>BXT-918</v>
      </c>
      <c r="E96" t="str">
        <v/>
      </c>
      <c r="F96" t="str">
        <v>867806075765992</v>
      </c>
      <c r="G96" t="str">
        <v>TBD</v>
      </c>
      <c r="H96" t="str">
        <v/>
      </c>
      <c r="I96" t="str">
        <v>28/09/2026</v>
      </c>
      <c r="J96" t="str">
        <v>11:08:16</v>
      </c>
      <c r="K96">
        <v>-12.317295</v>
      </c>
      <c r="L96">
        <v>-76.82302</v>
      </c>
      <c r="M96">
        <f>HYPERLINK("https://www.google.com/maps/search/?api=1&amp;query=-12.317295,-76.82302","Punta Hermosa, Lima")</f>
      </c>
      <c r="N96">
        <v>0</v>
      </c>
      <c r="O96">
        <v>76</v>
      </c>
      <c r="P96">
        <v>70844</v>
      </c>
      <c r="Q96" t="str">
        <v/>
      </c>
      <c r="R96" t="str">
        <v>Fin de ralentí</v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BXT-918</v>
      </c>
      <c r="D97" t="str">
        <v>BXT-918</v>
      </c>
      <c r="E97" t="str">
        <v/>
      </c>
      <c r="F97" t="str">
        <v>867806075765992</v>
      </c>
      <c r="G97" t="str">
        <v>TBD</v>
      </c>
      <c r="H97" t="str">
        <v/>
      </c>
      <c r="I97" t="str">
        <v>28/09/2026</v>
      </c>
      <c r="J97" t="str">
        <v>11:17:04</v>
      </c>
      <c r="K97">
        <v>-12.317295</v>
      </c>
      <c r="L97">
        <v>-76.82302</v>
      </c>
      <c r="M97">
        <f>HYPERLINK("https://www.google.com/maps/search/?api=1&amp;query=-12.317295,-76.82302","Punta Hermosa, Lima")</f>
      </c>
      <c r="N97">
        <v>0</v>
      </c>
      <c r="O97">
        <v>76</v>
      </c>
      <c r="P97">
        <v>70844</v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BXT-918</v>
      </c>
      <c r="D98" t="str">
        <v>BXT-918</v>
      </c>
      <c r="E98" t="str">
        <v/>
      </c>
      <c r="F98" t="str">
        <v>867806075765992</v>
      </c>
      <c r="G98" t="str">
        <v>TBD</v>
      </c>
      <c r="H98" t="str">
        <v/>
      </c>
      <c r="I98" t="str">
        <v>28/09/2026</v>
      </c>
      <c r="J98" t="str">
        <v>11:18:15</v>
      </c>
      <c r="K98">
        <v>-12.317295</v>
      </c>
      <c r="L98">
        <v>-76.82302</v>
      </c>
      <c r="M98">
        <f>HYPERLINK("https://www.google.com/maps/search/?api=1&amp;query=-12.317295,-76.82302","Punta Hermosa, Lima")</f>
      </c>
      <c r="N98">
        <v>0</v>
      </c>
      <c r="O98">
        <v>76</v>
      </c>
      <c r="P98">
        <v>70844</v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BXT-918</v>
      </c>
      <c r="D99" t="str">
        <v>BXT-918</v>
      </c>
      <c r="E99" t="str">
        <v/>
      </c>
      <c r="F99" t="str">
        <v>867806075765992</v>
      </c>
      <c r="G99" t="str">
        <v>TBD</v>
      </c>
      <c r="H99" t="str">
        <v/>
      </c>
      <c r="I99" t="str">
        <v>28/09/2026</v>
      </c>
      <c r="J99" t="str">
        <v>11:18:42</v>
      </c>
      <c r="K99">
        <v>-12.31734</v>
      </c>
      <c r="L99">
        <v>-76.82289</v>
      </c>
      <c r="M99">
        <f>HYPERLINK("https://www.google.com/maps/search/?api=1&amp;query=-12.31734,-76.82289","Punta Hermosa, Lima")</f>
      </c>
      <c r="N99">
        <v>1.4</v>
      </c>
      <c r="O99">
        <v>76</v>
      </c>
      <c r="P99">
        <v>70844</v>
      </c>
      <c r="Q99" t="str">
        <v/>
      </c>
      <c r="R99" t="str">
        <v>Se movio</v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BXT-918</v>
      </c>
      <c r="D100" t="str">
        <v>BXT-918</v>
      </c>
      <c r="E100" t="str">
        <v/>
      </c>
      <c r="F100" t="str">
        <v>867806075765992</v>
      </c>
      <c r="G100" t="str">
        <v>TBD</v>
      </c>
      <c r="H100" t="str">
        <v/>
      </c>
      <c r="I100" t="str">
        <v>28/09/2026</v>
      </c>
      <c r="J100" t="str">
        <v>11:21:22</v>
      </c>
      <c r="K100">
        <v>-12.317345</v>
      </c>
      <c r="L100">
        <v>-76.822914</v>
      </c>
      <c r="M100">
        <f>HYPERLINK("https://www.google.com/maps/search/?api=1&amp;query=-12.317345,-76.822914","Punta Hermosa, Lima")</f>
      </c>
      <c r="N100">
        <v>0</v>
      </c>
      <c r="O100">
        <v>76</v>
      </c>
      <c r="P100">
        <v>70844</v>
      </c>
      <c r="Q100" t="str">
        <v/>
      </c>
      <c r="R100" t="str">
        <v>Inicio de ralentí</v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BXT-918</v>
      </c>
      <c r="D101" t="str">
        <v>BXT-918</v>
      </c>
      <c r="E101" t="str">
        <v/>
      </c>
      <c r="F101" t="str">
        <v>867806075765992</v>
      </c>
      <c r="G101" t="str">
        <v>TBD</v>
      </c>
      <c r="H101" t="str">
        <v/>
      </c>
      <c r="I101" t="str">
        <v>28/09/2026</v>
      </c>
      <c r="J101" t="str">
        <v>11:26:28</v>
      </c>
      <c r="K101">
        <v>-12.317325</v>
      </c>
      <c r="L101">
        <v>-76.82288</v>
      </c>
      <c r="M101">
        <f>HYPERLINK("https://www.google.com/maps/search/?api=1&amp;query=-12.317325,-76.82288","Punta Hermosa, Lima")</f>
      </c>
      <c r="N101">
        <v>6.8</v>
      </c>
      <c r="O101">
        <v>76</v>
      </c>
      <c r="P101">
        <v>70844</v>
      </c>
      <c r="Q101" t="str">
        <v/>
      </c>
      <c r="R101" t="str">
        <v>Fin de ralentí</v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BXT-918</v>
      </c>
      <c r="D102" t="str">
        <v>BXT-918</v>
      </c>
      <c r="E102" t="str">
        <v/>
      </c>
      <c r="F102" t="str">
        <v>867806075765992</v>
      </c>
      <c r="G102" t="str">
        <v>TBD</v>
      </c>
      <c r="H102" t="str">
        <v/>
      </c>
      <c r="I102" t="str">
        <v>28/09/2026</v>
      </c>
      <c r="J102" t="str">
        <v>11:27:04</v>
      </c>
      <c r="K102">
        <v>-12.318156</v>
      </c>
      <c r="L102">
        <v>-76.82316</v>
      </c>
      <c r="M102">
        <f>HYPERLINK("https://www.google.com/maps/search/?api=1&amp;query=-12.318156,-76.82316","Punta Hermosa, Lima")</f>
      </c>
      <c r="N102">
        <v>12.9</v>
      </c>
      <c r="O102">
        <v>76</v>
      </c>
      <c r="P102">
        <v>70844</v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BXT-918</v>
      </c>
      <c r="D103" t="str">
        <v>BXT-918</v>
      </c>
      <c r="E103" t="str">
        <v/>
      </c>
      <c r="F103" t="str">
        <v>867806075765992</v>
      </c>
      <c r="G103" t="str">
        <v>TBD</v>
      </c>
      <c r="H103" t="str">
        <v/>
      </c>
      <c r="I103" t="str">
        <v>28/09/2026</v>
      </c>
      <c r="J103" t="str">
        <v>11:27:27</v>
      </c>
      <c r="K103">
        <v>-12.318472</v>
      </c>
      <c r="L103">
        <v>-76.82379</v>
      </c>
      <c r="M103">
        <f>HYPERLINK("https://www.google.com/maps/search/?api=1&amp;query=-12.318472,-76.82379","Punta Hermosa, Lima")</f>
      </c>
      <c r="N103">
        <v>8.1</v>
      </c>
      <c r="O103">
        <v>76</v>
      </c>
      <c r="P103">
        <v>70844</v>
      </c>
      <c r="Q103" t="str">
        <v/>
      </c>
      <c r="R103" t="str">
        <v>Se movio</v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BXT-918</v>
      </c>
      <c r="D104" t="str">
        <v>BXT-918</v>
      </c>
      <c r="E104" t="str">
        <v/>
      </c>
      <c r="F104" t="str">
        <v>867806075765992</v>
      </c>
      <c r="G104" t="str">
        <v>TBD</v>
      </c>
      <c r="H104" t="str">
        <v/>
      </c>
      <c r="I104" t="str">
        <v>28/09/2026</v>
      </c>
      <c r="J104" t="str">
        <v>11:30:05</v>
      </c>
      <c r="K104">
        <v>-12.317823</v>
      </c>
      <c r="L104">
        <v>-76.82419</v>
      </c>
      <c r="M104">
        <f>HYPERLINK("https://www.google.com/maps/search/?api=1&amp;query=-12.317823,-76.82419","Punta Hermosa, Lima")</f>
      </c>
      <c r="N104">
        <v>0</v>
      </c>
      <c r="O104">
        <v>76</v>
      </c>
      <c r="P104">
        <v>70844</v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BXT-918</v>
      </c>
      <c r="D105" t="str">
        <v>BXT-918</v>
      </c>
      <c r="E105" t="str">
        <v/>
      </c>
      <c r="F105" t="str">
        <v>867806075765992</v>
      </c>
      <c r="G105" t="str">
        <v>TBD</v>
      </c>
      <c r="H105" t="str">
        <v/>
      </c>
      <c r="I105" t="str">
        <v>28/09/2026</v>
      </c>
      <c r="J105" t="str">
        <v>11:37:04</v>
      </c>
      <c r="K105">
        <v>-12.317823</v>
      </c>
      <c r="L105">
        <v>-76.82419</v>
      </c>
      <c r="M105">
        <f>HYPERLINK("https://www.google.com/maps/search/?api=1&amp;query=-12.317823,-76.82419","Punta Hermosa, Lima")</f>
      </c>
      <c r="N105">
        <v>0</v>
      </c>
      <c r="O105">
        <v>76</v>
      </c>
      <c r="P105">
        <v>70844</v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BXT-918</v>
      </c>
      <c r="D106" t="str">
        <v>BXT-918</v>
      </c>
      <c r="E106" t="str">
        <v/>
      </c>
      <c r="F106" t="str">
        <v>867806075765992</v>
      </c>
      <c r="G106" t="str">
        <v>TBD</v>
      </c>
      <c r="H106" t="str">
        <v/>
      </c>
      <c r="I106" t="str">
        <v>28/09/2026</v>
      </c>
      <c r="J106" t="str">
        <v>11:47:04</v>
      </c>
      <c r="K106">
        <v>-12.317823</v>
      </c>
      <c r="L106">
        <v>-76.82419</v>
      </c>
      <c r="M106">
        <f>HYPERLINK("https://www.google.com/maps/search/?api=1&amp;query=-12.317823,-76.82419","Punta Hermosa, Lima")</f>
      </c>
      <c r="N106">
        <v>0</v>
      </c>
      <c r="O106">
        <v>76</v>
      </c>
      <c r="P106">
        <v>70844</v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BXT-918</v>
      </c>
      <c r="D107" t="str">
        <v>BXT-918</v>
      </c>
      <c r="E107" t="str">
        <v/>
      </c>
      <c r="F107" t="str">
        <v>867806075765992</v>
      </c>
      <c r="G107" t="str">
        <v>TBD</v>
      </c>
      <c r="H107" t="str">
        <v/>
      </c>
      <c r="I107" t="str">
        <v>28/09/2026</v>
      </c>
      <c r="J107" t="str">
        <v>11:57:04</v>
      </c>
      <c r="K107">
        <v>-12.317823</v>
      </c>
      <c r="L107">
        <v>-76.82419</v>
      </c>
      <c r="M107">
        <f>HYPERLINK("https://www.google.com/maps/search/?api=1&amp;query=-12.317823,-76.82419","Punta Hermosa, Lima")</f>
      </c>
      <c r="N107">
        <v>0</v>
      </c>
      <c r="O107">
        <v>82</v>
      </c>
      <c r="P107">
        <v>70844</v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BXT-918</v>
      </c>
      <c r="D108" t="str">
        <v>BXT-918</v>
      </c>
      <c r="E108" t="str">
        <v/>
      </c>
      <c r="F108" t="str">
        <v>867806075765992</v>
      </c>
      <c r="G108" t="str">
        <v>TBD</v>
      </c>
      <c r="H108" t="str">
        <v/>
      </c>
      <c r="I108" t="str">
        <v>28/09/2026</v>
      </c>
      <c r="J108" t="str">
        <v>12:07:04</v>
      </c>
      <c r="K108">
        <v>-12.317823</v>
      </c>
      <c r="L108">
        <v>-76.82419</v>
      </c>
      <c r="M108">
        <f>HYPERLINK("https://www.google.com/maps/search/?api=1&amp;query=-12.317823,-76.82419","Punta Hermosa, Lima")</f>
      </c>
      <c r="N108">
        <v>0</v>
      </c>
      <c r="O108">
        <v>82</v>
      </c>
      <c r="P108">
        <v>70844</v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BXT-918</v>
      </c>
      <c r="D109" t="str">
        <v>BXT-918</v>
      </c>
      <c r="E109" t="str">
        <v/>
      </c>
      <c r="F109" t="str">
        <v>867806075765992</v>
      </c>
      <c r="G109" t="str">
        <v>TBD</v>
      </c>
      <c r="H109" t="str">
        <v/>
      </c>
      <c r="I109" t="str">
        <v>28/09/2026</v>
      </c>
      <c r="J109" t="str">
        <v>12:08:12</v>
      </c>
      <c r="K109">
        <v>-12.317823</v>
      </c>
      <c r="L109">
        <v>-76.82419</v>
      </c>
      <c r="M109">
        <f>HYPERLINK("https://www.google.com/maps/search/?api=1&amp;query=-12.317823,-76.82419","Punta Hermosa, Lima")</f>
      </c>
      <c r="N109">
        <v>0</v>
      </c>
      <c r="O109">
        <v>78</v>
      </c>
      <c r="P109">
        <v>70844</v>
      </c>
      <c r="Q109" t="str">
        <v/>
      </c>
      <c r="R109" t="str">
        <v>Encendido o Entró en cobertura</v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BXT-918</v>
      </c>
      <c r="D110" t="str">
        <v>BXT-918</v>
      </c>
      <c r="E110" t="str">
        <v/>
      </c>
      <c r="F110" t="str">
        <v>867806075765992</v>
      </c>
      <c r="G110" t="str">
        <v>TBD</v>
      </c>
      <c r="H110" t="str">
        <v/>
      </c>
      <c r="I110" t="str">
        <v>28/09/2026</v>
      </c>
      <c r="J110" t="str">
        <v>12:17:04</v>
      </c>
      <c r="K110">
        <v>-12.317823</v>
      </c>
      <c r="L110">
        <v>-76.82419</v>
      </c>
      <c r="M110">
        <f>HYPERLINK("https://www.google.com/maps/search/?api=1&amp;query=-12.317823,-76.82419","Punta Hermosa, Lima")</f>
      </c>
      <c r="N110">
        <v>0</v>
      </c>
      <c r="O110">
        <v>78</v>
      </c>
      <c r="P110">
        <v>70844</v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BXT-918</v>
      </c>
      <c r="D111" t="str">
        <v>BXT-918</v>
      </c>
      <c r="E111" t="str">
        <v/>
      </c>
      <c r="F111" t="str">
        <v>867806075765992</v>
      </c>
      <c r="G111" t="str">
        <v>TBD</v>
      </c>
      <c r="H111" t="str">
        <v/>
      </c>
      <c r="I111" t="str">
        <v>28/09/2026</v>
      </c>
      <c r="J111" t="str">
        <v>12:22:39</v>
      </c>
      <c r="K111">
        <v>-12.317823</v>
      </c>
      <c r="L111">
        <v>-76.82419</v>
      </c>
      <c r="M111">
        <f>HYPERLINK("https://www.google.com/maps/search/?api=1&amp;query=-12.317823,-76.82419","Punta Hermosa, Lima")</f>
      </c>
      <c r="N111">
        <v>0</v>
      </c>
      <c r="O111">
        <v>76</v>
      </c>
      <c r="P111">
        <v>70844</v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BXT-918</v>
      </c>
      <c r="D112" t="str">
        <v>BXT-918</v>
      </c>
      <c r="E112" t="str">
        <v/>
      </c>
      <c r="F112" t="str">
        <v>867806075765992</v>
      </c>
      <c r="G112" t="str">
        <v>TBD</v>
      </c>
      <c r="H112" t="str">
        <v/>
      </c>
      <c r="I112" t="str">
        <v>28/09/2026</v>
      </c>
      <c r="J112" t="str">
        <v>12:23:26</v>
      </c>
      <c r="K112">
        <v>-12.317859</v>
      </c>
      <c r="L112">
        <v>-76.82443</v>
      </c>
      <c r="M112">
        <f>HYPERLINK("https://www.google.com/maps/search/?api=1&amp;query=-12.317859,-76.82443","Punta Hermosa, Lima")</f>
      </c>
      <c r="N112">
        <v>0</v>
      </c>
      <c r="O112">
        <v>76</v>
      </c>
      <c r="P112">
        <v>70844</v>
      </c>
      <c r="Q112" t="str">
        <v/>
      </c>
      <c r="R112" t="str">
        <v>Se movio</v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BXT-918</v>
      </c>
      <c r="D113" t="str">
        <v>BXT-918</v>
      </c>
      <c r="E113" t="str">
        <v/>
      </c>
      <c r="F113" t="str">
        <v>867806075765992</v>
      </c>
      <c r="G113" t="str">
        <v>TBD</v>
      </c>
      <c r="H113" t="str">
        <v/>
      </c>
      <c r="I113" t="str">
        <v>28/09/2026</v>
      </c>
      <c r="J113" t="str">
        <v>12:26:24</v>
      </c>
      <c r="K113">
        <v>-12.31777</v>
      </c>
      <c r="L113">
        <v>-76.82432</v>
      </c>
      <c r="M113">
        <f>HYPERLINK("https://www.google.com/maps/search/?api=1&amp;query=-12.31777,-76.82432","Punta Hermosa, Lima")</f>
      </c>
      <c r="N113">
        <v>0</v>
      </c>
      <c r="O113">
        <v>76</v>
      </c>
      <c r="P113">
        <v>70844</v>
      </c>
      <c r="Q113" t="str">
        <v/>
      </c>
      <c r="R113" t="str">
        <v>Inicio de ralentí</v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BXT-918</v>
      </c>
      <c r="D114" t="str">
        <v>BXT-918</v>
      </c>
      <c r="E114" t="str">
        <v/>
      </c>
      <c r="F114" t="str">
        <v>867806075765992</v>
      </c>
      <c r="G114" t="str">
        <v>TBD</v>
      </c>
      <c r="H114" t="str">
        <v/>
      </c>
      <c r="I114" t="str">
        <v>28/09/2026</v>
      </c>
      <c r="J114" t="str">
        <v>12:26:44</v>
      </c>
      <c r="K114">
        <v>-12.31777</v>
      </c>
      <c r="L114">
        <v>-76.82432</v>
      </c>
      <c r="M114">
        <f>HYPERLINK("https://www.google.com/maps/search/?api=1&amp;query=-12.31777,-76.82432","Punta Hermosa, Lima")</f>
      </c>
      <c r="N114">
        <v>0</v>
      </c>
      <c r="O114">
        <v>76</v>
      </c>
      <c r="P114">
        <v>70844</v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BXT-918</v>
      </c>
      <c r="D115" t="str">
        <v>BXT-918</v>
      </c>
      <c r="E115" t="str">
        <v/>
      </c>
      <c r="F115" t="str">
        <v>867806075765992</v>
      </c>
      <c r="G115" t="str">
        <v>TBD</v>
      </c>
      <c r="H115" t="str">
        <v/>
      </c>
      <c r="I115" t="str">
        <v>28/09/2026</v>
      </c>
      <c r="J115" t="str">
        <v>12:26:44</v>
      </c>
      <c r="K115">
        <v>-12.31777</v>
      </c>
      <c r="L115">
        <v>-76.82432</v>
      </c>
      <c r="M115">
        <f>HYPERLINK("https://www.google.com/maps/search/?api=1&amp;query=-12.31777,-76.82432","Punta Hermosa, Lima")</f>
      </c>
      <c r="N115">
        <v>0</v>
      </c>
      <c r="O115">
        <v>76</v>
      </c>
      <c r="P115">
        <v>70844</v>
      </c>
      <c r="Q115" t="str">
        <v/>
      </c>
      <c r="R115" t="str">
        <v>Fin de ralentí</v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BXT-918</v>
      </c>
      <c r="D116" t="str">
        <v>BXT-918</v>
      </c>
      <c r="E116" t="str">
        <v/>
      </c>
      <c r="F116" t="str">
        <v>867806075765992</v>
      </c>
      <c r="G116" t="str">
        <v>TBD</v>
      </c>
      <c r="H116" t="str">
        <v/>
      </c>
      <c r="I116" t="str">
        <v>28/09/2026</v>
      </c>
      <c r="J116" t="str">
        <v>12:27:04</v>
      </c>
      <c r="K116">
        <v>-12.31777</v>
      </c>
      <c r="L116">
        <v>-76.82432</v>
      </c>
      <c r="M116">
        <f>HYPERLINK("https://www.google.com/maps/search/?api=1&amp;query=-12.31777,-76.82432","Punta Hermosa, Lima")</f>
      </c>
      <c r="N116">
        <v>0</v>
      </c>
      <c r="O116">
        <v>76</v>
      </c>
      <c r="P116">
        <v>70844</v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BXT-918</v>
      </c>
      <c r="D117" t="str">
        <v>BXT-918</v>
      </c>
      <c r="E117" t="str">
        <v/>
      </c>
      <c r="F117" t="str">
        <v>867806075765992</v>
      </c>
      <c r="G117" t="str">
        <v>TBD</v>
      </c>
      <c r="H117" t="str">
        <v/>
      </c>
      <c r="I117" t="str">
        <v>28/09/2026</v>
      </c>
      <c r="J117" t="str">
        <v>12:37:04</v>
      </c>
      <c r="K117">
        <v>-12.31777</v>
      </c>
      <c r="L117">
        <v>-76.82432</v>
      </c>
      <c r="M117">
        <f>HYPERLINK("https://www.google.com/maps/search/?api=1&amp;query=-12.31777,-76.82432","Punta Hermosa, Lima")</f>
      </c>
      <c r="N117">
        <v>0</v>
      </c>
      <c r="O117">
        <v>78</v>
      </c>
      <c r="P117">
        <v>70844</v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BXT-918</v>
      </c>
      <c r="D118" t="str">
        <v>BXT-918</v>
      </c>
      <c r="E118" t="str">
        <v/>
      </c>
      <c r="F118" t="str">
        <v>867806075765992</v>
      </c>
      <c r="G118" t="str">
        <v>TBD</v>
      </c>
      <c r="H118" t="str">
        <v/>
      </c>
      <c r="I118" t="str">
        <v>28/09/2026</v>
      </c>
      <c r="J118" t="str">
        <v>12:47:04</v>
      </c>
      <c r="K118">
        <v>-12.31777</v>
      </c>
      <c r="L118">
        <v>-76.82432</v>
      </c>
      <c r="M118">
        <f>HYPERLINK("https://www.google.com/maps/search/?api=1&amp;query=-12.31777,-76.82432","Punta Hermosa, Lima")</f>
      </c>
      <c r="N118">
        <v>0</v>
      </c>
      <c r="O118">
        <v>78</v>
      </c>
      <c r="P118">
        <v>70844</v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BXT-918</v>
      </c>
      <c r="D119" t="str">
        <v>BXT-918</v>
      </c>
      <c r="E119" t="str">
        <v/>
      </c>
      <c r="F119" t="str">
        <v>867806075765992</v>
      </c>
      <c r="G119" t="str">
        <v>TBD</v>
      </c>
      <c r="H119" t="str">
        <v/>
      </c>
      <c r="I119" t="str">
        <v>28/09/2026</v>
      </c>
      <c r="J119" t="str">
        <v>12:54:05</v>
      </c>
      <c r="K119">
        <v>-12.31777</v>
      </c>
      <c r="L119">
        <v>-76.82432</v>
      </c>
      <c r="M119">
        <f>HYPERLINK("https://www.google.com/maps/search/?api=1&amp;query=-12.31777,-76.82432","Punta Hermosa, Lima")</f>
      </c>
      <c r="N119">
        <v>0</v>
      </c>
      <c r="O119">
        <v>78</v>
      </c>
      <c r="P119">
        <v>70844</v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BXT-918</v>
      </c>
      <c r="D120" t="str">
        <v>BXT-918</v>
      </c>
      <c r="E120" t="str">
        <v/>
      </c>
      <c r="F120" t="str">
        <v>867806075765992</v>
      </c>
      <c r="G120" t="str">
        <v>TBD</v>
      </c>
      <c r="H120" t="str">
        <v/>
      </c>
      <c r="I120" t="str">
        <v>28/09/2026</v>
      </c>
      <c r="J120" t="str">
        <v>12:55:43</v>
      </c>
      <c r="K120">
        <v>-12.317413</v>
      </c>
      <c r="L120">
        <v>-76.82462</v>
      </c>
      <c r="M120">
        <f>HYPERLINK("https://www.google.com/maps/search/?api=1&amp;query=-12.317413,-76.82462","Punta Hermosa, Lima")</f>
      </c>
      <c r="N120">
        <v>10.5</v>
      </c>
      <c r="O120">
        <v>78</v>
      </c>
      <c r="P120">
        <v>70844</v>
      </c>
      <c r="Q120" t="str">
        <v/>
      </c>
      <c r="R120" t="str">
        <v>Se movio</v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BXT-918</v>
      </c>
      <c r="D121" t="str">
        <v>BXT-918</v>
      </c>
      <c r="E121" t="str">
        <v/>
      </c>
      <c r="F121" t="str">
        <v>867806075765992</v>
      </c>
      <c r="G121" t="str">
        <v>TBD</v>
      </c>
      <c r="H121" t="str">
        <v/>
      </c>
      <c r="I121" t="str">
        <v>28/09/2026</v>
      </c>
      <c r="J121" t="str">
        <v>12:55:56</v>
      </c>
      <c r="K121">
        <v>-12.317072</v>
      </c>
      <c r="L121">
        <v>-76.82481</v>
      </c>
      <c r="M121">
        <f>HYPERLINK("https://www.google.com/maps/search/?api=1&amp;query=-12.317072,-76.82481","Punta Hermosa, Lima")</f>
      </c>
      <c r="N121">
        <v>12.7</v>
      </c>
      <c r="O121">
        <v>78</v>
      </c>
      <c r="P121">
        <v>70844</v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BXT-918</v>
      </c>
      <c r="D122" t="str">
        <v>BXT-918</v>
      </c>
      <c r="E122" t="str">
        <v/>
      </c>
      <c r="F122" t="str">
        <v>867806075765992</v>
      </c>
      <c r="G122" t="str">
        <v>TBD</v>
      </c>
      <c r="H122" t="str">
        <v/>
      </c>
      <c r="I122" t="str">
        <v>28/09/2026</v>
      </c>
      <c r="J122" t="str">
        <v>12:56:04</v>
      </c>
      <c r="K122">
        <v>-12.316852</v>
      </c>
      <c r="L122">
        <v>-76.82493</v>
      </c>
      <c r="M122">
        <f>HYPERLINK("https://www.google.com/maps/search/?api=1&amp;query=-12.316852,-76.82493","Punta Hermosa, Lima")</f>
      </c>
      <c r="N122">
        <v>12.4</v>
      </c>
      <c r="O122">
        <v>78</v>
      </c>
      <c r="P122">
        <v>70844</v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BXT-918</v>
      </c>
      <c r="D123" t="str">
        <v>BXT-918</v>
      </c>
      <c r="E123" t="str">
        <v/>
      </c>
      <c r="F123" t="str">
        <v>867806075765992</v>
      </c>
      <c r="G123" t="str">
        <v>TBD</v>
      </c>
      <c r="H123" t="str">
        <v/>
      </c>
      <c r="I123" t="str">
        <v>28/09/2026</v>
      </c>
      <c r="J123" t="str">
        <v>12:57:04</v>
      </c>
      <c r="K123">
        <v>-12.315317</v>
      </c>
      <c r="L123">
        <v>-76.82587</v>
      </c>
      <c r="M123">
        <f>HYPERLINK("https://www.google.com/maps/search/?api=1&amp;query=-12.315317,-76.82587","Punta Hermosa, Lima")</f>
      </c>
      <c r="N123">
        <v>8.8</v>
      </c>
      <c r="O123">
        <v>78</v>
      </c>
      <c r="P123">
        <v>70844</v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BXT-918</v>
      </c>
      <c r="D124" t="str">
        <v>BXT-918</v>
      </c>
      <c r="E124" t="str">
        <v/>
      </c>
      <c r="F124" t="str">
        <v>867806075765992</v>
      </c>
      <c r="G124" t="str">
        <v>TBD</v>
      </c>
      <c r="H124" t="str">
        <v/>
      </c>
      <c r="I124" t="str">
        <v>28/09/2026</v>
      </c>
      <c r="J124" t="str">
        <v>13:07:04</v>
      </c>
      <c r="K124">
        <v>-12.284443</v>
      </c>
      <c r="L124">
        <v>-76.87637</v>
      </c>
      <c r="M124">
        <f>HYPERLINK("https://www.google.com/maps/search/?api=1&amp;query=-12.284443,-76.87637","Carretera Panamericana Sur, Lurín, Lima")</f>
      </c>
      <c r="N124">
        <v>70.9</v>
      </c>
      <c r="O124">
        <v>80</v>
      </c>
      <c r="P124">
        <v>70844</v>
      </c>
      <c r="Q124" t="str">
        <v/>
      </c>
      <c r="R124" t="str">
        <v>Salió de zona</v>
      </c>
      <c r="S124" t="str">
        <v>MASS BSF 1</v>
      </c>
      <c r="T124" t="str">
        <v xml:space="preserve"> </v>
      </c>
      <c r="U124" t="str">
        <v/>
      </c>
    </row>
    <row r="125">
      <c r="A125" t="str">
        <v>124</v>
      </c>
      <c r="B125" t="str">
        <v>MASS BSF</v>
      </c>
      <c r="C125" t="str">
        <v>BXT-918</v>
      </c>
      <c r="D125" t="str">
        <v>BXT-918</v>
      </c>
      <c r="E125" t="str">
        <v/>
      </c>
      <c r="F125" t="str">
        <v>867806075765992</v>
      </c>
      <c r="G125" t="str">
        <v>TBD</v>
      </c>
      <c r="H125" t="str">
        <v/>
      </c>
      <c r="I125" t="str">
        <v>28/09/2026</v>
      </c>
      <c r="J125" t="str">
        <v>13:07:04</v>
      </c>
      <c r="K125">
        <v>-12.284443</v>
      </c>
      <c r="L125">
        <v>-76.87637</v>
      </c>
      <c r="M125">
        <f>HYPERLINK("https://www.google.com/maps/search/?api=1&amp;query=-12.284443,-76.87637","Carretera Panamericana Sur, Lurín, Lima")</f>
      </c>
      <c r="N125">
        <v>70.9</v>
      </c>
      <c r="O125">
        <v>78</v>
      </c>
      <c r="P125">
        <v>70844</v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BXT-918</v>
      </c>
      <c r="D126" t="str">
        <v>BXT-918</v>
      </c>
      <c r="E126" t="str">
        <v/>
      </c>
      <c r="F126" t="str">
        <v>867806075765992</v>
      </c>
      <c r="G126" t="str">
        <v>TBD</v>
      </c>
      <c r="H126" t="str">
        <v/>
      </c>
      <c r="I126" t="str">
        <v>28/09/2026</v>
      </c>
      <c r="J126" t="str">
        <v>13:17:04</v>
      </c>
      <c r="K126">
        <v>-12.232991</v>
      </c>
      <c r="L126">
        <v>-76.96199</v>
      </c>
      <c r="M126">
        <f>HYPERLINK("https://www.google.com/maps/search/?api=1&amp;query=-12.232991,-76.96199","Carretera Panamericana Sur, Villa El Salvador, Lima")</f>
      </c>
      <c r="N126">
        <v>60.1</v>
      </c>
      <c r="O126">
        <v>78</v>
      </c>
      <c r="P126">
        <v>70844</v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BXT-918</v>
      </c>
      <c r="D127" t="str">
        <v>BXT-918</v>
      </c>
      <c r="E127" t="str">
        <v/>
      </c>
      <c r="F127" t="str">
        <v>867806075765992</v>
      </c>
      <c r="G127" t="str">
        <v>TBD</v>
      </c>
      <c r="H127" t="str">
        <v/>
      </c>
      <c r="I127" t="str">
        <v>28/09/2026</v>
      </c>
      <c r="J127" t="str">
        <v>13:27:04</v>
      </c>
      <c r="K127">
        <v>-12.167559</v>
      </c>
      <c r="L127">
        <v>-76.97864</v>
      </c>
      <c r="M127">
        <f>HYPERLINK("https://www.google.com/maps/search/?api=1&amp;query=-12.167559,-76.97864","Avenida Alipio Ponce, San Juan de Miraflores, Lima")</f>
      </c>
      <c r="N127">
        <v>30.3</v>
      </c>
      <c r="O127">
        <v>78</v>
      </c>
      <c r="P127">
        <v>70844</v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BXT-918</v>
      </c>
      <c r="D128" t="str">
        <v>BXT-918</v>
      </c>
      <c r="E128" t="str">
        <v/>
      </c>
      <c r="F128" t="str">
        <v>867806075765992</v>
      </c>
      <c r="G128" t="str">
        <v>TBD</v>
      </c>
      <c r="H128" t="str">
        <v/>
      </c>
      <c r="I128" t="str">
        <v>28/09/2026</v>
      </c>
      <c r="J128" t="str">
        <v>13:37:04</v>
      </c>
      <c r="K128">
        <v>-12.155093</v>
      </c>
      <c r="L128">
        <v>-76.97728</v>
      </c>
      <c r="M128">
        <f>HYPERLINK("https://www.google.com/maps/search/?api=1&amp;query=-12.155093,-76.97728","Joaquín Bernal, San Juan de Miraflores, Lima")</f>
      </c>
      <c r="N128">
        <v>6.6</v>
      </c>
      <c r="O128">
        <v>86</v>
      </c>
      <c r="P128">
        <v>70844</v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BXT-918</v>
      </c>
      <c r="D129" t="str">
        <v>BXT-918</v>
      </c>
      <c r="E129" t="str">
        <v/>
      </c>
      <c r="F129" t="str">
        <v>867806075765992</v>
      </c>
      <c r="G129" t="str">
        <v>TBD</v>
      </c>
      <c r="H129" t="str">
        <v/>
      </c>
      <c r="I129" t="str">
        <v>28/09/2026</v>
      </c>
      <c r="J129" t="str">
        <v>13:37:04</v>
      </c>
      <c r="K129">
        <v>-12.155093</v>
      </c>
      <c r="L129">
        <v>-76.97728</v>
      </c>
      <c r="M129">
        <f>HYPERLINK("https://www.google.com/maps/search/?api=1&amp;query=-12.155093,-76.97728","Joaquín Bernal, San Juan de Miraflores, Lima")</f>
      </c>
      <c r="N129">
        <v>6.6</v>
      </c>
      <c r="O129">
        <v>81</v>
      </c>
      <c r="P129">
        <v>70844</v>
      </c>
      <c r="Q129" t="str">
        <v/>
      </c>
      <c r="R129" t="str">
        <v>Llegó a la zona</v>
      </c>
      <c r="S129" t="str">
        <v>813-BERNAL3 SJM MS</v>
      </c>
      <c r="T129" t="str">
        <v xml:space="preserve"> </v>
      </c>
      <c r="U129" t="str">
        <v/>
      </c>
    </row>
    <row r="130">
      <c r="A130" t="str">
        <v>129</v>
      </c>
      <c r="B130" t="str">
        <v>MASS BSF</v>
      </c>
      <c r="C130" t="str">
        <v>BXT-918</v>
      </c>
      <c r="D130" t="str">
        <v>BXT-918</v>
      </c>
      <c r="E130" t="str">
        <v/>
      </c>
      <c r="F130" t="str">
        <v>867806075765992</v>
      </c>
      <c r="G130" t="str">
        <v>TBD</v>
      </c>
      <c r="H130" t="str">
        <v/>
      </c>
      <c r="I130" t="str">
        <v>28/09/2026</v>
      </c>
      <c r="J130" t="str">
        <v>13:40:05</v>
      </c>
      <c r="K130">
        <v>-12.15522</v>
      </c>
      <c r="L130">
        <v>-76.977325</v>
      </c>
      <c r="M130">
        <f>HYPERLINK("https://www.google.com/maps/search/?api=1&amp;query=-12.15522,-76.977325","Joaquín Bernal, San Juan de Miraflores, Lima")</f>
      </c>
      <c r="N130">
        <v>0</v>
      </c>
      <c r="O130">
        <v>86</v>
      </c>
      <c r="P130">
        <v>70844</v>
      </c>
      <c r="Q130" t="str">
        <v/>
      </c>
      <c r="R130" t="str">
        <v>Inicio de ralentí</v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BXT-918</v>
      </c>
      <c r="D131" t="str">
        <v>BXT-918</v>
      </c>
      <c r="E131" t="str">
        <v/>
      </c>
      <c r="F131" t="str">
        <v>867806075765992</v>
      </c>
      <c r="G131" t="str">
        <v>TBD</v>
      </c>
      <c r="H131" t="str">
        <v/>
      </c>
      <c r="I131" t="str">
        <v>28/09/2026</v>
      </c>
      <c r="J131" t="str">
        <v>13:43:00</v>
      </c>
      <c r="K131">
        <v>-12.15522</v>
      </c>
      <c r="L131">
        <v>-76.977325</v>
      </c>
      <c r="M131">
        <f>HYPERLINK("https://www.google.com/maps/search/?api=1&amp;query=-12.15522,-76.977325","Joaquín Bernal, San Juan de Miraflores, Lima")</f>
      </c>
      <c r="N131">
        <v>0</v>
      </c>
      <c r="O131">
        <v>86</v>
      </c>
      <c r="P131">
        <v>70844</v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BXT-918</v>
      </c>
      <c r="D132" t="str">
        <v>BXT-918</v>
      </c>
      <c r="E132" t="str">
        <v/>
      </c>
      <c r="F132" t="str">
        <v>867806075765992</v>
      </c>
      <c r="G132" t="str">
        <v>TBD</v>
      </c>
      <c r="H132" t="str">
        <v/>
      </c>
      <c r="I132" t="str">
        <v>28/09/2026</v>
      </c>
      <c r="J132" t="str">
        <v>13:43:00</v>
      </c>
      <c r="K132">
        <v>-12.15522</v>
      </c>
      <c r="L132">
        <v>-76.977325</v>
      </c>
      <c r="M132">
        <f>HYPERLINK("https://www.google.com/maps/search/?api=1&amp;query=-12.15522,-76.977325","Joaquín Bernal, San Juan de Miraflores, Lima")</f>
      </c>
      <c r="N132">
        <v>0</v>
      </c>
      <c r="O132">
        <v>86</v>
      </c>
      <c r="P132">
        <v>70844</v>
      </c>
      <c r="Q132" t="str">
        <v/>
      </c>
      <c r="R132" t="str">
        <v>Fin de ralentí</v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BXT-918</v>
      </c>
      <c r="D133" t="str">
        <v>BXT-918</v>
      </c>
      <c r="E133" t="str">
        <v/>
      </c>
      <c r="F133" t="str">
        <v>867806075765992</v>
      </c>
      <c r="G133" t="str">
        <v>TBD</v>
      </c>
      <c r="H133" t="str">
        <v/>
      </c>
      <c r="I133" t="str">
        <v>28/09/2026</v>
      </c>
      <c r="J133" t="str">
        <v>13:43:10</v>
      </c>
      <c r="K133">
        <v>-12.15522</v>
      </c>
      <c r="L133">
        <v>-76.977325</v>
      </c>
      <c r="M133">
        <f>HYPERLINK("https://www.google.com/maps/search/?api=1&amp;query=-12.15522,-76.977325","Joaquín Bernal, San Juan de Miraflores, Lima")</f>
      </c>
      <c r="N133">
        <v>0</v>
      </c>
      <c r="O133">
        <v>86</v>
      </c>
      <c r="P133">
        <v>70844</v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BXT-918</v>
      </c>
      <c r="D134" t="str">
        <v>BXT-918</v>
      </c>
      <c r="E134" t="str">
        <v/>
      </c>
      <c r="F134" t="str">
        <v>867806075765992</v>
      </c>
      <c r="G134" t="str">
        <v>TBD</v>
      </c>
      <c r="H134" t="str">
        <v/>
      </c>
      <c r="I134" t="str">
        <v>28/09/2026</v>
      </c>
      <c r="J134" t="str">
        <v>13:46:10</v>
      </c>
      <c r="K134">
        <v>-12.15522</v>
      </c>
      <c r="L134">
        <v>-76.977325</v>
      </c>
      <c r="M134">
        <f>HYPERLINK("https://www.google.com/maps/search/?api=1&amp;query=-12.15522,-76.977325","Joaquín Bernal, San Juan de Miraflores, Lima")</f>
      </c>
      <c r="N134">
        <v>0</v>
      </c>
      <c r="O134">
        <v>86</v>
      </c>
      <c r="P134">
        <v>70844</v>
      </c>
      <c r="Q134" t="str">
        <v/>
      </c>
      <c r="R134" t="str">
        <v>Inicio de ralentí</v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BXT-918</v>
      </c>
      <c r="D135" t="str">
        <v>BXT-918</v>
      </c>
      <c r="E135" t="str">
        <v/>
      </c>
      <c r="F135" t="str">
        <v>867806075765992</v>
      </c>
      <c r="G135" t="str">
        <v>TBD</v>
      </c>
      <c r="H135" t="str">
        <v/>
      </c>
      <c r="I135" t="str">
        <v>28/09/2026</v>
      </c>
      <c r="J135" t="str">
        <v>13:47:04</v>
      </c>
      <c r="K135">
        <v>-12.15522</v>
      </c>
      <c r="L135">
        <v>-76.977325</v>
      </c>
      <c r="M135">
        <f>HYPERLINK("https://www.google.com/maps/search/?api=1&amp;query=-12.15522,-76.977325","Joaquín Bernal, San Juan de Miraflores, Lima")</f>
      </c>
      <c r="N135">
        <v>0</v>
      </c>
      <c r="O135">
        <v>86</v>
      </c>
      <c r="P135">
        <v>70844</v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BXT-918</v>
      </c>
      <c r="D136" t="str">
        <v>BXT-918</v>
      </c>
      <c r="E136" t="str">
        <v/>
      </c>
      <c r="F136" t="str">
        <v>867806075765992</v>
      </c>
      <c r="G136" t="str">
        <v>TBD</v>
      </c>
      <c r="H136" t="str">
        <v/>
      </c>
      <c r="I136" t="str">
        <v>28/09/2026</v>
      </c>
      <c r="J136" t="str">
        <v>13:57:04</v>
      </c>
      <c r="K136">
        <v>-12.155295</v>
      </c>
      <c r="L136">
        <v>-76.97738</v>
      </c>
      <c r="M136">
        <f>HYPERLINK("https://www.google.com/maps/search/?api=1&amp;query=-12.155295,-76.97738","San Juan de Miraflores, Lima")</f>
      </c>
      <c r="N136">
        <v>0</v>
      </c>
      <c r="O136">
        <v>86</v>
      </c>
      <c r="P136">
        <v>70844</v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BXT-918</v>
      </c>
      <c r="D137" t="str">
        <v>BXT-918</v>
      </c>
      <c r="E137" t="str">
        <v/>
      </c>
      <c r="F137" t="str">
        <v>867806075765992</v>
      </c>
      <c r="G137" t="str">
        <v>TBD</v>
      </c>
      <c r="H137" t="str">
        <v/>
      </c>
      <c r="I137" t="str">
        <v>28/09/2026</v>
      </c>
      <c r="J137" t="str">
        <v>14:07:04</v>
      </c>
      <c r="K137">
        <v>-12.155295</v>
      </c>
      <c r="L137">
        <v>-76.97738</v>
      </c>
      <c r="M137">
        <f>HYPERLINK("https://www.google.com/maps/search/?api=1&amp;query=-12.155295,-76.97738","San Juan de Miraflores, Lima")</f>
      </c>
      <c r="N137">
        <v>0</v>
      </c>
      <c r="O137">
        <v>86</v>
      </c>
      <c r="P137">
        <v>70844</v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BXT-918</v>
      </c>
      <c r="D138" t="str">
        <v>BXT-918</v>
      </c>
      <c r="E138" t="str">
        <v/>
      </c>
      <c r="F138" t="str">
        <v>867806075765992</v>
      </c>
      <c r="G138" t="str">
        <v>TBD</v>
      </c>
      <c r="H138" t="str">
        <v/>
      </c>
      <c r="I138" t="str">
        <v>28/09/2026</v>
      </c>
      <c r="J138" t="str">
        <v>14:17:04</v>
      </c>
      <c r="K138">
        <v>-12.15522</v>
      </c>
      <c r="L138">
        <v>-76.97732</v>
      </c>
      <c r="M138">
        <f>HYPERLINK("https://www.google.com/maps/search/?api=1&amp;query=-12.15522,-76.97732","Joaquín Bernal, San Juan de Miraflores, Lima")</f>
      </c>
      <c r="N138">
        <v>0</v>
      </c>
      <c r="O138">
        <v>86</v>
      </c>
      <c r="P138">
        <v>70844</v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BXT-918</v>
      </c>
      <c r="D139" t="str">
        <v>BXT-918</v>
      </c>
      <c r="E139" t="str">
        <v/>
      </c>
      <c r="F139" t="str">
        <v>867806075765992</v>
      </c>
      <c r="G139" t="str">
        <v>TBD</v>
      </c>
      <c r="H139" t="str">
        <v/>
      </c>
      <c r="I139" t="str">
        <v>28/09/2026</v>
      </c>
      <c r="J139" t="str">
        <v>14:18:10</v>
      </c>
      <c r="K139">
        <v>-12.15522</v>
      </c>
      <c r="L139">
        <v>-76.97732</v>
      </c>
      <c r="M139">
        <f>HYPERLINK("https://www.google.com/maps/search/?api=1&amp;query=-12.15522,-76.97732","Joaquín Bernal, San Juan de Miraflores, Lima")</f>
      </c>
      <c r="N139">
        <v>0</v>
      </c>
      <c r="O139">
        <v>82</v>
      </c>
      <c r="P139">
        <v>70844</v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BXT-918</v>
      </c>
      <c r="D140" t="str">
        <v>BXT-918</v>
      </c>
      <c r="E140" t="str">
        <v/>
      </c>
      <c r="F140" t="str">
        <v>867806075765992</v>
      </c>
      <c r="G140" t="str">
        <v>TBD</v>
      </c>
      <c r="H140" t="str">
        <v/>
      </c>
      <c r="I140" t="str">
        <v>28/09/2026</v>
      </c>
      <c r="J140" t="str">
        <v>14:18:10</v>
      </c>
      <c r="K140">
        <v>-12.15522</v>
      </c>
      <c r="L140">
        <v>-76.97732</v>
      </c>
      <c r="M140">
        <f>HYPERLINK("https://www.google.com/maps/search/?api=1&amp;query=-12.15522,-76.97732","Joaquín Bernal, San Juan de Miraflores, Lima")</f>
      </c>
      <c r="N140">
        <v>0</v>
      </c>
      <c r="O140">
        <v>82</v>
      </c>
      <c r="P140">
        <v>70844</v>
      </c>
      <c r="Q140" t="str">
        <v/>
      </c>
      <c r="R140" t="str">
        <v>Fin de ralentí</v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BXT-918</v>
      </c>
      <c r="D141" t="str">
        <v>BXT-918</v>
      </c>
      <c r="E141" t="str">
        <v/>
      </c>
      <c r="F141" t="str">
        <v>867806075765992</v>
      </c>
      <c r="G141" t="str">
        <v>TBD</v>
      </c>
      <c r="H141" t="str">
        <v/>
      </c>
      <c r="I141" t="str">
        <v>28/09/2026</v>
      </c>
      <c r="J141" t="str">
        <v>14:18:35</v>
      </c>
      <c r="K141">
        <v>-12.15522</v>
      </c>
      <c r="L141">
        <v>-76.97732</v>
      </c>
      <c r="M141">
        <f>HYPERLINK("https://www.google.com/maps/search/?api=1&amp;query=-12.15522,-76.97732","Joaquín Bernal, San Juan de Miraflores, Lima")</f>
      </c>
      <c r="N141">
        <v>0</v>
      </c>
      <c r="O141">
        <v>82</v>
      </c>
      <c r="P141">
        <v>70844</v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BXT-918</v>
      </c>
      <c r="D142" t="str">
        <v>BXT-918</v>
      </c>
      <c r="E142" t="str">
        <v/>
      </c>
      <c r="F142" t="str">
        <v>867806075765992</v>
      </c>
      <c r="G142" t="str">
        <v>TBD</v>
      </c>
      <c r="H142" t="str">
        <v/>
      </c>
      <c r="I142" t="str">
        <v>28/09/2026</v>
      </c>
      <c r="J142" t="str">
        <v>14:20:16</v>
      </c>
      <c r="K142">
        <v>-12.15507</v>
      </c>
      <c r="L142">
        <v>-76.97726</v>
      </c>
      <c r="M142">
        <f>HYPERLINK("https://www.google.com/maps/search/?api=1&amp;query=-12.15507,-76.97726","Joaquín Bernal, San Juan de Miraflores, Lima")</f>
      </c>
      <c r="N142">
        <v>0</v>
      </c>
      <c r="O142">
        <v>82</v>
      </c>
      <c r="P142">
        <v>70844</v>
      </c>
      <c r="Q142" t="str">
        <v/>
      </c>
      <c r="R142" t="str">
        <v>Se movio</v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BXT-918</v>
      </c>
      <c r="D143" t="str">
        <v>BXT-918</v>
      </c>
      <c r="E143" t="str">
        <v/>
      </c>
      <c r="F143" t="str">
        <v>867806075765992</v>
      </c>
      <c r="G143" t="str">
        <v>TBD</v>
      </c>
      <c r="H143" t="str">
        <v/>
      </c>
      <c r="I143" t="str">
        <v>28/09/2026</v>
      </c>
      <c r="J143" t="str">
        <v>14:27:04</v>
      </c>
      <c r="K143">
        <v>-12.165352</v>
      </c>
      <c r="L143">
        <v>-76.97839</v>
      </c>
      <c r="M143">
        <f>HYPERLINK("https://www.google.com/maps/search/?api=1&amp;query=-12.165352,-76.97839","Avenida Lizardo Montero, San Juan de Miraflores, Lima")</f>
      </c>
      <c r="N143">
        <v>14.6</v>
      </c>
      <c r="O143">
        <v>77</v>
      </c>
      <c r="P143">
        <v>70844</v>
      </c>
      <c r="Q143" t="str">
        <v/>
      </c>
      <c r="R143" t="str">
        <v>Salió de zona</v>
      </c>
      <c r="S143" t="str">
        <v>813-BERNAL3 SJM MS</v>
      </c>
      <c r="T143" t="str">
        <v xml:space="preserve"> </v>
      </c>
      <c r="U143" t="str">
        <v/>
      </c>
    </row>
    <row r="144">
      <c r="A144" t="str">
        <v>143</v>
      </c>
      <c r="B144" t="str">
        <v>MASS BSF</v>
      </c>
      <c r="C144" t="str">
        <v>BXT-918</v>
      </c>
      <c r="D144" t="str">
        <v>BXT-918</v>
      </c>
      <c r="E144" t="str">
        <v/>
      </c>
      <c r="F144" t="str">
        <v>867806075765992</v>
      </c>
      <c r="G144" t="str">
        <v>TBD</v>
      </c>
      <c r="H144" t="str">
        <v/>
      </c>
      <c r="I144" t="str">
        <v>28/09/2026</v>
      </c>
      <c r="J144" t="str">
        <v>14:27:04</v>
      </c>
      <c r="K144">
        <v>-12.165352</v>
      </c>
      <c r="L144">
        <v>-76.97839</v>
      </c>
      <c r="M144">
        <f>HYPERLINK("https://www.google.com/maps/search/?api=1&amp;query=-12.165352,-76.97839","Avenida Lizardo Montero, San Juan de Miraflores, Lima")</f>
      </c>
      <c r="N144">
        <v>14.6</v>
      </c>
      <c r="O144">
        <v>82</v>
      </c>
      <c r="P144">
        <v>70844</v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BXT-918</v>
      </c>
      <c r="D145" t="str">
        <v>BXT-918</v>
      </c>
      <c r="E145" t="str">
        <v/>
      </c>
      <c r="F145" t="str">
        <v>867806075765992</v>
      </c>
      <c r="G145" t="str">
        <v>TBD</v>
      </c>
      <c r="H145" t="str">
        <v/>
      </c>
      <c r="I145" t="str">
        <v>28/09/2026</v>
      </c>
      <c r="J145" t="str">
        <v>14:37:04</v>
      </c>
      <c r="K145">
        <v>-12.17338</v>
      </c>
      <c r="L145">
        <v>-76.97665</v>
      </c>
      <c r="M145">
        <f>HYPERLINK("https://www.google.com/maps/search/?api=1&amp;query=-12.17338,-76.97665","Avenida Prolongación Pedro Miotta, San Juan de Miraflores, Lima")</f>
      </c>
      <c r="N145">
        <v>0</v>
      </c>
      <c r="O145">
        <v>82</v>
      </c>
      <c r="P145">
        <v>70844</v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BXT-918</v>
      </c>
      <c r="D146" t="str">
        <v>BXT-918</v>
      </c>
      <c r="E146" t="str">
        <v/>
      </c>
      <c r="F146" t="str">
        <v>867806075765992</v>
      </c>
      <c r="G146" t="str">
        <v>TBD</v>
      </c>
      <c r="H146" t="str">
        <v/>
      </c>
      <c r="I146" t="str">
        <v>28/09/2026</v>
      </c>
      <c r="J146" t="str">
        <v>14:47:04</v>
      </c>
      <c r="K146">
        <v>-12.207278</v>
      </c>
      <c r="L146">
        <v>-76.97483</v>
      </c>
      <c r="M146">
        <f>HYPERLINK("https://www.google.com/maps/search/?api=1&amp;query=-12.207278,-76.97483","Antigua Panamericana Sur, Villa El Salvador, Lima")</f>
      </c>
      <c r="N146">
        <v>34.2</v>
      </c>
      <c r="O146">
        <v>82</v>
      </c>
      <c r="P146">
        <v>70844</v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BXT-918</v>
      </c>
      <c r="D147" t="str">
        <v>BXT-918</v>
      </c>
      <c r="E147" t="str">
        <v/>
      </c>
      <c r="F147" t="str">
        <v>867806075765992</v>
      </c>
      <c r="G147" t="str">
        <v>TBD</v>
      </c>
      <c r="H147" t="str">
        <v/>
      </c>
      <c r="I147" t="str">
        <v>28/09/2026</v>
      </c>
      <c r="J147" t="str">
        <v>14:57:04</v>
      </c>
      <c r="K147">
        <v>-12.247632</v>
      </c>
      <c r="L147">
        <v>-76.9337</v>
      </c>
      <c r="M147">
        <f>HYPERLINK("https://www.google.com/maps/search/?api=1&amp;query=-12.247632,-76.9337","Antigua Panamericana Sur, Villa El Salvador, Lima")</f>
      </c>
      <c r="N147">
        <v>50.1</v>
      </c>
      <c r="O147">
        <v>80</v>
      </c>
      <c r="P147">
        <v>70844</v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BXT-918</v>
      </c>
      <c r="D148" t="str">
        <v>BXT-918</v>
      </c>
      <c r="E148" t="str">
        <v/>
      </c>
      <c r="F148" t="str">
        <v>867806075765992</v>
      </c>
      <c r="G148" t="str">
        <v>TBD</v>
      </c>
      <c r="H148" t="str">
        <v/>
      </c>
      <c r="I148" t="str">
        <v>28/09/2026</v>
      </c>
      <c r="J148" t="str">
        <v>15:00:59</v>
      </c>
      <c r="K148">
        <v>-12.25032</v>
      </c>
      <c r="L148">
        <v>-76.93027</v>
      </c>
      <c r="M148">
        <f>HYPERLINK("https://www.google.com/maps/search/?api=1&amp;query=-12.25032,-76.93027","Antigua Panamericana Sur, Villa El Salvador, Lima")</f>
      </c>
      <c r="N148">
        <v>0</v>
      </c>
      <c r="O148">
        <v>80</v>
      </c>
      <c r="P148">
        <v>70844</v>
      </c>
      <c r="Q148" t="str">
        <v/>
      </c>
      <c r="R148" t="str">
        <v>Inicio de ralentí</v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BXT-918</v>
      </c>
      <c r="D149" t="str">
        <v>BXT-918</v>
      </c>
      <c r="E149" t="str">
        <v/>
      </c>
      <c r="F149" t="str">
        <v>867806075765992</v>
      </c>
      <c r="G149" t="str">
        <v>TBD</v>
      </c>
      <c r="H149" t="str">
        <v/>
      </c>
      <c r="I149" t="str">
        <v>28/09/2026</v>
      </c>
      <c r="J149" t="str">
        <v>15:04:47</v>
      </c>
      <c r="K149">
        <v>-12.25033</v>
      </c>
      <c r="L149">
        <v>-76.93025</v>
      </c>
      <c r="M149">
        <f>HYPERLINK("https://www.google.com/maps/search/?api=1&amp;query=-12.25033,-76.93025","Antigua Panamericana Sur, Villa El Salvador, Lima")</f>
      </c>
      <c r="N149">
        <v>11.4</v>
      </c>
      <c r="O149">
        <v>80</v>
      </c>
      <c r="P149">
        <v>70844</v>
      </c>
      <c r="Q149" t="str">
        <v/>
      </c>
      <c r="R149" t="str">
        <v>Fin de ralentí</v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BXT-918</v>
      </c>
      <c r="D150" t="str">
        <v>BXT-918</v>
      </c>
      <c r="E150" t="str">
        <v/>
      </c>
      <c r="F150" t="str">
        <v>867806075765992</v>
      </c>
      <c r="G150" t="str">
        <v>TBD</v>
      </c>
      <c r="H150" t="str">
        <v/>
      </c>
      <c r="I150" t="str">
        <v>28/09/2026</v>
      </c>
      <c r="J150" t="str">
        <v>15:07:04</v>
      </c>
      <c r="K150">
        <v>-12.255934</v>
      </c>
      <c r="L150">
        <v>-76.92141</v>
      </c>
      <c r="M150">
        <f>HYPERLINK("https://www.google.com/maps/search/?api=1&amp;query=-12.255934,-76.92141","Carretera Panamericana Sur, Lurín, Lima")</f>
      </c>
      <c r="N150">
        <v>35.1</v>
      </c>
      <c r="O150">
        <v>80</v>
      </c>
      <c r="P150">
        <v>70844</v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BXT-918</v>
      </c>
      <c r="D151" t="str">
        <v>BXT-918</v>
      </c>
      <c r="E151" t="str">
        <v/>
      </c>
      <c r="F151" t="str">
        <v>867806075765992</v>
      </c>
      <c r="G151" t="str">
        <v>TBD</v>
      </c>
      <c r="H151" t="str">
        <v/>
      </c>
      <c r="I151" t="str">
        <v>28/09/2026</v>
      </c>
      <c r="J151" t="str">
        <v>15:17:04</v>
      </c>
      <c r="K151">
        <v>-12.31118</v>
      </c>
      <c r="L151">
        <v>-76.83484</v>
      </c>
      <c r="M151">
        <f>HYPERLINK("https://www.google.com/maps/search/?api=1&amp;query=-12.31118,-76.83484","Carretera Panamericana Sur, Punta Hermosa, Lima")</f>
      </c>
      <c r="N151">
        <v>78.3</v>
      </c>
      <c r="O151">
        <v>80</v>
      </c>
      <c r="P151">
        <v>70844</v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BXT-918</v>
      </c>
      <c r="D152" t="str">
        <v>BXT-918</v>
      </c>
      <c r="E152" t="str">
        <v/>
      </c>
      <c r="F152" t="str">
        <v>867806075765992</v>
      </c>
      <c r="G152" t="str">
        <v>TBD</v>
      </c>
      <c r="H152" t="str">
        <v/>
      </c>
      <c r="I152" t="str">
        <v>28/09/2026</v>
      </c>
      <c r="J152" t="str">
        <v>15:27:04</v>
      </c>
      <c r="K152">
        <v>-12.31724</v>
      </c>
      <c r="L152">
        <v>-76.82474</v>
      </c>
      <c r="M152">
        <f>HYPERLINK("https://www.google.com/maps/search/?api=1&amp;query=-12.31724,-76.82474","Punta Hermosa, Lima")</f>
      </c>
      <c r="N152">
        <v>17.4</v>
      </c>
      <c r="O152">
        <v>77</v>
      </c>
      <c r="P152">
        <v>70844</v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BXT-918</v>
      </c>
      <c r="D153" t="str">
        <v>BXT-918</v>
      </c>
      <c r="E153" t="str">
        <v/>
      </c>
      <c r="F153" t="str">
        <v>867806075765992</v>
      </c>
      <c r="G153" t="str">
        <v>TBD</v>
      </c>
      <c r="H153" t="str">
        <v/>
      </c>
      <c r="I153" t="str">
        <v>28/09/2026</v>
      </c>
      <c r="J153" t="str">
        <v>15:27:04</v>
      </c>
      <c r="K153">
        <v>-12.31724</v>
      </c>
      <c r="L153">
        <v>-76.82474</v>
      </c>
      <c r="M153">
        <f>HYPERLINK("https://www.google.com/maps/search/?api=1&amp;query=-12.31724,-76.82474","Punta Hermosa, Lima")</f>
      </c>
      <c r="N153">
        <v>17.4</v>
      </c>
      <c r="O153">
        <v>77</v>
      </c>
      <c r="P153">
        <v>70844</v>
      </c>
      <c r="Q153" t="str">
        <v/>
      </c>
      <c r="R153" t="str">
        <v>Llegó a la zona</v>
      </c>
      <c r="S153" t="str">
        <v>MASS BSF 1</v>
      </c>
      <c r="T153" t="str">
        <v xml:space="preserve"> </v>
      </c>
      <c r="U153" t="str">
        <v/>
      </c>
    </row>
    <row r="154">
      <c r="A154" t="str">
        <v>153</v>
      </c>
      <c r="B154" t="str">
        <v>MASS BSF</v>
      </c>
      <c r="C154" t="str">
        <v>BXT-918</v>
      </c>
      <c r="D154" t="str">
        <v>BXT-918</v>
      </c>
      <c r="E154" t="str">
        <v/>
      </c>
      <c r="F154" t="str">
        <v>867806075765992</v>
      </c>
      <c r="G154" t="str">
        <v>TBD</v>
      </c>
      <c r="H154" t="str">
        <v/>
      </c>
      <c r="I154" t="str">
        <v>28/09/2026</v>
      </c>
      <c r="J154" t="str">
        <v>15:33:32</v>
      </c>
      <c r="K154">
        <v>-12.317347</v>
      </c>
      <c r="L154">
        <v>-76.82292</v>
      </c>
      <c r="M154">
        <f>HYPERLINK("https://www.google.com/maps/search/?api=1&amp;query=-12.317347,-76.82292","Punta Hermosa, Lima")</f>
      </c>
      <c r="N154">
        <v>0</v>
      </c>
      <c r="O154">
        <v>86</v>
      </c>
      <c r="P154">
        <v>70844</v>
      </c>
      <c r="Q154" t="str">
        <v/>
      </c>
      <c r="R154" t="str">
        <v>Inicio de ralentí</v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BXT-918</v>
      </c>
      <c r="D155" t="str">
        <v>BXT-918</v>
      </c>
      <c r="E155" t="str">
        <v/>
      </c>
      <c r="F155" t="str">
        <v>867806075765992</v>
      </c>
      <c r="G155" t="str">
        <v>TBD</v>
      </c>
      <c r="H155" t="str">
        <v/>
      </c>
      <c r="I155" t="str">
        <v>28/09/2026</v>
      </c>
      <c r="J155" t="str">
        <v>15:37:04</v>
      </c>
      <c r="K155">
        <v>-12.317347</v>
      </c>
      <c r="L155">
        <v>-76.82292</v>
      </c>
      <c r="M155">
        <f>HYPERLINK("https://www.google.com/maps/search/?api=1&amp;query=-12.317347,-76.82292","Punta Hermosa, Lima")</f>
      </c>
      <c r="N155">
        <v>0</v>
      </c>
      <c r="O155">
        <v>86</v>
      </c>
      <c r="P155">
        <v>70844</v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BXT-918</v>
      </c>
      <c r="D156" t="str">
        <v>BXT-918</v>
      </c>
      <c r="E156" t="str">
        <v/>
      </c>
      <c r="F156" t="str">
        <v>867806075765992</v>
      </c>
      <c r="G156" t="str">
        <v>TBD</v>
      </c>
      <c r="H156" t="str">
        <v/>
      </c>
      <c r="I156" t="str">
        <v>28/09/2026</v>
      </c>
      <c r="J156" t="str">
        <v>15:37:50</v>
      </c>
      <c r="K156">
        <v>-12.317347</v>
      </c>
      <c r="L156">
        <v>-76.82292</v>
      </c>
      <c r="M156">
        <f>HYPERLINK("https://www.google.com/maps/search/?api=1&amp;query=-12.317347,-76.82292","Punta Hermosa, Lima")</f>
      </c>
      <c r="N156">
        <v>0</v>
      </c>
      <c r="O156">
        <v>86</v>
      </c>
      <c r="P156">
        <v>70844</v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BXT-918</v>
      </c>
      <c r="D157" t="str">
        <v>BXT-918</v>
      </c>
      <c r="E157" t="str">
        <v/>
      </c>
      <c r="F157" t="str">
        <v>867806075765992</v>
      </c>
      <c r="G157" t="str">
        <v>TBD</v>
      </c>
      <c r="H157" t="str">
        <v/>
      </c>
      <c r="I157" t="str">
        <v>28/09/2026</v>
      </c>
      <c r="J157" t="str">
        <v>15:37:50</v>
      </c>
      <c r="K157">
        <v>-12.317347</v>
      </c>
      <c r="L157">
        <v>-76.82292</v>
      </c>
      <c r="M157">
        <f>HYPERLINK("https://www.google.com/maps/search/?api=1&amp;query=-12.317347,-76.82292","Punta Hermosa, Lima")</f>
      </c>
      <c r="N157">
        <v>0</v>
      </c>
      <c r="O157">
        <v>86</v>
      </c>
      <c r="P157">
        <v>70844</v>
      </c>
      <c r="Q157" t="str">
        <v/>
      </c>
      <c r="R157" t="str">
        <v>Fin de ralentí</v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BXT-918</v>
      </c>
      <c r="D158" t="str">
        <v>BXT-918</v>
      </c>
      <c r="E158" t="str">
        <v/>
      </c>
      <c r="F158" t="str">
        <v>867806075765992</v>
      </c>
      <c r="G158" t="str">
        <v>TBD</v>
      </c>
      <c r="H158" t="str">
        <v/>
      </c>
      <c r="I158" t="str">
        <v>28/09/2026</v>
      </c>
      <c r="J158" t="str">
        <v>15:39:03</v>
      </c>
      <c r="K158">
        <v>-12.317347</v>
      </c>
      <c r="L158">
        <v>-76.82292</v>
      </c>
      <c r="M158">
        <f>HYPERLINK("https://www.google.com/maps/search/?api=1&amp;query=-12.317347,-76.82292","Punta Hermosa, Lima")</f>
      </c>
      <c r="N158">
        <v>0</v>
      </c>
      <c r="O158">
        <v>86</v>
      </c>
      <c r="P158">
        <v>70844</v>
      </c>
      <c r="Q158" t="str">
        <v/>
      </c>
      <c r="R158" t="str">
        <v>Se detuvo</v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BXT-918</v>
      </c>
      <c r="D159" t="str">
        <v>BXT-918</v>
      </c>
      <c r="E159" t="str">
        <v/>
      </c>
      <c r="F159" t="str">
        <v>867806075765992</v>
      </c>
      <c r="G159" t="str">
        <v>TBD</v>
      </c>
      <c r="H159" t="str">
        <v/>
      </c>
      <c r="I159" t="str">
        <v>28/09/2026</v>
      </c>
      <c r="J159" t="str">
        <v>15:47:04</v>
      </c>
      <c r="K159">
        <v>-12.317347</v>
      </c>
      <c r="L159">
        <v>-76.82292</v>
      </c>
      <c r="M159">
        <f>HYPERLINK("https://www.google.com/maps/search/?api=1&amp;query=-12.317347,-76.82292","Punta Hermosa, Lima")</f>
      </c>
      <c r="N159">
        <v>0</v>
      </c>
      <c r="O159">
        <v>86</v>
      </c>
      <c r="P159">
        <v>70844</v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BXT-918</v>
      </c>
      <c r="D160" t="str">
        <v>BXT-918</v>
      </c>
      <c r="E160" t="str">
        <v/>
      </c>
      <c r="F160" t="str">
        <v>867806075765992</v>
      </c>
      <c r="G160" t="str">
        <v>TBD</v>
      </c>
      <c r="H160" t="str">
        <v/>
      </c>
      <c r="I160" t="str">
        <v>28/09/2026</v>
      </c>
      <c r="J160" t="str">
        <v>15:53:50</v>
      </c>
      <c r="K160">
        <v>-12.317347</v>
      </c>
      <c r="L160">
        <v>-76.82292</v>
      </c>
      <c r="M160">
        <f>HYPERLINK("https://www.google.com/maps/search/?api=1&amp;query=-12.317347,-76.82292","Punta Hermosa, Lima")</f>
      </c>
      <c r="N160">
        <v>0</v>
      </c>
      <c r="O160">
        <v>86</v>
      </c>
      <c r="P160">
        <v>70844</v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BXT-918</v>
      </c>
      <c r="D161" t="str">
        <v>BXT-918</v>
      </c>
      <c r="E161" t="str">
        <v/>
      </c>
      <c r="F161" t="str">
        <v>867806075765992</v>
      </c>
      <c r="G161" t="str">
        <v>TBD</v>
      </c>
      <c r="H161" t="str">
        <v/>
      </c>
      <c r="I161" t="str">
        <v>28/09/2026</v>
      </c>
      <c r="J161" t="str">
        <v>15:57:04</v>
      </c>
      <c r="K161">
        <v>-12.317857</v>
      </c>
      <c r="L161">
        <v>-76.82424</v>
      </c>
      <c r="M161">
        <f>HYPERLINK("https://www.google.com/maps/search/?api=1&amp;query=-12.317857,-76.82424","Punta Hermosa, Lima")</f>
      </c>
      <c r="N161">
        <v>0</v>
      </c>
      <c r="O161">
        <v>86</v>
      </c>
      <c r="P161">
        <v>70844</v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BXT-918</v>
      </c>
      <c r="D162" t="str">
        <v>BXT-918</v>
      </c>
      <c r="E162" t="str">
        <v/>
      </c>
      <c r="F162" t="str">
        <v>867806075765992</v>
      </c>
      <c r="G162" t="str">
        <v>TBD</v>
      </c>
      <c r="H162" t="str">
        <v/>
      </c>
      <c r="I162" t="str">
        <v>28/09/2026</v>
      </c>
      <c r="J162" t="str">
        <v>16:00:08</v>
      </c>
      <c r="K162">
        <v>-12.317852</v>
      </c>
      <c r="L162">
        <v>-76.82424</v>
      </c>
      <c r="M162">
        <f>HYPERLINK("https://www.google.com/maps/search/?api=1&amp;query=-12.317852,-76.82424","Punta Hermosa, Lima")</f>
      </c>
      <c r="N162">
        <v>0</v>
      </c>
      <c r="O162">
        <v>86</v>
      </c>
      <c r="P162">
        <v>70844</v>
      </c>
      <c r="Q162" t="str">
        <v/>
      </c>
      <c r="R162" t="str">
        <v>Inicio de ralentí</v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BXT-918</v>
      </c>
      <c r="D163" t="str">
        <v>BXT-918</v>
      </c>
      <c r="E163" t="str">
        <v/>
      </c>
      <c r="F163" t="str">
        <v>867806075765992</v>
      </c>
      <c r="G163" t="str">
        <v>TBD</v>
      </c>
      <c r="H163" t="str">
        <v/>
      </c>
      <c r="I163" t="str">
        <v>28/09/2026</v>
      </c>
      <c r="J163" t="str">
        <v>16:03:00</v>
      </c>
      <c r="K163">
        <v>-12.317852</v>
      </c>
      <c r="L163">
        <v>-76.82424</v>
      </c>
      <c r="M163">
        <f>HYPERLINK("https://www.google.com/maps/search/?api=1&amp;query=-12.317852,-76.82424","Punta Hermosa, Lima")</f>
      </c>
      <c r="N163">
        <v>0</v>
      </c>
      <c r="O163">
        <v>86</v>
      </c>
      <c r="P163">
        <v>70844</v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BXT-918</v>
      </c>
      <c r="D164" t="str">
        <v>BXT-918</v>
      </c>
      <c r="E164" t="str">
        <v/>
      </c>
      <c r="F164" t="str">
        <v>867806075765992</v>
      </c>
      <c r="G164" t="str">
        <v>TBD</v>
      </c>
      <c r="H164" t="str">
        <v/>
      </c>
      <c r="I164" t="str">
        <v>28/09/2026</v>
      </c>
      <c r="J164" t="str">
        <v>16:03:00</v>
      </c>
      <c r="K164">
        <v>-12.317852</v>
      </c>
      <c r="L164">
        <v>-76.82424</v>
      </c>
      <c r="M164">
        <f>HYPERLINK("https://www.google.com/maps/search/?api=1&amp;query=-12.317852,-76.82424","Punta Hermosa, Lima")</f>
      </c>
      <c r="N164">
        <v>0</v>
      </c>
      <c r="O164">
        <v>86</v>
      </c>
      <c r="P164">
        <v>70844</v>
      </c>
      <c r="Q164" t="str">
        <v/>
      </c>
      <c r="R164" t="str">
        <v>Fin de ralentí</v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BXT-918</v>
      </c>
      <c r="D165" t="str">
        <v>BXT-918</v>
      </c>
      <c r="E165" t="str">
        <v/>
      </c>
      <c r="F165" t="str">
        <v>867806075765992</v>
      </c>
      <c r="G165" t="str">
        <v>TBD</v>
      </c>
      <c r="H165" t="str">
        <v/>
      </c>
      <c r="I165" t="str">
        <v>28/09/2026</v>
      </c>
      <c r="J165" t="str">
        <v>16:04:39</v>
      </c>
      <c r="K165">
        <v>-12.317852</v>
      </c>
      <c r="L165">
        <v>-76.82424</v>
      </c>
      <c r="M165">
        <f>HYPERLINK("https://www.google.com/maps/search/?api=1&amp;query=-12.317852,-76.82424","Punta Hermosa, Lima")</f>
      </c>
      <c r="N165">
        <v>0</v>
      </c>
      <c r="O165">
        <v>86</v>
      </c>
      <c r="P165">
        <v>70844</v>
      </c>
      <c r="Q165" t="str">
        <v/>
      </c>
      <c r="R165" t="str">
        <v>Se detuvo</v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BXT-918</v>
      </c>
      <c r="D166" t="str">
        <v>BXT-918</v>
      </c>
      <c r="E166" t="str">
        <v/>
      </c>
      <c r="F166" t="str">
        <v>867806075765992</v>
      </c>
      <c r="G166" t="str">
        <v>TBD</v>
      </c>
      <c r="H166" t="str">
        <v/>
      </c>
      <c r="I166" t="str">
        <v>28/09/2026</v>
      </c>
      <c r="J166" t="str">
        <v>16:07:04</v>
      </c>
      <c r="K166">
        <v>-12.317852</v>
      </c>
      <c r="L166">
        <v>-76.82424</v>
      </c>
      <c r="M166">
        <f>HYPERLINK("https://www.google.com/maps/search/?api=1&amp;query=-12.317852,-76.82424","Punta Hermosa, Lima")</f>
      </c>
      <c r="N166">
        <v>0</v>
      </c>
      <c r="O166">
        <v>86</v>
      </c>
      <c r="P166">
        <v>70844</v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BXT-918</v>
      </c>
      <c r="D167" t="str">
        <v>BXT-918</v>
      </c>
      <c r="E167" t="str">
        <v/>
      </c>
      <c r="F167" t="str">
        <v>867806075765992</v>
      </c>
      <c r="G167" t="str">
        <v>TBD</v>
      </c>
      <c r="H167" t="str">
        <v/>
      </c>
      <c r="I167" t="str">
        <v>28/09/2026</v>
      </c>
      <c r="J167" t="str">
        <v>16:08:47</v>
      </c>
      <c r="K167">
        <v>-12.317852</v>
      </c>
      <c r="L167">
        <v>-76.82424</v>
      </c>
      <c r="M167">
        <f>HYPERLINK("https://www.google.com/maps/search/?api=1&amp;query=-12.317852,-76.82424","Punta Hermosa, Lima")</f>
      </c>
      <c r="N167">
        <v>0</v>
      </c>
      <c r="O167">
        <v>86</v>
      </c>
      <c r="P167">
        <v>70844</v>
      </c>
      <c r="Q167" t="str">
        <v/>
      </c>
      <c r="R167" t="str">
        <v>Encendido o Entró en cobertura</v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BXT-918</v>
      </c>
      <c r="D168" t="str">
        <v>BXT-918</v>
      </c>
      <c r="E168" t="str">
        <v/>
      </c>
      <c r="F168" t="str">
        <v>867806075765992</v>
      </c>
      <c r="G168" t="str">
        <v>TBD</v>
      </c>
      <c r="H168" t="str">
        <v/>
      </c>
      <c r="I168" t="str">
        <v>28/09/2026</v>
      </c>
      <c r="J168" t="str">
        <v>16:17:04</v>
      </c>
      <c r="K168">
        <v>-12.317852</v>
      </c>
      <c r="L168">
        <v>-76.82424</v>
      </c>
      <c r="M168">
        <f>HYPERLINK("https://www.google.com/maps/search/?api=1&amp;query=-12.317852,-76.82424","Punta Hermosa, Lima")</f>
      </c>
      <c r="N168">
        <v>0</v>
      </c>
      <c r="O168">
        <v>86</v>
      </c>
      <c r="P168">
        <v>70844</v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BXT-918</v>
      </c>
      <c r="D169" t="str">
        <v>BXT-918</v>
      </c>
      <c r="E169" t="str">
        <v/>
      </c>
      <c r="F169" t="str">
        <v>867806075765992</v>
      </c>
      <c r="G169" t="str">
        <v>TBD</v>
      </c>
      <c r="H169" t="str">
        <v/>
      </c>
      <c r="I169" t="str">
        <v>28/09/2026</v>
      </c>
      <c r="J169" t="str">
        <v>16:27:04</v>
      </c>
      <c r="K169">
        <v>-12.317852</v>
      </c>
      <c r="L169">
        <v>-76.82424</v>
      </c>
      <c r="M169">
        <f>HYPERLINK("https://www.google.com/maps/search/?api=1&amp;query=-12.317852,-76.82424","Punta Hermosa, Lima")</f>
      </c>
      <c r="N169">
        <v>0</v>
      </c>
      <c r="O169">
        <v>86</v>
      </c>
      <c r="P169">
        <v>70844</v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BXT-918</v>
      </c>
      <c r="D170" t="str">
        <v>BXT-918</v>
      </c>
      <c r="E170" t="str">
        <v/>
      </c>
      <c r="F170" t="str">
        <v>867806075765992</v>
      </c>
      <c r="G170" t="str">
        <v>TBD</v>
      </c>
      <c r="H170" t="str">
        <v/>
      </c>
      <c r="I170" t="str">
        <v>28/09/2026</v>
      </c>
      <c r="J170" t="str">
        <v>16:37:04</v>
      </c>
      <c r="K170">
        <v>-12.317852</v>
      </c>
      <c r="L170">
        <v>-76.82424</v>
      </c>
      <c r="M170">
        <f>HYPERLINK("https://www.google.com/maps/search/?api=1&amp;query=-12.317852,-76.82424","Punta Hermosa, Lima")</f>
      </c>
      <c r="N170">
        <v>0</v>
      </c>
      <c r="O170">
        <v>86</v>
      </c>
      <c r="P170">
        <v>70844</v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BXT-918</v>
      </c>
      <c r="D171" t="str">
        <v>BXT-918</v>
      </c>
      <c r="E171" t="str">
        <v/>
      </c>
      <c r="F171" t="str">
        <v>867806075765992</v>
      </c>
      <c r="G171" t="str">
        <v>TBD</v>
      </c>
      <c r="H171" t="str">
        <v/>
      </c>
      <c r="I171" t="str">
        <v>28/09/2026</v>
      </c>
      <c r="J171" t="str">
        <v>16:40:33</v>
      </c>
      <c r="K171">
        <v>-12.317852</v>
      </c>
      <c r="L171">
        <v>-76.82424</v>
      </c>
      <c r="M171">
        <f>HYPERLINK("https://www.google.com/maps/search/?api=1&amp;query=-12.317852,-76.82424","Punta Hermosa, Lima")</f>
      </c>
      <c r="N171">
        <v>0</v>
      </c>
      <c r="O171">
        <v>86</v>
      </c>
      <c r="P171">
        <v>70844</v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BXT-918</v>
      </c>
      <c r="D172" t="str">
        <v>BXT-918</v>
      </c>
      <c r="E172" t="str">
        <v/>
      </c>
      <c r="F172" t="str">
        <v>867806075765992</v>
      </c>
      <c r="G172" t="str">
        <v>TBD</v>
      </c>
      <c r="H172" t="str">
        <v/>
      </c>
      <c r="I172" t="str">
        <v>28/09/2026</v>
      </c>
      <c r="J172" t="str">
        <v>16:40:33</v>
      </c>
      <c r="K172">
        <v>-12.317852</v>
      </c>
      <c r="L172">
        <v>-76.82424</v>
      </c>
      <c r="M172">
        <f>HYPERLINK("https://www.google.com/maps/search/?api=1&amp;query=-12.317852,-76.82424","Punta Hermosa, Lima")</f>
      </c>
      <c r="N172">
        <v>0</v>
      </c>
      <c r="O172">
        <v>86</v>
      </c>
      <c r="P172">
        <v>70844</v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BXT-918</v>
      </c>
      <c r="D173" t="str">
        <v>BXT-918</v>
      </c>
      <c r="E173" t="str">
        <v/>
      </c>
      <c r="F173" t="str">
        <v>867806075765992</v>
      </c>
      <c r="G173" t="str">
        <v>TBD</v>
      </c>
      <c r="H173" t="str">
        <v/>
      </c>
      <c r="I173" t="str">
        <v>28/09/2026</v>
      </c>
      <c r="J173" t="str">
        <v>16:44:18</v>
      </c>
      <c r="K173">
        <v>-12.317727</v>
      </c>
      <c r="L173">
        <v>-76.82435</v>
      </c>
      <c r="M173">
        <f>HYPERLINK("https://www.google.com/maps/search/?api=1&amp;query=-12.317727,-76.82435","Punta Hermosa, Lima")</f>
      </c>
      <c r="N173">
        <v>0</v>
      </c>
      <c r="O173">
        <v>86</v>
      </c>
      <c r="P173">
        <v>70844</v>
      </c>
      <c r="Q173" t="str">
        <v/>
      </c>
      <c r="R173" t="str">
        <v>Inicio de ralentí</v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BXT-918</v>
      </c>
      <c r="D174" t="str">
        <v>BXT-918</v>
      </c>
      <c r="E174" t="str">
        <v/>
      </c>
      <c r="F174" t="str">
        <v>867806075765992</v>
      </c>
      <c r="G174" t="str">
        <v>TBD</v>
      </c>
      <c r="H174" t="str">
        <v/>
      </c>
      <c r="I174" t="str">
        <v>28/09/2026</v>
      </c>
      <c r="J174" t="str">
        <v>16:44:58</v>
      </c>
      <c r="K174">
        <v>-12.317727</v>
      </c>
      <c r="L174">
        <v>-76.82435</v>
      </c>
      <c r="M174">
        <f>HYPERLINK("https://www.google.com/maps/search/?api=1&amp;query=-12.317727,-76.82435","Punta Hermosa, Lima")</f>
      </c>
      <c r="N174">
        <v>0</v>
      </c>
      <c r="O174">
        <v>86</v>
      </c>
      <c r="P174">
        <v>70844</v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BXT-918</v>
      </c>
      <c r="D175" t="str">
        <v>BXT-918</v>
      </c>
      <c r="E175" t="str">
        <v/>
      </c>
      <c r="F175" t="str">
        <v>867806075765992</v>
      </c>
      <c r="G175" t="str">
        <v>TBD</v>
      </c>
      <c r="H175" t="str">
        <v/>
      </c>
      <c r="I175" t="str">
        <v>28/09/2026</v>
      </c>
      <c r="J175" t="str">
        <v>16:44:58</v>
      </c>
      <c r="K175">
        <v>-12.317727</v>
      </c>
      <c r="L175">
        <v>-76.82435</v>
      </c>
      <c r="M175">
        <f>HYPERLINK("https://www.google.com/maps/search/?api=1&amp;query=-12.317727,-76.82435","Punta Hermosa, Lima")</f>
      </c>
      <c r="N175">
        <v>0</v>
      </c>
      <c r="O175">
        <v>86</v>
      </c>
      <c r="P175">
        <v>70844</v>
      </c>
      <c r="Q175" t="str">
        <v/>
      </c>
      <c r="R175" t="str">
        <v>Fin de ralentí</v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BXT-918</v>
      </c>
      <c r="D176" t="str">
        <v>BXT-918</v>
      </c>
      <c r="E176" t="str">
        <v/>
      </c>
      <c r="F176" t="str">
        <v>867806075765992</v>
      </c>
      <c r="G176" t="str">
        <v>TBD</v>
      </c>
      <c r="H176" t="str">
        <v/>
      </c>
      <c r="I176" t="str">
        <v>28/09/2026</v>
      </c>
      <c r="J176" t="str">
        <v>16:47:04</v>
      </c>
      <c r="K176">
        <v>-12.317727</v>
      </c>
      <c r="L176">
        <v>-76.82435</v>
      </c>
      <c r="M176">
        <f>HYPERLINK("https://www.google.com/maps/search/?api=1&amp;query=-12.317727,-76.82435","Punta Hermosa, Lima")</f>
      </c>
      <c r="N176">
        <v>0</v>
      </c>
      <c r="O176">
        <v>86</v>
      </c>
      <c r="P176">
        <v>70844</v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BXT-918</v>
      </c>
      <c r="D177" t="str">
        <v>BXT-918</v>
      </c>
      <c r="E177" t="str">
        <v/>
      </c>
      <c r="F177" t="str">
        <v>867806075765992</v>
      </c>
      <c r="G177" t="str">
        <v>TBD</v>
      </c>
      <c r="H177" t="str">
        <v/>
      </c>
      <c r="I177" t="str">
        <v>28/09/2026</v>
      </c>
      <c r="J177" t="str">
        <v>16:48:40</v>
      </c>
      <c r="K177">
        <v>-12.317727</v>
      </c>
      <c r="L177">
        <v>-76.82435</v>
      </c>
      <c r="M177">
        <f>HYPERLINK("https://www.google.com/maps/search/?api=1&amp;query=-12.317727,-76.82435","Punta Hermosa, Lima")</f>
      </c>
      <c r="N177">
        <v>0</v>
      </c>
      <c r="O177">
        <v>86</v>
      </c>
      <c r="P177">
        <v>70844</v>
      </c>
      <c r="Q177" t="str">
        <v/>
      </c>
      <c r="R177" t="str">
        <v>Se detuvo</v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BXT-918</v>
      </c>
      <c r="D178" t="str">
        <v>BXT-918</v>
      </c>
      <c r="E178" t="str">
        <v/>
      </c>
      <c r="F178" t="str">
        <v>867806075765992</v>
      </c>
      <c r="G178" t="str">
        <v>TBD</v>
      </c>
      <c r="H178" t="str">
        <v/>
      </c>
      <c r="I178" t="str">
        <v>28/09/2026</v>
      </c>
      <c r="J178" t="str">
        <v>16:57:04</v>
      </c>
      <c r="K178">
        <v>-12.317727</v>
      </c>
      <c r="L178">
        <v>-76.82435</v>
      </c>
      <c r="M178">
        <f>HYPERLINK("https://www.google.com/maps/search/?api=1&amp;query=-12.317727,-76.82435","Punta Hermosa, Lima")</f>
      </c>
      <c r="N178">
        <v>0</v>
      </c>
      <c r="O178">
        <v>86</v>
      </c>
      <c r="P178">
        <v>70844</v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BXT-918</v>
      </c>
      <c r="D179" t="str">
        <v>BXT-918</v>
      </c>
      <c r="E179" t="str">
        <v/>
      </c>
      <c r="F179" t="str">
        <v>867806075765992</v>
      </c>
      <c r="G179" t="str">
        <v>TBD</v>
      </c>
      <c r="H179" t="str">
        <v/>
      </c>
      <c r="I179" t="str">
        <v>28/09/2026</v>
      </c>
      <c r="J179" t="str">
        <v>16:57:31</v>
      </c>
      <c r="K179">
        <v>-12.317727</v>
      </c>
      <c r="L179">
        <v>-76.82435</v>
      </c>
      <c r="M179">
        <f>HYPERLINK("https://www.google.com/maps/search/?api=1&amp;query=-12.317727,-76.82435","Punta Hermosa, Lima")</f>
      </c>
      <c r="N179">
        <v>0</v>
      </c>
      <c r="O179">
        <v>84</v>
      </c>
      <c r="P179">
        <v>70844</v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BXT-918</v>
      </c>
      <c r="D180" t="str">
        <v>BXT-918</v>
      </c>
      <c r="E180" t="str">
        <v/>
      </c>
      <c r="F180" t="str">
        <v>867806075765992</v>
      </c>
      <c r="G180" t="str">
        <v>TBD</v>
      </c>
      <c r="H180" t="str">
        <v/>
      </c>
      <c r="I180" t="str">
        <v>28/09/2026</v>
      </c>
      <c r="J180" t="str">
        <v>17:00:31</v>
      </c>
      <c r="K180">
        <v>-12.317727</v>
      </c>
      <c r="L180">
        <v>-76.82435</v>
      </c>
      <c r="M180">
        <f>HYPERLINK("https://www.google.com/maps/search/?api=1&amp;query=-12.317727,-76.82435","Punta Hermosa, Lima")</f>
      </c>
      <c r="N180">
        <v>0</v>
      </c>
      <c r="O180">
        <v>84</v>
      </c>
      <c r="P180">
        <v>70844</v>
      </c>
      <c r="Q180" t="str">
        <v/>
      </c>
      <c r="R180" t="str">
        <v>Inicio de ralentí</v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BXT-918</v>
      </c>
      <c r="D181" t="str">
        <v>BXT-918</v>
      </c>
      <c r="E181" t="str">
        <v/>
      </c>
      <c r="F181" t="str">
        <v>867806075765992</v>
      </c>
      <c r="G181" t="str">
        <v>TBD</v>
      </c>
      <c r="H181" t="str">
        <v/>
      </c>
      <c r="I181" t="str">
        <v>28/09/2026</v>
      </c>
      <c r="J181" t="str">
        <v>17:04:41</v>
      </c>
      <c r="K181">
        <v>-12.317727</v>
      </c>
      <c r="L181">
        <v>-76.82435</v>
      </c>
      <c r="M181">
        <f>HYPERLINK("https://www.google.com/maps/search/?api=1&amp;query=-12.317727,-76.82435","Punta Hermosa, Lima")</f>
      </c>
      <c r="N181">
        <v>0</v>
      </c>
      <c r="O181">
        <v>84</v>
      </c>
      <c r="P181">
        <v>70844</v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BXT-918</v>
      </c>
      <c r="D182" t="str">
        <v>BXT-918</v>
      </c>
      <c r="E182" t="str">
        <v/>
      </c>
      <c r="F182" t="str">
        <v>867806075765992</v>
      </c>
      <c r="G182" t="str">
        <v>TBD</v>
      </c>
      <c r="H182" t="str">
        <v/>
      </c>
      <c r="I182" t="str">
        <v>28/09/2026</v>
      </c>
      <c r="J182" t="str">
        <v>17:04:41</v>
      </c>
      <c r="K182">
        <v>-12.317727</v>
      </c>
      <c r="L182">
        <v>-76.82435</v>
      </c>
      <c r="M182">
        <f>HYPERLINK("https://www.google.com/maps/search/?api=1&amp;query=-12.317727,-76.82435","Punta Hermosa, Lima")</f>
      </c>
      <c r="N182">
        <v>0</v>
      </c>
      <c r="O182">
        <v>84</v>
      </c>
      <c r="P182">
        <v>70844</v>
      </c>
      <c r="Q182" t="str">
        <v/>
      </c>
      <c r="R182" t="str">
        <v>Fin de ralentí</v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BXT-918</v>
      </c>
      <c r="D183" t="str">
        <v>BXT-918</v>
      </c>
      <c r="E183" t="str">
        <v/>
      </c>
      <c r="F183" t="str">
        <v>867806075765992</v>
      </c>
      <c r="G183" t="str">
        <v>TBD</v>
      </c>
      <c r="H183" t="str">
        <v/>
      </c>
      <c r="I183" t="str">
        <v>28/09/2026</v>
      </c>
      <c r="J183" t="str">
        <v>17:07:04</v>
      </c>
      <c r="K183">
        <v>-12.317727</v>
      </c>
      <c r="L183">
        <v>-76.82435</v>
      </c>
      <c r="M183">
        <f>HYPERLINK("https://www.google.com/maps/search/?api=1&amp;query=-12.317727,-76.82435","Punta Hermosa, Lima")</f>
      </c>
      <c r="N183">
        <v>0</v>
      </c>
      <c r="O183">
        <v>84</v>
      </c>
      <c r="P183">
        <v>70844</v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BXT-918</v>
      </c>
      <c r="D184" t="str">
        <v>BXT-918</v>
      </c>
      <c r="E184" t="str">
        <v/>
      </c>
      <c r="F184" t="str">
        <v>867806075765992</v>
      </c>
      <c r="G184" t="str">
        <v>TBD</v>
      </c>
      <c r="H184" t="str">
        <v/>
      </c>
      <c r="I184" t="str">
        <v>28/09/2026</v>
      </c>
      <c r="J184" t="str">
        <v>17:09:27</v>
      </c>
      <c r="K184">
        <v>-12.317727</v>
      </c>
      <c r="L184">
        <v>-76.82435</v>
      </c>
      <c r="M184">
        <f>HYPERLINK("https://www.google.com/maps/search/?api=1&amp;query=-12.317727,-76.82435","Punta Hermosa, Lima")</f>
      </c>
      <c r="N184">
        <v>0</v>
      </c>
      <c r="O184">
        <v>80</v>
      </c>
      <c r="P184">
        <v>70844</v>
      </c>
      <c r="Q184" t="str">
        <v/>
      </c>
      <c r="R184" t="str">
        <v>Se detuvo</v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BXT-918</v>
      </c>
      <c r="D185" t="str">
        <v>BXT-918</v>
      </c>
      <c r="E185" t="str">
        <v/>
      </c>
      <c r="F185" t="str">
        <v>867806075765992</v>
      </c>
      <c r="G185" t="str">
        <v>TBD</v>
      </c>
      <c r="H185" t="str">
        <v/>
      </c>
      <c r="I185" t="str">
        <v>28/09/2026</v>
      </c>
      <c r="J185" t="str">
        <v>17:11:16</v>
      </c>
      <c r="K185">
        <v>-12.317727</v>
      </c>
      <c r="L185">
        <v>-76.82435</v>
      </c>
      <c r="M185">
        <f>HYPERLINK("https://www.google.com/maps/search/?api=1&amp;query=-12.317727,-76.82435","Punta Hermosa, Lima")</f>
      </c>
      <c r="N185">
        <v>0</v>
      </c>
      <c r="O185">
        <v>80</v>
      </c>
      <c r="P185">
        <v>70844</v>
      </c>
      <c r="Q185" t="str">
        <v/>
      </c>
      <c r="R185" t="str">
        <v>Encendido o Entró en cobertura</v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BXT-918</v>
      </c>
      <c r="D186" t="str">
        <v>BXT-918</v>
      </c>
      <c r="E186" t="str">
        <v/>
      </c>
      <c r="F186" t="str">
        <v>867806075765992</v>
      </c>
      <c r="G186" t="str">
        <v>TBD</v>
      </c>
      <c r="H186" t="str">
        <v/>
      </c>
      <c r="I186" t="str">
        <v>28/09/2026</v>
      </c>
      <c r="J186" t="str">
        <v>17:17:04</v>
      </c>
      <c r="K186">
        <v>-12.317727</v>
      </c>
      <c r="L186">
        <v>-76.82435</v>
      </c>
      <c r="M186">
        <f>HYPERLINK("https://www.google.com/maps/search/?api=1&amp;query=-12.317727,-76.82435","Punta Hermosa, Lima")</f>
      </c>
      <c r="N186">
        <v>0</v>
      </c>
      <c r="O186">
        <v>80</v>
      </c>
      <c r="P186">
        <v>70844</v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BXT-918</v>
      </c>
      <c r="D187" t="str">
        <v>BXT-918</v>
      </c>
      <c r="E187" t="str">
        <v/>
      </c>
      <c r="F187" t="str">
        <v>867806075765992</v>
      </c>
      <c r="G187" t="str">
        <v>TBD</v>
      </c>
      <c r="H187" t="str">
        <v/>
      </c>
      <c r="I187" t="str">
        <v>28/09/2026</v>
      </c>
      <c r="J187" t="str">
        <v>17:27:04</v>
      </c>
      <c r="K187">
        <v>-12.317727</v>
      </c>
      <c r="L187">
        <v>-76.82435</v>
      </c>
      <c r="M187">
        <f>HYPERLINK("https://www.google.com/maps/search/?api=1&amp;query=-12.317727,-76.82435","Punta Hermosa, Lima")</f>
      </c>
      <c r="N187">
        <v>0</v>
      </c>
      <c r="O187">
        <v>85</v>
      </c>
      <c r="P187">
        <v>70844</v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BXT-918</v>
      </c>
      <c r="D188" t="str">
        <v>BXT-918</v>
      </c>
      <c r="E188" t="str">
        <v/>
      </c>
      <c r="F188" t="str">
        <v>867806075765992</v>
      </c>
      <c r="G188" t="str">
        <v>TBD</v>
      </c>
      <c r="H188" t="str">
        <v/>
      </c>
      <c r="I188" t="str">
        <v>28/09/2026</v>
      </c>
      <c r="J188" t="str">
        <v>17:37:04</v>
      </c>
      <c r="K188">
        <v>-12.317727</v>
      </c>
      <c r="L188">
        <v>-76.82435</v>
      </c>
      <c r="M188">
        <f>HYPERLINK("https://www.google.com/maps/search/?api=1&amp;query=-12.317727,-76.82435","Punta Hermosa, Lima")</f>
      </c>
      <c r="N188">
        <v>0</v>
      </c>
      <c r="O188">
        <v>85</v>
      </c>
      <c r="P188">
        <v>70844</v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BXT-918</v>
      </c>
      <c r="D189" t="str">
        <v>BXT-918</v>
      </c>
      <c r="E189" t="str">
        <v/>
      </c>
      <c r="F189" t="str">
        <v>867806075765992</v>
      </c>
      <c r="G189" t="str">
        <v>TBD</v>
      </c>
      <c r="H189" t="str">
        <v/>
      </c>
      <c r="I189" t="str">
        <v>28/09/2026</v>
      </c>
      <c r="J189" t="str">
        <v>17:47:04</v>
      </c>
      <c r="K189">
        <v>-12.317727</v>
      </c>
      <c r="L189">
        <v>-76.82435</v>
      </c>
      <c r="M189">
        <f>HYPERLINK("https://www.google.com/maps/search/?api=1&amp;query=-12.317727,-76.82435","Punta Hermosa, Lima")</f>
      </c>
      <c r="N189">
        <v>0</v>
      </c>
      <c r="O189">
        <v>85</v>
      </c>
      <c r="P189">
        <v>70844</v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BXT-918</v>
      </c>
      <c r="D190" t="str">
        <v>BXT-918</v>
      </c>
      <c r="E190" t="str">
        <v/>
      </c>
      <c r="F190" t="str">
        <v>867806075765992</v>
      </c>
      <c r="G190" t="str">
        <v>TBD</v>
      </c>
      <c r="H190" t="str">
        <v/>
      </c>
      <c r="I190" t="str">
        <v>28/09/2026</v>
      </c>
      <c r="J190" t="str">
        <v>17:57:04</v>
      </c>
      <c r="K190">
        <v>-12.317727</v>
      </c>
      <c r="L190">
        <v>-76.82435</v>
      </c>
      <c r="M190">
        <f>HYPERLINK("https://www.google.com/maps/search/?api=1&amp;query=-12.317727,-76.82435","Punta Hermosa, Lima")</f>
      </c>
      <c r="N190">
        <v>0</v>
      </c>
      <c r="O190">
        <v>85</v>
      </c>
      <c r="P190">
        <v>70844</v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BXT-918</v>
      </c>
      <c r="D191" t="str">
        <v>BXT-918</v>
      </c>
      <c r="E191" t="str">
        <v/>
      </c>
      <c r="F191" t="str">
        <v>867806075765992</v>
      </c>
      <c r="G191" t="str">
        <v>TBD</v>
      </c>
      <c r="H191" t="str">
        <v/>
      </c>
      <c r="I191" t="str">
        <v>28/09/2026</v>
      </c>
      <c r="J191" t="str">
        <v>18:03:10</v>
      </c>
      <c r="K191">
        <v>-12.317727</v>
      </c>
      <c r="L191">
        <v>-76.82435</v>
      </c>
      <c r="M191">
        <f>HYPERLINK("https://www.google.com/maps/search/?api=1&amp;query=-12.317727,-76.82435","Punta Hermosa, Lima")</f>
      </c>
      <c r="N191">
        <v>0</v>
      </c>
      <c r="O191">
        <v>85</v>
      </c>
      <c r="P191">
        <v>70844</v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BXT-918</v>
      </c>
      <c r="D192" t="str">
        <v>BXT-918</v>
      </c>
      <c r="E192" t="str">
        <v/>
      </c>
      <c r="F192" t="str">
        <v>867806075765992</v>
      </c>
      <c r="G192" t="str">
        <v>TBD</v>
      </c>
      <c r="H192" t="str">
        <v/>
      </c>
      <c r="I192" t="str">
        <v>28/09/2026</v>
      </c>
      <c r="J192" t="str">
        <v>18:05:00</v>
      </c>
      <c r="K192">
        <v>-12.317681</v>
      </c>
      <c r="L192">
        <v>-76.824265</v>
      </c>
      <c r="M192">
        <f>HYPERLINK("https://www.google.com/maps/search/?api=1&amp;query=-12.317681,-76.824265","Punta Hermosa, Lima")</f>
      </c>
      <c r="N192">
        <v>0</v>
      </c>
      <c r="O192">
        <v>85</v>
      </c>
      <c r="P192">
        <v>70844</v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BXT-918</v>
      </c>
      <c r="D193" t="str">
        <v>BXT-918</v>
      </c>
      <c r="E193" t="str">
        <v/>
      </c>
      <c r="F193" t="str">
        <v>867806075765992</v>
      </c>
      <c r="G193" t="str">
        <v>TBD</v>
      </c>
      <c r="H193" t="str">
        <v/>
      </c>
      <c r="I193" t="str">
        <v>28/09/2026</v>
      </c>
      <c r="J193" t="str">
        <v>18:05:15</v>
      </c>
      <c r="K193">
        <v>-12.317681</v>
      </c>
      <c r="L193">
        <v>-76.824265</v>
      </c>
      <c r="M193">
        <f>HYPERLINK("https://www.google.com/maps/search/?api=1&amp;query=-12.317681,-76.824265","Punta Hermosa, Lima")</f>
      </c>
      <c r="N193">
        <v>0</v>
      </c>
      <c r="O193">
        <v>85</v>
      </c>
      <c r="P193">
        <v>70844</v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BXT-918</v>
      </c>
      <c r="D194" t="str">
        <v>BXT-918</v>
      </c>
      <c r="E194" t="str">
        <v/>
      </c>
      <c r="F194" t="str">
        <v>867806075765992</v>
      </c>
      <c r="G194" t="str">
        <v>TBD</v>
      </c>
      <c r="H194" t="str">
        <v/>
      </c>
      <c r="I194" t="str">
        <v>28/09/2026</v>
      </c>
      <c r="J194" t="str">
        <v>18:07:04</v>
      </c>
      <c r="K194">
        <v>-12.317681</v>
      </c>
      <c r="L194">
        <v>-76.824265</v>
      </c>
      <c r="M194">
        <f>HYPERLINK("https://www.google.com/maps/search/?api=1&amp;query=-12.317681,-76.824265","Punta Hermosa, Lima")</f>
      </c>
      <c r="N194">
        <v>0</v>
      </c>
      <c r="O194">
        <v>85</v>
      </c>
      <c r="P194">
        <v>70844</v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BXT-918</v>
      </c>
      <c r="D195" t="str">
        <v>BXT-918</v>
      </c>
      <c r="E195" t="str">
        <v/>
      </c>
      <c r="F195" t="str">
        <v>867806075765992</v>
      </c>
      <c r="G195" t="str">
        <v>TBD</v>
      </c>
      <c r="H195" t="str">
        <v/>
      </c>
      <c r="I195" t="str">
        <v>28/09/2026</v>
      </c>
      <c r="J195" t="str">
        <v>18:08:15</v>
      </c>
      <c r="K195">
        <v>-12.317681</v>
      </c>
      <c r="L195">
        <v>-76.824265</v>
      </c>
      <c r="M195">
        <f>HYPERLINK("https://www.google.com/maps/search/?api=1&amp;query=-12.317681,-76.824265","Punta Hermosa, Lima")</f>
      </c>
      <c r="N195">
        <v>0</v>
      </c>
      <c r="O195">
        <v>85</v>
      </c>
      <c r="P195">
        <v>70844</v>
      </c>
      <c r="Q195" t="str">
        <v/>
      </c>
      <c r="R195" t="str">
        <v>Inicio de ralentí</v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BXT-918</v>
      </c>
      <c r="D196" t="str">
        <v>BXT-918</v>
      </c>
      <c r="E196" t="str">
        <v/>
      </c>
      <c r="F196" t="str">
        <v>867806075765992</v>
      </c>
      <c r="G196" t="str">
        <v>TBD</v>
      </c>
      <c r="H196" t="str">
        <v/>
      </c>
      <c r="I196" t="str">
        <v>28/09/2026</v>
      </c>
      <c r="J196" t="str">
        <v>18:17:03</v>
      </c>
      <c r="K196">
        <v>-12.317714</v>
      </c>
      <c r="L196">
        <v>-76.824326</v>
      </c>
      <c r="M196">
        <f>HYPERLINK("https://www.google.com/maps/search/?api=1&amp;query=-12.317714,-76.824326","Punta Hermosa, Lima")</f>
      </c>
      <c r="N196">
        <v>5.7</v>
      </c>
      <c r="O196">
        <v>85</v>
      </c>
      <c r="P196">
        <v>70844</v>
      </c>
      <c r="Q196" t="str">
        <v/>
      </c>
      <c r="R196" t="str">
        <v>Fin de ralentí</v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BXT-918</v>
      </c>
      <c r="D197" t="str">
        <v>BXT-918</v>
      </c>
      <c r="E197" t="str">
        <v/>
      </c>
      <c r="F197" t="str">
        <v>867806075765992</v>
      </c>
      <c r="G197" t="str">
        <v>TBD</v>
      </c>
      <c r="H197" t="str">
        <v/>
      </c>
      <c r="I197" t="str">
        <v>28/09/2026</v>
      </c>
      <c r="J197" t="str">
        <v>18:17:04</v>
      </c>
      <c r="K197">
        <v>-12.317714</v>
      </c>
      <c r="L197">
        <v>-76.824326</v>
      </c>
      <c r="M197">
        <f>HYPERLINK("https://www.google.com/maps/search/?api=1&amp;query=-12.317714,-76.824326","Punta Hermosa, Lima")</f>
      </c>
      <c r="N197">
        <v>5.7</v>
      </c>
      <c r="O197">
        <v>85</v>
      </c>
      <c r="P197">
        <v>70844</v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BXT-918</v>
      </c>
      <c r="D198" t="str">
        <v>BXT-918</v>
      </c>
      <c r="E198" t="str">
        <v/>
      </c>
      <c r="F198" t="str">
        <v>867806075765992</v>
      </c>
      <c r="G198" t="str">
        <v>TBD</v>
      </c>
      <c r="H198" t="str">
        <v/>
      </c>
      <c r="I198" t="str">
        <v>28/09/2026</v>
      </c>
      <c r="J198" t="str">
        <v>18:27:04</v>
      </c>
      <c r="K198">
        <v>-12.292642</v>
      </c>
      <c r="L198">
        <v>-76.86327</v>
      </c>
      <c r="M198">
        <f>HYPERLINK("https://www.google.com/maps/search/?api=1&amp;query=-12.292642,-76.86327","Carretera Panamericana Sur, Lurín, Lima")</f>
      </c>
      <c r="N198">
        <v>54</v>
      </c>
      <c r="O198">
        <v>82</v>
      </c>
      <c r="P198">
        <v>70844</v>
      </c>
      <c r="Q198" t="str">
        <v/>
      </c>
      <c r="R198" t="str">
        <v>Salió de zona</v>
      </c>
      <c r="S198" t="str">
        <v>MASS BSF 1</v>
      </c>
      <c r="T198" t="str">
        <v xml:space="preserve"> </v>
      </c>
      <c r="U198" t="str">
        <v/>
      </c>
    </row>
    <row r="199">
      <c r="A199" t="str">
        <v>198</v>
      </c>
      <c r="B199" t="str">
        <v>MASS BSF</v>
      </c>
      <c r="C199" t="str">
        <v>BXT-918</v>
      </c>
      <c r="D199" t="str">
        <v>BXT-918</v>
      </c>
      <c r="E199" t="str">
        <v/>
      </c>
      <c r="F199" t="str">
        <v>867806075765992</v>
      </c>
      <c r="G199" t="str">
        <v>TBD</v>
      </c>
      <c r="H199" t="str">
        <v/>
      </c>
      <c r="I199" t="str">
        <v>28/09/2026</v>
      </c>
      <c r="J199" t="str">
        <v>18:27:04</v>
      </c>
      <c r="K199">
        <v>-12.292642</v>
      </c>
      <c r="L199">
        <v>-76.86327</v>
      </c>
      <c r="M199">
        <f>HYPERLINK("https://www.google.com/maps/search/?api=1&amp;query=-12.292642,-76.86327","Carretera Panamericana Sur, Lurín, Lima")</f>
      </c>
      <c r="N199">
        <v>54</v>
      </c>
      <c r="O199">
        <v>85</v>
      </c>
      <c r="P199">
        <v>70844</v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BXT-918</v>
      </c>
      <c r="D200" t="str">
        <v>BXT-918</v>
      </c>
      <c r="E200" t="str">
        <v/>
      </c>
      <c r="F200" t="str">
        <v>867806075765992</v>
      </c>
      <c r="G200" t="str">
        <v>TBD</v>
      </c>
      <c r="H200" t="str">
        <v/>
      </c>
      <c r="I200" t="str">
        <v>28/09/2026</v>
      </c>
      <c r="J200" t="str">
        <v>18:35:14</v>
      </c>
      <c r="K200">
        <v>-12.254485</v>
      </c>
      <c r="L200">
        <v>-76.920296</v>
      </c>
      <c r="M200">
        <f>HYPERLINK("https://www.google.com/maps/search/?api=1&amp;query=-12.254485,-76.920296","Antigua Panamericana Sur, Lurín, Lima")</f>
      </c>
      <c r="N200">
        <v>0</v>
      </c>
      <c r="O200">
        <v>85</v>
      </c>
      <c r="P200">
        <v>70844</v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BXT-918</v>
      </c>
      <c r="D201" t="str">
        <v>BXT-918</v>
      </c>
      <c r="E201" t="str">
        <v/>
      </c>
      <c r="F201" t="str">
        <v>867806075765992</v>
      </c>
      <c r="G201" t="str">
        <v>TBD</v>
      </c>
      <c r="H201" t="str">
        <v/>
      </c>
      <c r="I201" t="str">
        <v>28/09/2026</v>
      </c>
      <c r="J201" t="str">
        <v>18:45:14</v>
      </c>
      <c r="K201">
        <v>-12.244159</v>
      </c>
      <c r="L201">
        <v>-76.93995</v>
      </c>
      <c r="M201">
        <f>HYPERLINK("https://www.google.com/maps/search/?api=1&amp;query=-12.244159,-76.93995","Antigua Panamericana Sur, Villa El Salvador, Lima")</f>
      </c>
      <c r="N201">
        <v>40.5</v>
      </c>
      <c r="O201">
        <v>85</v>
      </c>
      <c r="P201">
        <v>70844</v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BXT-918</v>
      </c>
      <c r="D202" t="str">
        <v>BXT-918</v>
      </c>
      <c r="E202" t="str">
        <v/>
      </c>
      <c r="F202" t="str">
        <v>867806075765992</v>
      </c>
      <c r="G202" t="str">
        <v>TBD</v>
      </c>
      <c r="H202" t="str">
        <v/>
      </c>
      <c r="I202" t="str">
        <v>28/09/2026</v>
      </c>
      <c r="J202" t="str">
        <v>18:55:14</v>
      </c>
      <c r="K202">
        <v>-12.217258</v>
      </c>
      <c r="L202">
        <v>-76.96917</v>
      </c>
      <c r="M202">
        <f>HYPERLINK("https://www.google.com/maps/search/?api=1&amp;query=-12.217258,-76.96917","Avenida El Sol, Villa El Salvador, Lima")</f>
      </c>
      <c r="N202">
        <v>23.7</v>
      </c>
      <c r="O202">
        <v>76</v>
      </c>
      <c r="P202">
        <v>70844</v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BXT-918</v>
      </c>
      <c r="D203" t="str">
        <v>BXT-918</v>
      </c>
      <c r="E203" t="str">
        <v/>
      </c>
      <c r="F203" t="str">
        <v>867806075765992</v>
      </c>
      <c r="G203" t="str">
        <v>TBD</v>
      </c>
      <c r="H203" t="str">
        <v/>
      </c>
      <c r="I203" t="str">
        <v>28/09/2026</v>
      </c>
      <c r="J203" t="str">
        <v>19:04:09</v>
      </c>
      <c r="K203">
        <v>-12.212887</v>
      </c>
      <c r="L203">
        <v>-76.95918</v>
      </c>
      <c r="M203">
        <f>HYPERLINK("https://www.google.com/maps/search/?api=1&amp;query=-12.212887,-76.95918","Avenida Villa del Mar, Villa El Salvador, Lima")</f>
      </c>
      <c r="N203">
        <v>0</v>
      </c>
      <c r="O203">
        <v>84</v>
      </c>
      <c r="P203">
        <v>70844</v>
      </c>
      <c r="Q203" t="str">
        <v/>
      </c>
      <c r="R203" t="str">
        <v>Llegó a la zona</v>
      </c>
      <c r="S203" t="str">
        <v>BASE-OSLOGISTICS</v>
      </c>
      <c r="T203" t="str">
        <v xml:space="preserve"> </v>
      </c>
      <c r="U203" t="str">
        <v/>
      </c>
    </row>
    <row r="204">
      <c r="A204" t="str">
        <v>203</v>
      </c>
      <c r="B204" t="str">
        <v>MASS BSF</v>
      </c>
      <c r="C204" t="str">
        <v>BXT-918</v>
      </c>
      <c r="D204" t="str">
        <v>BXT-918</v>
      </c>
      <c r="E204" t="str">
        <v/>
      </c>
      <c r="F204" t="str">
        <v>867806075765992</v>
      </c>
      <c r="G204" t="str">
        <v>TBD</v>
      </c>
      <c r="H204" t="str">
        <v/>
      </c>
      <c r="I204" t="str">
        <v>28/09/2026</v>
      </c>
      <c r="J204" t="str">
        <v>19:04:09</v>
      </c>
      <c r="K204">
        <v>-12.212887</v>
      </c>
      <c r="L204">
        <v>-76.95918</v>
      </c>
      <c r="M204">
        <f>HYPERLINK("https://www.google.com/maps/search/?api=1&amp;query=-12.212887,-76.95918","Avenida Villa del Mar, Villa El Salvador, Lima")</f>
      </c>
      <c r="N204">
        <v>0</v>
      </c>
      <c r="O204">
        <v>84</v>
      </c>
      <c r="P204">
        <v>70844</v>
      </c>
      <c r="Q204" t="str">
        <v/>
      </c>
      <c r="R204" t="str">
        <v>Inicio de ralentí</v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BXT-918</v>
      </c>
      <c r="D205" t="str">
        <v>BXT-918</v>
      </c>
      <c r="E205" t="str">
        <v/>
      </c>
      <c r="F205" t="str">
        <v>867806075765992</v>
      </c>
      <c r="G205" t="str">
        <v>TBD</v>
      </c>
      <c r="H205" t="str">
        <v/>
      </c>
      <c r="I205" t="str">
        <v>28/09/2026</v>
      </c>
      <c r="J205" t="str">
        <v>19:05:14</v>
      </c>
      <c r="K205">
        <v>-12.212887</v>
      </c>
      <c r="L205">
        <v>-76.95918</v>
      </c>
      <c r="M205">
        <f>HYPERLINK("https://www.google.com/maps/search/?api=1&amp;query=-12.212887,-76.95918","Avenida Villa del Mar, Villa El Salvador, Lima")</f>
      </c>
      <c r="N205">
        <v>0</v>
      </c>
      <c r="O205">
        <v>84</v>
      </c>
      <c r="P205">
        <v>70844</v>
      </c>
      <c r="Q205" t="str">
        <v/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BXT-918</v>
      </c>
      <c r="D206" t="str">
        <v>BXT-918</v>
      </c>
      <c r="E206" t="str">
        <v/>
      </c>
      <c r="F206" t="str">
        <v>867806075765992</v>
      </c>
      <c r="G206" t="str">
        <v>TBD</v>
      </c>
      <c r="H206" t="str">
        <v/>
      </c>
      <c r="I206" t="str">
        <v>28/09/2026</v>
      </c>
      <c r="J206" t="str">
        <v>19:08:34</v>
      </c>
      <c r="K206">
        <v>-12.212887</v>
      </c>
      <c r="L206">
        <v>-76.95918</v>
      </c>
      <c r="M206">
        <f>HYPERLINK("https://www.google.com/maps/search/?api=1&amp;query=-12.212887,-76.95918","Avenida Villa del Mar, Villa El Salvador, Lima")</f>
      </c>
      <c r="N206">
        <v>0</v>
      </c>
      <c r="O206">
        <v>81</v>
      </c>
      <c r="P206">
        <v>70844</v>
      </c>
      <c r="Q206" t="str">
        <v/>
      </c>
      <c r="R206" t="str">
        <v>Se detuvo</v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BXT-918</v>
      </c>
      <c r="D207" t="str">
        <v>BXT-918</v>
      </c>
      <c r="E207" t="str">
        <v/>
      </c>
      <c r="F207" t="str">
        <v>867806075765992</v>
      </c>
      <c r="G207" t="str">
        <v>TBD</v>
      </c>
      <c r="H207" t="str">
        <v/>
      </c>
      <c r="I207" t="str">
        <v>28/09/2026</v>
      </c>
      <c r="J207" t="str">
        <v>19:15:14</v>
      </c>
      <c r="K207">
        <v>-12.213108</v>
      </c>
      <c r="L207">
        <v>-76.95908</v>
      </c>
      <c r="M207">
        <f>HYPERLINK("https://www.google.com/maps/search/?api=1&amp;query=-12.213108,-76.95908","Villa El Salvador, Lima")</f>
      </c>
      <c r="N207">
        <v>0</v>
      </c>
      <c r="O207">
        <v>81</v>
      </c>
      <c r="P207">
        <v>70844</v>
      </c>
      <c r="Q207" t="str">
        <v/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BXT-918</v>
      </c>
      <c r="D208" t="str">
        <v>BXT-918</v>
      </c>
      <c r="E208" t="str">
        <v/>
      </c>
      <c r="F208" t="str">
        <v>867806075765992</v>
      </c>
      <c r="G208" t="str">
        <v>TBD</v>
      </c>
      <c r="H208" t="str">
        <v/>
      </c>
      <c r="I208" t="str">
        <v>28/09/2026</v>
      </c>
      <c r="J208" t="str">
        <v>19:20:40</v>
      </c>
      <c r="K208">
        <v>-12.213108</v>
      </c>
      <c r="L208">
        <v>-76.95908</v>
      </c>
      <c r="M208">
        <f>HYPERLINK("https://www.google.com/maps/search/?api=1&amp;query=-12.213108,-76.95908","Villa El Salvador, Lima")</f>
      </c>
      <c r="N208">
        <v>0</v>
      </c>
      <c r="O208">
        <v>77</v>
      </c>
      <c r="P208">
        <v>70844</v>
      </c>
      <c r="Q208" t="str">
        <v/>
      </c>
      <c r="R208" t="str">
        <v>Fin de ralentí</v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BXT-918</v>
      </c>
      <c r="D209" t="str">
        <v>BXT-918</v>
      </c>
      <c r="E209" t="str">
        <v/>
      </c>
      <c r="F209" t="str">
        <v>867806075765992</v>
      </c>
      <c r="G209" t="str">
        <v>TBD</v>
      </c>
      <c r="H209" t="str">
        <v/>
      </c>
      <c r="I209" t="str">
        <v>28/09/2026</v>
      </c>
      <c r="J209" t="str">
        <v>19:20:40</v>
      </c>
      <c r="K209">
        <v>-12.213108</v>
      </c>
      <c r="L209">
        <v>-76.95908</v>
      </c>
      <c r="M209">
        <f>HYPERLINK("https://www.google.com/maps/search/?api=1&amp;query=-12.213108,-76.95908","Villa El Salvador, Lima")</f>
      </c>
      <c r="N209">
        <v>0</v>
      </c>
      <c r="O209">
        <v>77</v>
      </c>
      <c r="P209">
        <v>70844</v>
      </c>
      <c r="Q209" t="str">
        <v/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BXT-918</v>
      </c>
      <c r="D210" t="str">
        <v>BXT-918</v>
      </c>
      <c r="E210" t="str">
        <v/>
      </c>
      <c r="F210" t="str">
        <v>867806075765992</v>
      </c>
      <c r="G210" t="str">
        <v>TBD</v>
      </c>
      <c r="H210" t="str">
        <v/>
      </c>
      <c r="I210" t="str">
        <v>28/09/2026</v>
      </c>
      <c r="J210" t="str">
        <v>19:25:14</v>
      </c>
      <c r="K210">
        <v>-12.213108</v>
      </c>
      <c r="L210">
        <v>-76.95908</v>
      </c>
      <c r="M210">
        <f>HYPERLINK("https://www.google.com/maps/search/?api=1&amp;query=-12.213108,-76.95908","Villa El Salvador, Lima")</f>
      </c>
      <c r="N210">
        <v>0</v>
      </c>
      <c r="O210">
        <v>77</v>
      </c>
      <c r="P210">
        <v>70844</v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BXT-918</v>
      </c>
      <c r="D211" t="str">
        <v>BXT-918</v>
      </c>
      <c r="E211" t="str">
        <v/>
      </c>
      <c r="F211" t="str">
        <v>867806075765992</v>
      </c>
      <c r="G211" t="str">
        <v>TBD</v>
      </c>
      <c r="H211" t="str">
        <v/>
      </c>
      <c r="I211" t="str">
        <v>28/09/2026</v>
      </c>
      <c r="J211" t="str">
        <v>19:35:14</v>
      </c>
      <c r="K211">
        <v>-12.213108</v>
      </c>
      <c r="L211">
        <v>-76.95908</v>
      </c>
      <c r="M211">
        <f>HYPERLINK("https://www.google.com/maps/search/?api=1&amp;query=-12.213108,-76.95908","Villa El Salvador, Lima")</f>
      </c>
      <c r="N211">
        <v>0</v>
      </c>
      <c r="O211">
        <v>76</v>
      </c>
      <c r="P211">
        <v>70844</v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BXT-918</v>
      </c>
      <c r="D212" t="str">
        <v>BXT-918</v>
      </c>
      <c r="E212" t="str">
        <v/>
      </c>
      <c r="F212" t="str">
        <v>867806075765992</v>
      </c>
      <c r="G212" t="str">
        <v>TBD</v>
      </c>
      <c r="H212" t="str">
        <v/>
      </c>
      <c r="I212" t="str">
        <v>28/09/2026</v>
      </c>
      <c r="J212" t="str">
        <v>19:45:14</v>
      </c>
      <c r="K212">
        <v>-12.213108</v>
      </c>
      <c r="L212">
        <v>-76.95908</v>
      </c>
      <c r="M212">
        <f>HYPERLINK("https://www.google.com/maps/search/?api=1&amp;query=-12.213108,-76.95908","Villa El Salvador, Lima")</f>
      </c>
      <c r="N212">
        <v>0</v>
      </c>
      <c r="O212">
        <v>76</v>
      </c>
      <c r="P212">
        <v>70844</v>
      </c>
      <c r="Q212" t="str">
        <v/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BXT-918</v>
      </c>
      <c r="D213" t="str">
        <v>BXT-918</v>
      </c>
      <c r="E213" t="str">
        <v/>
      </c>
      <c r="F213" t="str">
        <v>867806075765992</v>
      </c>
      <c r="G213" t="str">
        <v>TBD</v>
      </c>
      <c r="H213" t="str">
        <v/>
      </c>
      <c r="I213" t="str">
        <v>28/09/2026</v>
      </c>
      <c r="J213" t="str">
        <v>19:55:14</v>
      </c>
      <c r="K213">
        <v>-12.213108</v>
      </c>
      <c r="L213">
        <v>-76.95908</v>
      </c>
      <c r="M213">
        <f>HYPERLINK("https://www.google.com/maps/search/?api=1&amp;query=-12.213108,-76.95908","Villa El Salvador, Lima")</f>
      </c>
      <c r="N213">
        <v>0</v>
      </c>
      <c r="O213">
        <v>76</v>
      </c>
      <c r="P213">
        <v>70844</v>
      </c>
      <c r="Q213" t="str">
        <v/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BXT-918</v>
      </c>
      <c r="D214" t="str">
        <v>BXT-918</v>
      </c>
      <c r="E214" t="str">
        <v/>
      </c>
      <c r="F214" t="str">
        <v>867806075765992</v>
      </c>
      <c r="G214" t="str">
        <v>TBD</v>
      </c>
      <c r="H214" t="str">
        <v/>
      </c>
      <c r="I214" t="str">
        <v>28/09/2026</v>
      </c>
      <c r="J214" t="str">
        <v>20:05:14</v>
      </c>
      <c r="K214">
        <v>-12.213108</v>
      </c>
      <c r="L214">
        <v>-76.95908</v>
      </c>
      <c r="M214">
        <f>HYPERLINK("https://www.google.com/maps/search/?api=1&amp;query=-12.213108,-76.95908","Villa El Salvador, Lima")</f>
      </c>
      <c r="N214">
        <v>0</v>
      </c>
      <c r="O214">
        <v>76</v>
      </c>
      <c r="P214">
        <v>70844</v>
      </c>
      <c r="Q214" t="str">
        <v/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BXT-918</v>
      </c>
      <c r="D215" t="str">
        <v>BXT-918</v>
      </c>
      <c r="E215" t="str">
        <v/>
      </c>
      <c r="F215" t="str">
        <v>867806075765992</v>
      </c>
      <c r="G215" t="str">
        <v>TBD</v>
      </c>
      <c r="H215" t="str">
        <v/>
      </c>
      <c r="I215" t="str">
        <v>28/09/2026</v>
      </c>
      <c r="J215" t="str">
        <v>20:15:14</v>
      </c>
      <c r="K215">
        <v>-12.213108</v>
      </c>
      <c r="L215">
        <v>-76.95908</v>
      </c>
      <c r="M215">
        <f>HYPERLINK("https://www.google.com/maps/search/?api=1&amp;query=-12.213108,-76.95908","Villa El Salvador, Lima")</f>
      </c>
      <c r="N215">
        <v>0</v>
      </c>
      <c r="O215">
        <v>76</v>
      </c>
      <c r="P215">
        <v>70844</v>
      </c>
      <c r="Q215" t="str">
        <v/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BXT-918</v>
      </c>
      <c r="D216" t="str">
        <v>BXT-918</v>
      </c>
      <c r="E216" t="str">
        <v/>
      </c>
      <c r="F216" t="str">
        <v>867806075765992</v>
      </c>
      <c r="G216" t="str">
        <v>TBD</v>
      </c>
      <c r="H216" t="str">
        <v/>
      </c>
      <c r="I216" t="str">
        <v>28/09/2026</v>
      </c>
      <c r="J216" t="str">
        <v>20:25:14</v>
      </c>
      <c r="K216">
        <v>-12.213108</v>
      </c>
      <c r="L216">
        <v>-76.95908</v>
      </c>
      <c r="M216">
        <f>HYPERLINK("https://www.google.com/maps/search/?api=1&amp;query=-12.213108,-76.95908","Villa El Salvador, Lima")</f>
      </c>
      <c r="N216">
        <v>0</v>
      </c>
      <c r="O216">
        <v>76</v>
      </c>
      <c r="P216">
        <v>70844</v>
      </c>
      <c r="Q216" t="str">
        <v/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BXT-918</v>
      </c>
      <c r="D217" t="str">
        <v>BXT-918</v>
      </c>
      <c r="E217" t="str">
        <v/>
      </c>
      <c r="F217" t="str">
        <v>867806075765992</v>
      </c>
      <c r="G217" t="str">
        <v>TBD</v>
      </c>
      <c r="H217" t="str">
        <v/>
      </c>
      <c r="I217" t="str">
        <v>28/09/2026</v>
      </c>
      <c r="J217" t="str">
        <v>20:35:14</v>
      </c>
      <c r="K217">
        <v>-12.213108</v>
      </c>
      <c r="L217">
        <v>-76.95908</v>
      </c>
      <c r="M217">
        <f>HYPERLINK("https://www.google.com/maps/search/?api=1&amp;query=-12.213108,-76.95908","Villa El Salvador, Lima")</f>
      </c>
      <c r="N217">
        <v>0</v>
      </c>
      <c r="O217">
        <v>76</v>
      </c>
      <c r="P217">
        <v>70844</v>
      </c>
      <c r="Q217" t="str">
        <v/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BXT-918</v>
      </c>
      <c r="D218" t="str">
        <v>BXT-918</v>
      </c>
      <c r="E218" t="str">
        <v/>
      </c>
      <c r="F218" t="str">
        <v>867806075765992</v>
      </c>
      <c r="G218" t="str">
        <v>TBD</v>
      </c>
      <c r="H218" t="str">
        <v/>
      </c>
      <c r="I218" t="str">
        <v>28/09/2026</v>
      </c>
      <c r="J218" t="str">
        <v>20:45:14</v>
      </c>
      <c r="K218">
        <v>-12.213108</v>
      </c>
      <c r="L218">
        <v>-76.95908</v>
      </c>
      <c r="M218">
        <f>HYPERLINK("https://www.google.com/maps/search/?api=1&amp;query=-12.213108,-76.95908","Villa El Salvador, Lima")</f>
      </c>
      <c r="N218">
        <v>0</v>
      </c>
      <c r="O218">
        <v>84</v>
      </c>
      <c r="P218">
        <v>70844</v>
      </c>
      <c r="Q218" t="str">
        <v/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BXT-918</v>
      </c>
      <c r="D219" t="str">
        <v>BXT-918</v>
      </c>
      <c r="E219" t="str">
        <v/>
      </c>
      <c r="F219" t="str">
        <v>867806075765992</v>
      </c>
      <c r="G219" t="str">
        <v>TBD</v>
      </c>
      <c r="H219" t="str">
        <v/>
      </c>
      <c r="I219" t="str">
        <v>28/09/2026</v>
      </c>
      <c r="J219" t="str">
        <v>20:55:14</v>
      </c>
      <c r="K219">
        <v>-12.213108</v>
      </c>
      <c r="L219">
        <v>-76.95908</v>
      </c>
      <c r="M219">
        <f>HYPERLINK("https://www.google.com/maps/search/?api=1&amp;query=-12.213108,-76.95908","Villa El Salvador, Lima")</f>
      </c>
      <c r="N219">
        <v>0</v>
      </c>
      <c r="O219">
        <v>84</v>
      </c>
      <c r="P219">
        <v>70844</v>
      </c>
      <c r="Q219" t="str">
        <v/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BXT-918</v>
      </c>
      <c r="D220" t="str">
        <v>BXT-918</v>
      </c>
      <c r="E220" t="str">
        <v/>
      </c>
      <c r="F220" t="str">
        <v>867806075765992</v>
      </c>
      <c r="G220" t="str">
        <v>TBD</v>
      </c>
      <c r="H220" t="str">
        <v/>
      </c>
      <c r="I220" t="str">
        <v>28/09/2026</v>
      </c>
      <c r="J220" t="str">
        <v>21:05:14</v>
      </c>
      <c r="K220">
        <v>-12.213108</v>
      </c>
      <c r="L220">
        <v>-76.95908</v>
      </c>
      <c r="M220">
        <f>HYPERLINK("https://www.google.com/maps/search/?api=1&amp;query=-12.213108,-76.95908","Villa El Salvador, Lima")</f>
      </c>
      <c r="N220">
        <v>0</v>
      </c>
      <c r="O220">
        <v>84</v>
      </c>
      <c r="P220">
        <v>70844</v>
      </c>
      <c r="Q220" t="str">
        <v/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BXT-918</v>
      </c>
      <c r="D221" t="str">
        <v>BXT-918</v>
      </c>
      <c r="E221" t="str">
        <v/>
      </c>
      <c r="F221" t="str">
        <v>867806075765992</v>
      </c>
      <c r="G221" t="str">
        <v>TBD</v>
      </c>
      <c r="H221" t="str">
        <v/>
      </c>
      <c r="I221" t="str">
        <v>28/09/2026</v>
      </c>
      <c r="J221" t="str">
        <v>21:15:14</v>
      </c>
      <c r="K221">
        <v>-12.213108</v>
      </c>
      <c r="L221">
        <v>-76.95908</v>
      </c>
      <c r="M221">
        <f>HYPERLINK("https://www.google.com/maps/search/?api=1&amp;query=-12.213108,-76.95908","Villa El Salvador, Lima")</f>
      </c>
      <c r="N221">
        <v>0</v>
      </c>
      <c r="O221">
        <v>83</v>
      </c>
      <c r="P221">
        <v>70844</v>
      </c>
      <c r="Q221" t="str">
        <v/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BXT-918</v>
      </c>
      <c r="D222" t="str">
        <v>BXT-918</v>
      </c>
      <c r="E222" t="str">
        <v/>
      </c>
      <c r="F222" t="str">
        <v>867806075765992</v>
      </c>
      <c r="G222" t="str">
        <v>TBD</v>
      </c>
      <c r="H222" t="str">
        <v/>
      </c>
      <c r="I222" t="str">
        <v>28/09/2026</v>
      </c>
      <c r="J222" t="str">
        <v>21:25:14</v>
      </c>
      <c r="K222">
        <v>-12.213108</v>
      </c>
      <c r="L222">
        <v>-76.95908</v>
      </c>
      <c r="M222">
        <f>HYPERLINK("https://www.google.com/maps/search/?api=1&amp;query=-12.213108,-76.95908","Villa El Salvador, Lima")</f>
      </c>
      <c r="N222">
        <v>0</v>
      </c>
      <c r="O222">
        <v>78</v>
      </c>
      <c r="P222">
        <v>70844</v>
      </c>
      <c r="Q222" t="str">
        <v/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BXT-918</v>
      </c>
      <c r="D223" t="str">
        <v>BXT-918</v>
      </c>
      <c r="E223" t="str">
        <v/>
      </c>
      <c r="F223" t="str">
        <v>867806075765992</v>
      </c>
      <c r="G223" t="str">
        <v>TBD</v>
      </c>
      <c r="H223" t="str">
        <v/>
      </c>
      <c r="I223" t="str">
        <v>28/09/2026</v>
      </c>
      <c r="J223" t="str">
        <v>21:35:14</v>
      </c>
      <c r="K223">
        <v>-12.213108</v>
      </c>
      <c r="L223">
        <v>-76.95908</v>
      </c>
      <c r="M223">
        <f>HYPERLINK("https://www.google.com/maps/search/?api=1&amp;query=-12.213108,-76.95908","Villa El Salvador, Lima")</f>
      </c>
      <c r="N223">
        <v>0</v>
      </c>
      <c r="O223">
        <v>82</v>
      </c>
      <c r="P223">
        <v>70844</v>
      </c>
      <c r="Q223" t="str">
        <v/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BXT-918</v>
      </c>
      <c r="D224" t="str">
        <v>BXT-918</v>
      </c>
      <c r="E224" t="str">
        <v/>
      </c>
      <c r="F224" t="str">
        <v>867806075765992</v>
      </c>
      <c r="G224" t="str">
        <v>TBD</v>
      </c>
      <c r="H224" t="str">
        <v/>
      </c>
      <c r="I224" t="str">
        <v>28/09/2026</v>
      </c>
      <c r="J224" t="str">
        <v>21:45:14</v>
      </c>
      <c r="K224">
        <v>-12.213108</v>
      </c>
      <c r="L224">
        <v>-76.95908</v>
      </c>
      <c r="M224">
        <f>HYPERLINK("https://www.google.com/maps/search/?api=1&amp;query=-12.213108,-76.95908","Villa El Salvador, Lima")</f>
      </c>
      <c r="N224">
        <v>0</v>
      </c>
      <c r="O224">
        <v>82</v>
      </c>
      <c r="P224">
        <v>70844</v>
      </c>
      <c r="Q224" t="str">
        <v/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BXT-918</v>
      </c>
      <c r="D225" t="str">
        <v>BXT-918</v>
      </c>
      <c r="E225" t="str">
        <v/>
      </c>
      <c r="F225" t="str">
        <v>867806075765992</v>
      </c>
      <c r="G225" t="str">
        <v>TBD</v>
      </c>
      <c r="H225" t="str">
        <v/>
      </c>
      <c r="I225" t="str">
        <v>28/09/2026</v>
      </c>
      <c r="J225" t="str">
        <v>21:55:14</v>
      </c>
      <c r="K225">
        <v>-12.213108</v>
      </c>
      <c r="L225">
        <v>-76.95908</v>
      </c>
      <c r="M225">
        <f>HYPERLINK("https://www.google.com/maps/search/?api=1&amp;query=-12.213108,-76.95908","Villa El Salvador, Lima")</f>
      </c>
      <c r="N225">
        <v>0</v>
      </c>
      <c r="O225">
        <v>82</v>
      </c>
      <c r="P225">
        <v>70844</v>
      </c>
      <c r="Q225" t="str">
        <v/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BXT-918</v>
      </c>
      <c r="D226" t="str">
        <v>BXT-918</v>
      </c>
      <c r="E226" t="str">
        <v/>
      </c>
      <c r="F226" t="str">
        <v>867806075765992</v>
      </c>
      <c r="G226" t="str">
        <v>TBD</v>
      </c>
      <c r="H226" t="str">
        <v/>
      </c>
      <c r="I226" t="str">
        <v>28/09/2026</v>
      </c>
      <c r="J226" t="str">
        <v>22:05:14</v>
      </c>
      <c r="K226">
        <v>-12.213108</v>
      </c>
      <c r="L226">
        <v>-76.95908</v>
      </c>
      <c r="M226">
        <f>HYPERLINK("https://www.google.com/maps/search/?api=1&amp;query=-12.213108,-76.95908","Villa El Salvador, Lima")</f>
      </c>
      <c r="N226">
        <v>0</v>
      </c>
      <c r="O226">
        <v>82</v>
      </c>
      <c r="P226">
        <v>70844</v>
      </c>
      <c r="Q226" t="str">
        <v/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BXT-918</v>
      </c>
      <c r="D227" t="str">
        <v>BXT-918</v>
      </c>
      <c r="E227" t="str">
        <v/>
      </c>
      <c r="F227" t="str">
        <v>867806075765992</v>
      </c>
      <c r="G227" t="str">
        <v>TBD</v>
      </c>
      <c r="H227" t="str">
        <v/>
      </c>
      <c r="I227" t="str">
        <v>28/09/2026</v>
      </c>
      <c r="J227" t="str">
        <v>22:15:14</v>
      </c>
      <c r="K227">
        <v>-12.213108</v>
      </c>
      <c r="L227">
        <v>-76.95908</v>
      </c>
      <c r="M227">
        <f>HYPERLINK("https://www.google.com/maps/search/?api=1&amp;query=-12.213108,-76.95908","Villa El Salvador, Lima")</f>
      </c>
      <c r="N227">
        <v>0</v>
      </c>
      <c r="O227">
        <v>82</v>
      </c>
      <c r="P227">
        <v>70844</v>
      </c>
      <c r="Q227" t="str">
        <v/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BXT-918</v>
      </c>
      <c r="D228" t="str">
        <v>BXT-918</v>
      </c>
      <c r="E228" t="str">
        <v/>
      </c>
      <c r="F228" t="str">
        <v>867806075765992</v>
      </c>
      <c r="G228" t="str">
        <v>TBD</v>
      </c>
      <c r="H228" t="str">
        <v/>
      </c>
      <c r="I228" t="str">
        <v>28/09/2026</v>
      </c>
      <c r="J228" t="str">
        <v>22:25:14</v>
      </c>
      <c r="K228">
        <v>-12.213108</v>
      </c>
      <c r="L228">
        <v>-76.95908</v>
      </c>
      <c r="M228">
        <f>HYPERLINK("https://www.google.com/maps/search/?api=1&amp;query=-12.213108,-76.95908","Villa El Salvador, Lima")</f>
      </c>
      <c r="N228">
        <v>0</v>
      </c>
      <c r="O228">
        <v>82</v>
      </c>
      <c r="P228">
        <v>70844</v>
      </c>
      <c r="Q228" t="str">
        <v/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BXT-918</v>
      </c>
      <c r="D229" t="str">
        <v>BXT-918</v>
      </c>
      <c r="E229" t="str">
        <v/>
      </c>
      <c r="F229" t="str">
        <v>867806075765992</v>
      </c>
      <c r="G229" t="str">
        <v>TBD</v>
      </c>
      <c r="H229" t="str">
        <v/>
      </c>
      <c r="I229" t="str">
        <v>28/09/2026</v>
      </c>
      <c r="J229" t="str">
        <v>22:35:14</v>
      </c>
      <c r="K229">
        <v>-12.213108</v>
      </c>
      <c r="L229">
        <v>-76.95908</v>
      </c>
      <c r="M229">
        <f>HYPERLINK("https://www.google.com/maps/search/?api=1&amp;query=-12.213108,-76.95908","Villa El Salvador, Lima")</f>
      </c>
      <c r="N229">
        <v>0</v>
      </c>
      <c r="O229">
        <v>82</v>
      </c>
      <c r="P229">
        <v>70844</v>
      </c>
      <c r="Q229" t="str">
        <v/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BXT-918</v>
      </c>
      <c r="D230" t="str">
        <v>BXT-918</v>
      </c>
      <c r="E230" t="str">
        <v/>
      </c>
      <c r="F230" t="str">
        <v>867806075765992</v>
      </c>
      <c r="G230" t="str">
        <v>TBD</v>
      </c>
      <c r="H230" t="str">
        <v/>
      </c>
      <c r="I230" t="str">
        <v>28/09/2026</v>
      </c>
      <c r="J230" t="str">
        <v>22:45:14</v>
      </c>
      <c r="K230">
        <v>-12.213108</v>
      </c>
      <c r="L230">
        <v>-76.95908</v>
      </c>
      <c r="M230">
        <f>HYPERLINK("https://www.google.com/maps/search/?api=1&amp;query=-12.213108,-76.95908","Villa El Salvador, Lima")</f>
      </c>
      <c r="N230">
        <v>0</v>
      </c>
      <c r="O230">
        <v>82</v>
      </c>
      <c r="P230">
        <v>70844</v>
      </c>
      <c r="Q230" t="str">
        <v/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BXT-918</v>
      </c>
      <c r="D231" t="str">
        <v>BXT-918</v>
      </c>
      <c r="E231" t="str">
        <v/>
      </c>
      <c r="F231" t="str">
        <v>867806075765992</v>
      </c>
      <c r="G231" t="str">
        <v>TBD</v>
      </c>
      <c r="H231" t="str">
        <v/>
      </c>
      <c r="I231" t="str">
        <v>28/09/2026</v>
      </c>
      <c r="J231" t="str">
        <v>22:55:14</v>
      </c>
      <c r="K231">
        <v>-12.213108</v>
      </c>
      <c r="L231">
        <v>-76.95908</v>
      </c>
      <c r="M231">
        <f>HYPERLINK("https://www.google.com/maps/search/?api=1&amp;query=-12.213108,-76.95908","Villa El Salvador, Lima")</f>
      </c>
      <c r="N231">
        <v>0</v>
      </c>
      <c r="O231">
        <v>82</v>
      </c>
      <c r="P231">
        <v>70844</v>
      </c>
      <c r="Q231" t="str">
        <v/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BXT-918</v>
      </c>
      <c r="D232" t="str">
        <v>BXT-918</v>
      </c>
      <c r="E232" t="str">
        <v/>
      </c>
      <c r="F232" t="str">
        <v>867806075765992</v>
      </c>
      <c r="G232" t="str">
        <v>TBD</v>
      </c>
      <c r="H232" t="str">
        <v/>
      </c>
      <c r="I232" t="str">
        <v>28/09/2026</v>
      </c>
      <c r="J232" t="str">
        <v>23:05:09</v>
      </c>
      <c r="K232">
        <v>-12.213108</v>
      </c>
      <c r="L232">
        <v>-76.95908</v>
      </c>
      <c r="M232">
        <f>HYPERLINK("https://www.google.com/maps/search/?api=1&amp;query=-12.213108,-76.95908","Villa El Salvador, Lima")</f>
      </c>
      <c r="N232">
        <v>0</v>
      </c>
      <c r="O232">
        <v>77</v>
      </c>
      <c r="P232">
        <v>70844</v>
      </c>
      <c r="Q232" t="str">
        <v/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BXT-918</v>
      </c>
      <c r="D233" t="str">
        <v>BXT-918</v>
      </c>
      <c r="E233" t="str">
        <v/>
      </c>
      <c r="F233" t="str">
        <v>867806075765992</v>
      </c>
      <c r="G233" t="str">
        <v>TBD</v>
      </c>
      <c r="H233" t="str">
        <v/>
      </c>
      <c r="I233" t="str">
        <v>28/09/2026</v>
      </c>
      <c r="J233" t="str">
        <v>23:15:09</v>
      </c>
      <c r="K233">
        <v>-12.213108</v>
      </c>
      <c r="L233">
        <v>-76.95908</v>
      </c>
      <c r="M233">
        <f>HYPERLINK("https://www.google.com/maps/search/?api=1&amp;query=-12.213108,-76.95908","Villa El Salvador, Lima")</f>
      </c>
      <c r="N233">
        <v>0</v>
      </c>
      <c r="O233">
        <v>77</v>
      </c>
      <c r="P233">
        <v>70844</v>
      </c>
      <c r="Q233" t="str">
        <v/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BXT-918</v>
      </c>
      <c r="D234" t="str">
        <v>BXT-918</v>
      </c>
      <c r="E234" t="str">
        <v/>
      </c>
      <c r="F234" t="str">
        <v>867806075765992</v>
      </c>
      <c r="G234" t="str">
        <v>TBD</v>
      </c>
      <c r="H234" t="str">
        <v/>
      </c>
      <c r="I234" t="str">
        <v>28/09/2026</v>
      </c>
      <c r="J234" t="str">
        <v>23:25:09</v>
      </c>
      <c r="K234">
        <v>-12.213108</v>
      </c>
      <c r="L234">
        <v>-76.95908</v>
      </c>
      <c r="M234">
        <f>HYPERLINK("https://www.google.com/maps/search/?api=1&amp;query=-12.213108,-76.95908","Villa El Salvador, Lima")</f>
      </c>
      <c r="N234">
        <v>0</v>
      </c>
      <c r="O234">
        <v>77</v>
      </c>
      <c r="P234">
        <v>70844</v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BXT-918</v>
      </c>
      <c r="D235" t="str">
        <v>BXT-918</v>
      </c>
      <c r="E235" t="str">
        <v/>
      </c>
      <c r="F235" t="str">
        <v>867806075765992</v>
      </c>
      <c r="G235" t="str">
        <v>TBD</v>
      </c>
      <c r="H235" t="str">
        <v/>
      </c>
      <c r="I235" t="str">
        <v>28/09/2026</v>
      </c>
      <c r="J235" t="str">
        <v>23:35:09</v>
      </c>
      <c r="K235">
        <v>-12.213108</v>
      </c>
      <c r="L235">
        <v>-76.95908</v>
      </c>
      <c r="M235">
        <f>HYPERLINK("https://www.google.com/maps/search/?api=1&amp;query=-12.213108,-76.95908","Villa El Salvador, Lima")</f>
      </c>
      <c r="N235">
        <v>0</v>
      </c>
      <c r="O235">
        <v>77</v>
      </c>
      <c r="P235">
        <v>70844</v>
      </c>
      <c r="Q235" t="str">
        <v/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BXT-918</v>
      </c>
      <c r="D236" t="str">
        <v>BXT-918</v>
      </c>
      <c r="E236" t="str">
        <v/>
      </c>
      <c r="F236" t="str">
        <v>867806075765992</v>
      </c>
      <c r="G236" t="str">
        <v>TBD</v>
      </c>
      <c r="H236" t="str">
        <v/>
      </c>
      <c r="I236" t="str">
        <v>28/09/2026</v>
      </c>
      <c r="J236" t="str">
        <v>23:45:09</v>
      </c>
      <c r="K236">
        <v>-12.213108</v>
      </c>
      <c r="L236">
        <v>-76.95908</v>
      </c>
      <c r="M236">
        <f>HYPERLINK("https://www.google.com/maps/search/?api=1&amp;query=-12.213108,-76.95908","Villa El Salvador, Lima")</f>
      </c>
      <c r="N236">
        <v>0</v>
      </c>
      <c r="O236">
        <v>77</v>
      </c>
      <c r="P236">
        <v>70844</v>
      </c>
      <c r="Q236" t="str">
        <v/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BXT-918</v>
      </c>
      <c r="D237" t="str">
        <v>BXT-918</v>
      </c>
      <c r="E237" t="str">
        <v/>
      </c>
      <c r="F237" t="str">
        <v>867806075765992</v>
      </c>
      <c r="G237" t="str">
        <v>TBD</v>
      </c>
      <c r="H237" t="str">
        <v/>
      </c>
      <c r="I237" t="str">
        <v>28/09/2026</v>
      </c>
      <c r="J237" t="str">
        <v>23:55:09</v>
      </c>
      <c r="K237">
        <v>-12.213108</v>
      </c>
      <c r="L237">
        <v>-76.95908</v>
      </c>
      <c r="M237">
        <f>HYPERLINK("https://www.google.com/maps/search/?api=1&amp;query=-12.213108,-76.95908","Villa El Salvador, Lima")</f>
      </c>
      <c r="N237">
        <v>0</v>
      </c>
      <c r="O237">
        <v>77</v>
      </c>
      <c r="P237">
        <v>70844</v>
      </c>
      <c r="Q237" t="str">
        <v/>
      </c>
      <c r="R237" t="str">
        <v/>
      </c>
      <c r="S237" t="str">
        <v/>
      </c>
      <c r="T237" t="str">
        <v/>
      </c>
      <c r="U237" t="str">
        <v/>
      </c>
    </row>
  </sheetData>
  <ignoredErrors>
    <ignoredError numberStoredAsText="1" sqref="A1:U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