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CKL-718</v>
      </c>
      <c r="D2" t="str">
        <v>CKL-718</v>
      </c>
      <c r="E2" t="str">
        <v/>
      </c>
      <c r="F2" t="str">
        <v>867162029820636</v>
      </c>
      <c r="G2" t="str">
        <v>TBD</v>
      </c>
      <c r="H2" t="str">
        <v/>
      </c>
      <c r="I2" t="str">
        <v>28/09/2026</v>
      </c>
      <c r="J2" t="str">
        <v>00:02:23</v>
      </c>
      <c r="K2">
        <v>-12.229998</v>
      </c>
      <c r="L2">
        <v>-76.90231</v>
      </c>
      <c r="M2">
        <f>HYPERLINK("https://www.google.com/maps/search/?api=1&amp;query=-12.229998,-76.90231","Lurín, Lima")</f>
      </c>
      <c r="N2">
        <v>0</v>
      </c>
      <c r="O2">
        <v>100</v>
      </c>
      <c r="P2">
        <v>22596.7</v>
      </c>
      <c r="Q2" t="str">
        <v>120.83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CKL-718</v>
      </c>
      <c r="D3" t="str">
        <v>CKL-718</v>
      </c>
      <c r="E3" t="str">
        <v/>
      </c>
      <c r="F3" t="str">
        <v>867162029820636</v>
      </c>
      <c r="G3" t="str">
        <v>TBD</v>
      </c>
      <c r="H3" t="str">
        <v/>
      </c>
      <c r="I3" t="str">
        <v>28/09/2026</v>
      </c>
      <c r="J3" t="str">
        <v>00:32:28</v>
      </c>
      <c r="K3">
        <v>-12.229998</v>
      </c>
      <c r="L3">
        <v>-76.90231</v>
      </c>
      <c r="M3">
        <f>HYPERLINK("https://www.google.com/maps/search/?api=1&amp;query=-12.229998,-76.90231","Lurín, Lima")</f>
      </c>
      <c r="N3">
        <v>0</v>
      </c>
      <c r="O3">
        <v>100</v>
      </c>
      <c r="P3">
        <v>22596.7</v>
      </c>
      <c r="Q3" t="str">
        <v>120.83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CKL-718</v>
      </c>
      <c r="D4" t="str">
        <v>CKL-718</v>
      </c>
      <c r="E4" t="str">
        <v/>
      </c>
      <c r="F4" t="str">
        <v>867162029820636</v>
      </c>
      <c r="G4" t="str">
        <v>TBD</v>
      </c>
      <c r="H4" t="str">
        <v/>
      </c>
      <c r="I4" t="str">
        <v>28/09/2026</v>
      </c>
      <c r="J4" t="str">
        <v>01:02:32</v>
      </c>
      <c r="K4">
        <v>-12.229998</v>
      </c>
      <c r="L4">
        <v>-76.90231</v>
      </c>
      <c r="M4">
        <f>HYPERLINK("https://www.google.com/maps/search/?api=1&amp;query=-12.229998,-76.90231","Lurín, Lima")</f>
      </c>
      <c r="N4">
        <v>0</v>
      </c>
      <c r="O4">
        <v>100</v>
      </c>
      <c r="P4">
        <v>22596.7</v>
      </c>
      <c r="Q4" t="str">
        <v>120.83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CKL-718</v>
      </c>
      <c r="D5" t="str">
        <v>CKL-718</v>
      </c>
      <c r="E5" t="str">
        <v/>
      </c>
      <c r="F5" t="str">
        <v>867162029820636</v>
      </c>
      <c r="G5" t="str">
        <v>TBD</v>
      </c>
      <c r="H5" t="str">
        <v/>
      </c>
      <c r="I5" t="str">
        <v>28/09/2026</v>
      </c>
      <c r="J5" t="str">
        <v>01:32:37</v>
      </c>
      <c r="K5">
        <v>-12.229998</v>
      </c>
      <c r="L5">
        <v>-76.90231</v>
      </c>
      <c r="M5">
        <f>HYPERLINK("https://www.google.com/maps/search/?api=1&amp;query=-12.229998,-76.90231","Lurín, Lima")</f>
      </c>
      <c r="N5">
        <v>0</v>
      </c>
      <c r="O5">
        <v>100</v>
      </c>
      <c r="P5">
        <v>22596.7</v>
      </c>
      <c r="Q5" t="str">
        <v>120.83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CKL-718</v>
      </c>
      <c r="D6" t="str">
        <v>CKL-718</v>
      </c>
      <c r="E6" t="str">
        <v/>
      </c>
      <c r="F6" t="str">
        <v>867162029820636</v>
      </c>
      <c r="G6" t="str">
        <v>TBD</v>
      </c>
      <c r="H6" t="str">
        <v/>
      </c>
      <c r="I6" t="str">
        <v>28/09/2026</v>
      </c>
      <c r="J6" t="str">
        <v>02:02:42</v>
      </c>
      <c r="K6">
        <v>-12.229998</v>
      </c>
      <c r="L6">
        <v>-76.90231</v>
      </c>
      <c r="M6">
        <f>HYPERLINK("https://www.google.com/maps/search/?api=1&amp;query=-12.229998,-76.90231","Lurín, Lima")</f>
      </c>
      <c r="N6">
        <v>0</v>
      </c>
      <c r="O6">
        <v>100</v>
      </c>
      <c r="P6">
        <v>22596.7</v>
      </c>
      <c r="Q6" t="str">
        <v>120.83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CKL-718</v>
      </c>
      <c r="D7" t="str">
        <v>CKL-718</v>
      </c>
      <c r="E7" t="str">
        <v/>
      </c>
      <c r="F7" t="str">
        <v>867162029820636</v>
      </c>
      <c r="G7" t="str">
        <v>TBD</v>
      </c>
      <c r="H7" t="str">
        <v/>
      </c>
      <c r="I7" t="str">
        <v>28/09/2026</v>
      </c>
      <c r="J7" t="str">
        <v>02:32:46</v>
      </c>
      <c r="K7">
        <v>-12.229998</v>
      </c>
      <c r="L7">
        <v>-76.90231</v>
      </c>
      <c r="M7">
        <f>HYPERLINK("https://www.google.com/maps/search/?api=1&amp;query=-12.229998,-76.90231","Lurín, Lima")</f>
      </c>
      <c r="N7">
        <v>0</v>
      </c>
      <c r="O7">
        <v>100</v>
      </c>
      <c r="P7">
        <v>22596.7</v>
      </c>
      <c r="Q7" t="str">
        <v>120.83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CKL-718</v>
      </c>
      <c r="D8" t="str">
        <v>CKL-718</v>
      </c>
      <c r="E8" t="str">
        <v/>
      </c>
      <c r="F8" t="str">
        <v>867162029820636</v>
      </c>
      <c r="G8" t="str">
        <v>TBD</v>
      </c>
      <c r="H8" t="str">
        <v/>
      </c>
      <c r="I8" t="str">
        <v>28/09/2026</v>
      </c>
      <c r="J8" t="str">
        <v>03:02:51</v>
      </c>
      <c r="K8">
        <v>-12.229998</v>
      </c>
      <c r="L8">
        <v>-76.90231</v>
      </c>
      <c r="M8">
        <f>HYPERLINK("https://www.google.com/maps/search/?api=1&amp;query=-12.229998,-76.90231","Lurín, Lima")</f>
      </c>
      <c r="N8">
        <v>0</v>
      </c>
      <c r="O8">
        <v>100</v>
      </c>
      <c r="P8">
        <v>22596.7</v>
      </c>
      <c r="Q8" t="str">
        <v>120.83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CKL-718</v>
      </c>
      <c r="D9" t="str">
        <v>CKL-718</v>
      </c>
      <c r="E9" t="str">
        <v/>
      </c>
      <c r="F9" t="str">
        <v>867162029820636</v>
      </c>
      <c r="G9" t="str">
        <v>TBD</v>
      </c>
      <c r="H9" t="str">
        <v/>
      </c>
      <c r="I9" t="str">
        <v>28/09/2026</v>
      </c>
      <c r="J9" t="str">
        <v>03:32:56</v>
      </c>
      <c r="K9">
        <v>-12.229998</v>
      </c>
      <c r="L9">
        <v>-76.90231</v>
      </c>
      <c r="M9">
        <f>HYPERLINK("https://www.google.com/maps/search/?api=1&amp;query=-12.229998,-76.90231","Lurín, Lima")</f>
      </c>
      <c r="N9">
        <v>0</v>
      </c>
      <c r="O9">
        <v>100</v>
      </c>
      <c r="P9">
        <v>22596.7</v>
      </c>
      <c r="Q9" t="str">
        <v>120.83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CKL-718</v>
      </c>
      <c r="D10" t="str">
        <v>CKL-718</v>
      </c>
      <c r="E10" t="str">
        <v/>
      </c>
      <c r="F10" t="str">
        <v>867162029820636</v>
      </c>
      <c r="G10" t="str">
        <v>TBD</v>
      </c>
      <c r="H10" t="str">
        <v/>
      </c>
      <c r="I10" t="str">
        <v>28/09/2026</v>
      </c>
      <c r="J10" t="str">
        <v>04:03:01</v>
      </c>
      <c r="K10">
        <v>-12.229998</v>
      </c>
      <c r="L10">
        <v>-76.90231</v>
      </c>
      <c r="M10">
        <f>HYPERLINK("https://www.google.com/maps/search/?api=1&amp;query=-12.229998,-76.90231","Lurín, Lima")</f>
      </c>
      <c r="N10">
        <v>0</v>
      </c>
      <c r="O10">
        <v>100</v>
      </c>
      <c r="P10">
        <v>22596.7</v>
      </c>
      <c r="Q10" t="str">
        <v>120.83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CKL-718</v>
      </c>
      <c r="D11" t="str">
        <v>CKL-718</v>
      </c>
      <c r="E11" t="str">
        <v/>
      </c>
      <c r="F11" t="str">
        <v>867162029820636</v>
      </c>
      <c r="G11" t="str">
        <v>TBD</v>
      </c>
      <c r="H11" t="str">
        <v/>
      </c>
      <c r="I11" t="str">
        <v>28/09/2026</v>
      </c>
      <c r="J11" t="str">
        <v>04:33:05</v>
      </c>
      <c r="K11">
        <v>-12.229998</v>
      </c>
      <c r="L11">
        <v>-76.90231</v>
      </c>
      <c r="M11">
        <f>HYPERLINK("https://www.google.com/maps/search/?api=1&amp;query=-12.229998,-76.90231","Lurín, Lima")</f>
      </c>
      <c r="N11">
        <v>0</v>
      </c>
      <c r="O11">
        <v>100</v>
      </c>
      <c r="P11">
        <v>22596.7</v>
      </c>
      <c r="Q11" t="str">
        <v>120.83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CKL-718</v>
      </c>
      <c r="D12" t="str">
        <v>CKL-718</v>
      </c>
      <c r="E12" t="str">
        <v/>
      </c>
      <c r="F12" t="str">
        <v>867162029820636</v>
      </c>
      <c r="G12" t="str">
        <v>TBD</v>
      </c>
      <c r="H12" t="str">
        <v/>
      </c>
      <c r="I12" t="str">
        <v>28/09/2026</v>
      </c>
      <c r="J12" t="str">
        <v>05:03:10</v>
      </c>
      <c r="K12">
        <v>-12.229998</v>
      </c>
      <c r="L12">
        <v>-76.90231</v>
      </c>
      <c r="M12">
        <f>HYPERLINK("https://www.google.com/maps/search/?api=1&amp;query=-12.229998,-76.90231","Lurín, Lima")</f>
      </c>
      <c r="N12">
        <v>0</v>
      </c>
      <c r="O12">
        <v>100</v>
      </c>
      <c r="P12">
        <v>22596.7</v>
      </c>
      <c r="Q12" t="str">
        <v>120.83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CKL-718</v>
      </c>
      <c r="D13" t="str">
        <v>CKL-718</v>
      </c>
      <c r="E13" t="str">
        <v/>
      </c>
      <c r="F13" t="str">
        <v>867162029820636</v>
      </c>
      <c r="G13" t="str">
        <v>TBD</v>
      </c>
      <c r="H13" t="str">
        <v/>
      </c>
      <c r="I13" t="str">
        <v>28/09/2026</v>
      </c>
      <c r="J13" t="str">
        <v>05:33:15</v>
      </c>
      <c r="K13">
        <v>-12.229998</v>
      </c>
      <c r="L13">
        <v>-76.90231</v>
      </c>
      <c r="M13">
        <f>HYPERLINK("https://www.google.com/maps/search/?api=1&amp;query=-12.229998,-76.90231","Lurín, Lima")</f>
      </c>
      <c r="N13">
        <v>0</v>
      </c>
      <c r="O13">
        <v>100</v>
      </c>
      <c r="P13">
        <v>22596.7</v>
      </c>
      <c r="Q13" t="str">
        <v>120.83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CKL-718</v>
      </c>
      <c r="D14" t="str">
        <v>CKL-718</v>
      </c>
      <c r="E14" t="str">
        <v/>
      </c>
      <c r="F14" t="str">
        <v>867162029820636</v>
      </c>
      <c r="G14" t="str">
        <v>TBD</v>
      </c>
      <c r="H14" t="str">
        <v/>
      </c>
      <c r="I14" t="str">
        <v>28/09/2026</v>
      </c>
      <c r="J14" t="str">
        <v>06:03:19</v>
      </c>
      <c r="K14">
        <v>-12.229998</v>
      </c>
      <c r="L14">
        <v>-76.90231</v>
      </c>
      <c r="M14">
        <f>HYPERLINK("https://www.google.com/maps/search/?api=1&amp;query=-12.229998,-76.90231","Lurín, Lima")</f>
      </c>
      <c r="N14">
        <v>0</v>
      </c>
      <c r="O14">
        <v>100</v>
      </c>
      <c r="P14">
        <v>22596.7</v>
      </c>
      <c r="Q14" t="str">
        <v>120.83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CKL-718</v>
      </c>
      <c r="D15" t="str">
        <v>CKL-718</v>
      </c>
      <c r="E15" t="str">
        <v/>
      </c>
      <c r="F15" t="str">
        <v>867162029820636</v>
      </c>
      <c r="G15" t="str">
        <v>TBD</v>
      </c>
      <c r="H15" t="str">
        <v/>
      </c>
      <c r="I15" t="str">
        <v>28/09/2026</v>
      </c>
      <c r="J15" t="str">
        <v>06:33:24</v>
      </c>
      <c r="K15">
        <v>-12.229998</v>
      </c>
      <c r="L15">
        <v>-76.90231</v>
      </c>
      <c r="M15">
        <f>HYPERLINK("https://www.google.com/maps/search/?api=1&amp;query=-12.229998,-76.90231","Lurín, Lima")</f>
      </c>
      <c r="N15">
        <v>0</v>
      </c>
      <c r="O15">
        <v>100</v>
      </c>
      <c r="P15">
        <v>22596.7</v>
      </c>
      <c r="Q15" t="str">
        <v>120.83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CKL-718</v>
      </c>
      <c r="D16" t="str">
        <v>CKL-718</v>
      </c>
      <c r="E16" t="str">
        <v/>
      </c>
      <c r="F16" t="str">
        <v>867162029820636</v>
      </c>
      <c r="G16" t="str">
        <v>TBD</v>
      </c>
      <c r="H16" t="str">
        <v/>
      </c>
      <c r="I16" t="str">
        <v>28/09/2026</v>
      </c>
      <c r="J16" t="str">
        <v>07:03:29</v>
      </c>
      <c r="K16">
        <v>-12.229998</v>
      </c>
      <c r="L16">
        <v>-76.90231</v>
      </c>
      <c r="M16">
        <f>HYPERLINK("https://www.google.com/maps/search/?api=1&amp;query=-12.229998,-76.90231","Lurín, Lima")</f>
      </c>
      <c r="N16">
        <v>0</v>
      </c>
      <c r="O16">
        <v>100</v>
      </c>
      <c r="P16">
        <v>22596.7</v>
      </c>
      <c r="Q16" t="str">
        <v>120.83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CKL-718</v>
      </c>
      <c r="D17" t="str">
        <v>CKL-718</v>
      </c>
      <c r="E17" t="str">
        <v/>
      </c>
      <c r="F17" t="str">
        <v>867162029820636</v>
      </c>
      <c r="G17" t="str">
        <v>TBD</v>
      </c>
      <c r="H17" t="str">
        <v/>
      </c>
      <c r="I17" t="str">
        <v>28/09/2026</v>
      </c>
      <c r="J17" t="str">
        <v>07:33:34</v>
      </c>
      <c r="K17">
        <v>-12.229998</v>
      </c>
      <c r="L17">
        <v>-76.90231</v>
      </c>
      <c r="M17">
        <f>HYPERLINK("https://www.google.com/maps/search/?api=1&amp;query=-12.229998,-76.90231","Lurín, Lima")</f>
      </c>
      <c r="N17">
        <v>0</v>
      </c>
      <c r="O17">
        <v>100</v>
      </c>
      <c r="P17">
        <v>22596.7</v>
      </c>
      <c r="Q17" t="str">
        <v>120.83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CKL-718</v>
      </c>
      <c r="D18" t="str">
        <v>CKL-718</v>
      </c>
      <c r="E18" t="str">
        <v/>
      </c>
      <c r="F18" t="str">
        <v>867162029820636</v>
      </c>
      <c r="G18" t="str">
        <v>TBD</v>
      </c>
      <c r="H18" t="str">
        <v/>
      </c>
      <c r="I18" t="str">
        <v>28/09/2026</v>
      </c>
      <c r="J18" t="str">
        <v>08:03:38</v>
      </c>
      <c r="K18">
        <v>-12.229998</v>
      </c>
      <c r="L18">
        <v>-76.90231</v>
      </c>
      <c r="M18">
        <f>HYPERLINK("https://www.google.com/maps/search/?api=1&amp;query=-12.229998,-76.90231","Lurín, Lima")</f>
      </c>
      <c r="N18">
        <v>0</v>
      </c>
      <c r="O18">
        <v>100</v>
      </c>
      <c r="P18">
        <v>22596.7</v>
      </c>
      <c r="Q18" t="str">
        <v>120.83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CKL-718</v>
      </c>
      <c r="D19" t="str">
        <v>CKL-718</v>
      </c>
      <c r="E19" t="str">
        <v/>
      </c>
      <c r="F19" t="str">
        <v>867162029820636</v>
      </c>
      <c r="G19" t="str">
        <v>TBD</v>
      </c>
      <c r="H19" t="str">
        <v/>
      </c>
      <c r="I19" t="str">
        <v>28/09/2026</v>
      </c>
      <c r="J19" t="str">
        <v>08:33:42</v>
      </c>
      <c r="K19">
        <v>-12.229998</v>
      </c>
      <c r="L19">
        <v>-76.90231</v>
      </c>
      <c r="M19">
        <f>HYPERLINK("https://www.google.com/maps/search/?api=1&amp;query=-12.229998,-76.90231","Lurín, Lima")</f>
      </c>
      <c r="N19">
        <v>0</v>
      </c>
      <c r="O19">
        <v>100</v>
      </c>
      <c r="P19">
        <v>22596.7</v>
      </c>
      <c r="Q19" t="str">
        <v>120.83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CKL-718</v>
      </c>
      <c r="D20" t="str">
        <v>CKL-718</v>
      </c>
      <c r="E20" t="str">
        <v/>
      </c>
      <c r="F20" t="str">
        <v>867162029820636</v>
      </c>
      <c r="G20" t="str">
        <v>TBD</v>
      </c>
      <c r="H20" t="str">
        <v/>
      </c>
      <c r="I20" t="str">
        <v>28/09/2026</v>
      </c>
      <c r="J20" t="str">
        <v>09:03:46</v>
      </c>
      <c r="K20">
        <v>-12.229998</v>
      </c>
      <c r="L20">
        <v>-76.90231</v>
      </c>
      <c r="M20">
        <f>HYPERLINK("https://www.google.com/maps/search/?api=1&amp;query=-12.229998,-76.90231","Lurín, Lima")</f>
      </c>
      <c r="N20">
        <v>0</v>
      </c>
      <c r="O20">
        <v>100</v>
      </c>
      <c r="P20">
        <v>22596.7</v>
      </c>
      <c r="Q20" t="str">
        <v>120.83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CKL-718</v>
      </c>
      <c r="D21" t="str">
        <v>CKL-718</v>
      </c>
      <c r="E21" t="str">
        <v/>
      </c>
      <c r="F21" t="str">
        <v>867162029820636</v>
      </c>
      <c r="G21" t="str">
        <v>TBD</v>
      </c>
      <c r="H21" t="str">
        <v/>
      </c>
      <c r="I21" t="str">
        <v>28/09/2026</v>
      </c>
      <c r="J21" t="str">
        <v>09:33:51</v>
      </c>
      <c r="K21">
        <v>-12.229998</v>
      </c>
      <c r="L21">
        <v>-76.90231</v>
      </c>
      <c r="M21">
        <f>HYPERLINK("https://www.google.com/maps/search/?api=1&amp;query=-12.229998,-76.90231","Lurín, Lima")</f>
      </c>
      <c r="N21">
        <v>0</v>
      </c>
      <c r="O21">
        <v>100</v>
      </c>
      <c r="P21">
        <v>22596.7</v>
      </c>
      <c r="Q21" t="str">
        <v>120.83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CKL-718</v>
      </c>
      <c r="D22" t="str">
        <v>CKL-718</v>
      </c>
      <c r="E22" t="str">
        <v/>
      </c>
      <c r="F22" t="str">
        <v>867162029820636</v>
      </c>
      <c r="G22" t="str">
        <v>TBD</v>
      </c>
      <c r="H22" t="str">
        <v/>
      </c>
      <c r="I22" t="str">
        <v>28/09/2026</v>
      </c>
      <c r="J22" t="str">
        <v>10:03:56</v>
      </c>
      <c r="K22">
        <v>-12.229998</v>
      </c>
      <c r="L22">
        <v>-76.90231</v>
      </c>
      <c r="M22">
        <f>HYPERLINK("https://www.google.com/maps/search/?api=1&amp;query=-12.229998,-76.90231","Lurín, Lima")</f>
      </c>
      <c r="N22">
        <v>0</v>
      </c>
      <c r="O22">
        <v>100</v>
      </c>
      <c r="P22">
        <v>22596.7</v>
      </c>
      <c r="Q22" t="str">
        <v>120.83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CKL-718</v>
      </c>
      <c r="D23" t="str">
        <v>CKL-718</v>
      </c>
      <c r="E23" t="str">
        <v/>
      </c>
      <c r="F23" t="str">
        <v>867162029820636</v>
      </c>
      <c r="G23" t="str">
        <v>TBD</v>
      </c>
      <c r="H23" t="str">
        <v/>
      </c>
      <c r="I23" t="str">
        <v>28/09/2026</v>
      </c>
      <c r="J23" t="str">
        <v>10:09:19</v>
      </c>
      <c r="K23">
        <v>-12.229998</v>
      </c>
      <c r="L23">
        <v>-76.90231</v>
      </c>
      <c r="M23">
        <f>HYPERLINK("https://www.google.com/maps/search/?api=1&amp;query=-12.229998,-76.90231","Lurín, Lima")</f>
      </c>
      <c r="N23">
        <v>0</v>
      </c>
      <c r="O23">
        <v>100</v>
      </c>
      <c r="P23">
        <v>22596.7</v>
      </c>
      <c r="Q23" t="str">
        <v>120.83</v>
      </c>
      <c r="R23" t="str">
        <v>Vehículo encendido</v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CKL-718</v>
      </c>
      <c r="D24" t="str">
        <v>CKL-718</v>
      </c>
      <c r="E24" t="str">
        <v/>
      </c>
      <c r="F24" t="str">
        <v>867162029820636</v>
      </c>
      <c r="G24" t="str">
        <v>TBD</v>
      </c>
      <c r="H24" t="str">
        <v/>
      </c>
      <c r="I24" t="str">
        <v>28/09/2026</v>
      </c>
      <c r="J24" t="str">
        <v>10:09:25</v>
      </c>
      <c r="K24">
        <v>-12.230046</v>
      </c>
      <c r="L24">
        <v>-76.90219</v>
      </c>
      <c r="M24">
        <f>HYPERLINK("https://www.google.com/maps/search/?api=1&amp;query=-12.230046,-76.90219","Lurín, Lima")</f>
      </c>
      <c r="N24">
        <v>1.1</v>
      </c>
      <c r="O24">
        <v>100</v>
      </c>
      <c r="P24">
        <v>22596.7</v>
      </c>
      <c r="Q24" t="str">
        <v>120.83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CKL-718</v>
      </c>
      <c r="D25" t="str">
        <v>CKL-718</v>
      </c>
      <c r="E25" t="str">
        <v/>
      </c>
      <c r="F25" t="str">
        <v>867162029820636</v>
      </c>
      <c r="G25" t="str">
        <v>TBD</v>
      </c>
      <c r="H25" t="str">
        <v/>
      </c>
      <c r="I25" t="str">
        <v>28/09/2026</v>
      </c>
      <c r="J25" t="str">
        <v>10:10:21</v>
      </c>
      <c r="K25">
        <v>-12.230046</v>
      </c>
      <c r="L25">
        <v>-76.90219</v>
      </c>
      <c r="M25">
        <f>HYPERLINK("https://www.google.com/maps/search/?api=1&amp;query=-12.230046,-76.90219","Lurín, Lima")</f>
      </c>
      <c r="N25">
        <v>0</v>
      </c>
      <c r="O25">
        <v>100</v>
      </c>
      <c r="P25">
        <v>22596.7</v>
      </c>
      <c r="Q25" t="str">
        <v>120.83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CKL-718</v>
      </c>
      <c r="D26" t="str">
        <v>CKL-718</v>
      </c>
      <c r="E26" t="str">
        <v/>
      </c>
      <c r="F26" t="str">
        <v>867162029820636</v>
      </c>
      <c r="G26" t="str">
        <v>TBD</v>
      </c>
      <c r="H26" t="str">
        <v/>
      </c>
      <c r="I26" t="str">
        <v>28/09/2026</v>
      </c>
      <c r="J26" t="str">
        <v>10:11:21</v>
      </c>
      <c r="K26">
        <v>-12.230046</v>
      </c>
      <c r="L26">
        <v>-76.90219</v>
      </c>
      <c r="M26">
        <f>HYPERLINK("https://www.google.com/maps/search/?api=1&amp;query=-12.230046,-76.90219","Lurín, Lima")</f>
      </c>
      <c r="N26">
        <v>0</v>
      </c>
      <c r="O26">
        <v>100</v>
      </c>
      <c r="P26">
        <v>22596.7</v>
      </c>
      <c r="Q26" t="str">
        <v>120.83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CKL-718</v>
      </c>
      <c r="D27" t="str">
        <v>CKL-718</v>
      </c>
      <c r="E27" t="str">
        <v/>
      </c>
      <c r="F27" t="str">
        <v>867162029820636</v>
      </c>
      <c r="G27" t="str">
        <v>TBD</v>
      </c>
      <c r="H27" t="str">
        <v/>
      </c>
      <c r="I27" t="str">
        <v>28/09/2026</v>
      </c>
      <c r="J27" t="str">
        <v>10:11:44</v>
      </c>
      <c r="K27">
        <v>-12.230038</v>
      </c>
      <c r="L27">
        <v>-76.90246</v>
      </c>
      <c r="M27">
        <f>HYPERLINK("https://www.google.com/maps/search/?api=1&amp;query=-12.230038,-76.90246","Lurín, Lima")</f>
      </c>
      <c r="N27">
        <v>7.3</v>
      </c>
      <c r="O27">
        <v>100</v>
      </c>
      <c r="P27">
        <v>22596.7</v>
      </c>
      <c r="Q27" t="str">
        <v>120.83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CKL-718</v>
      </c>
      <c r="D28" t="str">
        <v>CKL-718</v>
      </c>
      <c r="E28" t="str">
        <v/>
      </c>
      <c r="F28" t="str">
        <v>867162029820636</v>
      </c>
      <c r="G28" t="str">
        <v>TBD</v>
      </c>
      <c r="H28" t="str">
        <v/>
      </c>
      <c r="I28" t="str">
        <v>28/09/2026</v>
      </c>
      <c r="J28" t="str">
        <v>10:11:47</v>
      </c>
      <c r="K28">
        <v>-12.230071</v>
      </c>
      <c r="L28">
        <v>-76.90252</v>
      </c>
      <c r="M28">
        <f>HYPERLINK("https://www.google.com/maps/search/?api=1&amp;query=-12.230071,-76.90252","Lurín, Lima")</f>
      </c>
      <c r="N28">
        <v>7.8</v>
      </c>
      <c r="O28">
        <v>100</v>
      </c>
      <c r="P28">
        <v>22596.7</v>
      </c>
      <c r="Q28" t="str">
        <v>120.83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CKL-718</v>
      </c>
      <c r="D29" t="str">
        <v>CKL-718</v>
      </c>
      <c r="E29" t="str">
        <v/>
      </c>
      <c r="F29" t="str">
        <v>867162029820636</v>
      </c>
      <c r="G29" t="str">
        <v>TBD</v>
      </c>
      <c r="H29" t="str">
        <v/>
      </c>
      <c r="I29" t="str">
        <v>28/09/2026</v>
      </c>
      <c r="J29" t="str">
        <v>10:12:21</v>
      </c>
      <c r="K29">
        <v>-12.230098</v>
      </c>
      <c r="L29">
        <v>-76.902596</v>
      </c>
      <c r="M29">
        <f>HYPERLINK("https://www.google.com/maps/search/?api=1&amp;query=-12.230098,-76.902596","Lurín, Lima")</f>
      </c>
      <c r="N29">
        <v>0</v>
      </c>
      <c r="O29">
        <v>100</v>
      </c>
      <c r="P29">
        <v>22596.7</v>
      </c>
      <c r="Q29" t="str">
        <v>120.83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CKL-718</v>
      </c>
      <c r="D30" t="str">
        <v>CKL-718</v>
      </c>
      <c r="E30" t="str">
        <v/>
      </c>
      <c r="F30" t="str">
        <v>867162029820636</v>
      </c>
      <c r="G30" t="str">
        <v>TBD</v>
      </c>
      <c r="H30" t="str">
        <v/>
      </c>
      <c r="I30" t="str">
        <v>28/09/2026</v>
      </c>
      <c r="J30" t="str">
        <v>10:13:21</v>
      </c>
      <c r="K30">
        <v>-12.230098</v>
      </c>
      <c r="L30">
        <v>-76.902596</v>
      </c>
      <c r="M30">
        <f>HYPERLINK("https://www.google.com/maps/search/?api=1&amp;query=-12.230098,-76.902596","Lurín, Lima")</f>
      </c>
      <c r="N30">
        <v>0</v>
      </c>
      <c r="O30">
        <v>100</v>
      </c>
      <c r="P30">
        <v>22596.7</v>
      </c>
      <c r="Q30" t="str">
        <v>120.83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CKL-718</v>
      </c>
      <c r="D31" t="str">
        <v>CKL-718</v>
      </c>
      <c r="E31" t="str">
        <v/>
      </c>
      <c r="F31" t="str">
        <v>867162029820636</v>
      </c>
      <c r="G31" t="str">
        <v>TBD</v>
      </c>
      <c r="H31" t="str">
        <v/>
      </c>
      <c r="I31" t="str">
        <v>28/09/2026</v>
      </c>
      <c r="J31" t="str">
        <v>10:14:11</v>
      </c>
      <c r="K31">
        <v>-12.230856</v>
      </c>
      <c r="L31">
        <v>-76.903175</v>
      </c>
      <c r="M31">
        <f>HYPERLINK("https://www.google.com/maps/search/?api=1&amp;query=-12.230856,-76.903175","Jirón Los Sauces, Lurín, Lima")</f>
      </c>
      <c r="N31">
        <v>7.4</v>
      </c>
      <c r="O31">
        <v>100</v>
      </c>
      <c r="P31">
        <v>22596.9</v>
      </c>
      <c r="Q31" t="str">
        <v>120.83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CKL-718</v>
      </c>
      <c r="D32" t="str">
        <v>CKL-718</v>
      </c>
      <c r="E32" t="str">
        <v/>
      </c>
      <c r="F32" t="str">
        <v>867162029820636</v>
      </c>
      <c r="G32" t="str">
        <v>TBD</v>
      </c>
      <c r="H32" t="str">
        <v/>
      </c>
      <c r="I32" t="str">
        <v>28/09/2026</v>
      </c>
      <c r="J32" t="str">
        <v>10:14:13</v>
      </c>
      <c r="K32">
        <v>-12.230935</v>
      </c>
      <c r="L32">
        <v>-76.9032</v>
      </c>
      <c r="M32">
        <f>HYPERLINK("https://www.google.com/maps/search/?api=1&amp;query=-12.230935,-76.9032","Jirón Los Sauces, Lurín, Lima")</f>
      </c>
      <c r="N32">
        <v>9</v>
      </c>
      <c r="O32">
        <v>100</v>
      </c>
      <c r="P32">
        <v>22596.9</v>
      </c>
      <c r="Q32" t="str">
        <v>120.83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CKL-718</v>
      </c>
      <c r="D33" t="str">
        <v>CKL-718</v>
      </c>
      <c r="E33" t="str">
        <v/>
      </c>
      <c r="F33" t="str">
        <v>867162029820636</v>
      </c>
      <c r="G33" t="str">
        <v>TBD</v>
      </c>
      <c r="H33" t="str">
        <v/>
      </c>
      <c r="I33" t="str">
        <v>28/09/2026</v>
      </c>
      <c r="J33" t="str">
        <v>10:14:21</v>
      </c>
      <c r="K33">
        <v>-12.231032</v>
      </c>
      <c r="L33">
        <v>-76.90322</v>
      </c>
      <c r="M33">
        <f>HYPERLINK("https://www.google.com/maps/search/?api=1&amp;query=-12.231032,-76.90322","Jirón Los Sauces, Lurín, Lima")</f>
      </c>
      <c r="N33">
        <v>12.7</v>
      </c>
      <c r="O33">
        <v>100</v>
      </c>
      <c r="P33">
        <v>22596.9</v>
      </c>
      <c r="Q33" t="str">
        <v>120.83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CKL-718</v>
      </c>
      <c r="D34" t="str">
        <v>CKL-718</v>
      </c>
      <c r="E34" t="str">
        <v/>
      </c>
      <c r="F34" t="str">
        <v>867162029820636</v>
      </c>
      <c r="G34" t="str">
        <v>TBD</v>
      </c>
      <c r="H34" t="str">
        <v/>
      </c>
      <c r="I34" t="str">
        <v>28/09/2026</v>
      </c>
      <c r="J34" t="str">
        <v>10:15:08</v>
      </c>
      <c r="K34">
        <v>-12.23244</v>
      </c>
      <c r="L34">
        <v>-76.90363</v>
      </c>
      <c r="M34">
        <f>HYPERLINK("https://www.google.com/maps/search/?api=1&amp;query=-12.23244,-76.90363","Avenida Los Cipreces, Lurín, Lima")</f>
      </c>
      <c r="N34">
        <v>10</v>
      </c>
      <c r="O34">
        <v>100</v>
      </c>
      <c r="P34">
        <v>22597</v>
      </c>
      <c r="Q34" t="str">
        <v>120.83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CKL-718</v>
      </c>
      <c r="D35" t="str">
        <v>CKL-718</v>
      </c>
      <c r="E35" t="str">
        <v/>
      </c>
      <c r="F35" t="str">
        <v>867162029820636</v>
      </c>
      <c r="G35" t="str">
        <v>TBD</v>
      </c>
      <c r="H35" t="str">
        <v/>
      </c>
      <c r="I35" t="str">
        <v>28/09/2026</v>
      </c>
      <c r="J35" t="str">
        <v>10:15:13</v>
      </c>
      <c r="K35">
        <v>-12.232389</v>
      </c>
      <c r="L35">
        <v>-76.9037</v>
      </c>
      <c r="M35">
        <f>HYPERLINK("https://www.google.com/maps/search/?api=1&amp;query=-12.232389,-76.9037","Avenida Los Cipreces, Lurín, Lima")</f>
      </c>
      <c r="N35">
        <v>5.4</v>
      </c>
      <c r="O35">
        <v>100</v>
      </c>
      <c r="P35">
        <v>22597</v>
      </c>
      <c r="Q35" t="str">
        <v>120.83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CKL-718</v>
      </c>
      <c r="D36" t="str">
        <v>CKL-718</v>
      </c>
      <c r="E36" t="str">
        <v/>
      </c>
      <c r="F36" t="str">
        <v>867162029820636</v>
      </c>
      <c r="G36" t="str">
        <v>TBD</v>
      </c>
      <c r="H36" t="str">
        <v/>
      </c>
      <c r="I36" t="str">
        <v>28/09/2026</v>
      </c>
      <c r="J36" t="str">
        <v>10:15:21</v>
      </c>
      <c r="K36">
        <v>-12.232344</v>
      </c>
      <c r="L36">
        <v>-76.903725</v>
      </c>
      <c r="M36">
        <f>HYPERLINK("https://www.google.com/maps/search/?api=1&amp;query=-12.232344,-76.903725","Avenida Los Cipreces, Lurín, Lima")</f>
      </c>
      <c r="N36">
        <v>8.4</v>
      </c>
      <c r="O36">
        <v>100</v>
      </c>
      <c r="P36">
        <v>22597.1</v>
      </c>
      <c r="Q36" t="str">
        <v>120.83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CKL-718</v>
      </c>
      <c r="D37" t="str">
        <v>CKL-718</v>
      </c>
      <c r="E37" t="str">
        <v/>
      </c>
      <c r="F37" t="str">
        <v>867162029820636</v>
      </c>
      <c r="G37" t="str">
        <v>TBD</v>
      </c>
      <c r="H37" t="str">
        <v/>
      </c>
      <c r="I37" t="str">
        <v>28/09/2026</v>
      </c>
      <c r="J37" t="str">
        <v>10:16:11</v>
      </c>
      <c r="K37">
        <v>-12.231314</v>
      </c>
      <c r="L37">
        <v>-76.90467</v>
      </c>
      <c r="M37">
        <f>HYPERLINK("https://www.google.com/maps/search/?api=1&amp;query=-12.231314,-76.90467","Calle B, Lurín, Lima")</f>
      </c>
      <c r="N37">
        <v>11.2</v>
      </c>
      <c r="O37">
        <v>100</v>
      </c>
      <c r="P37">
        <v>22597.2</v>
      </c>
      <c r="Q37" t="str">
        <v>120.83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CKL-718</v>
      </c>
      <c r="D38" t="str">
        <v>CKL-718</v>
      </c>
      <c r="E38" t="str">
        <v/>
      </c>
      <c r="F38" t="str">
        <v>867162029820636</v>
      </c>
      <c r="G38" t="str">
        <v>TBD</v>
      </c>
      <c r="H38" t="str">
        <v/>
      </c>
      <c r="I38" t="str">
        <v>28/09/2026</v>
      </c>
      <c r="J38" t="str">
        <v>10:16:21</v>
      </c>
      <c r="K38">
        <v>-12.231244</v>
      </c>
      <c r="L38">
        <v>-76.90479</v>
      </c>
      <c r="M38">
        <f>HYPERLINK("https://www.google.com/maps/search/?api=1&amp;query=-12.231244,-76.90479","Calle B, Lurín, Lima")</f>
      </c>
      <c r="N38">
        <v>8.4</v>
      </c>
      <c r="O38">
        <v>100</v>
      </c>
      <c r="P38">
        <v>22597.2</v>
      </c>
      <c r="Q38" t="str">
        <v>120.83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CKL-718</v>
      </c>
      <c r="D39" t="str">
        <v>CKL-718</v>
      </c>
      <c r="E39" t="str">
        <v/>
      </c>
      <c r="F39" t="str">
        <v>867162029820636</v>
      </c>
      <c r="G39" t="str">
        <v>TBD</v>
      </c>
      <c r="H39" t="str">
        <v/>
      </c>
      <c r="I39" t="str">
        <v>28/09/2026</v>
      </c>
      <c r="J39" t="str">
        <v>10:16:41</v>
      </c>
      <c r="K39">
        <v>-12.230939</v>
      </c>
      <c r="L39">
        <v>-76.905205</v>
      </c>
      <c r="M39">
        <f>HYPERLINK("https://www.google.com/maps/search/?api=1&amp;query=-12.230939,-76.905205","Calle B, Villa María del Triunfo, Lima")</f>
      </c>
      <c r="N39">
        <v>8.2</v>
      </c>
      <c r="O39">
        <v>100</v>
      </c>
      <c r="P39">
        <v>22597.3</v>
      </c>
      <c r="Q39" t="str">
        <v>120.83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CKL-718</v>
      </c>
      <c r="D40" t="str">
        <v>CKL-718</v>
      </c>
      <c r="E40" t="str">
        <v/>
      </c>
      <c r="F40" t="str">
        <v>867162029820636</v>
      </c>
      <c r="G40" t="str">
        <v>TBD</v>
      </c>
      <c r="H40" t="str">
        <v/>
      </c>
      <c r="I40" t="str">
        <v>28/09/2026</v>
      </c>
      <c r="J40" t="str">
        <v>10:17:21</v>
      </c>
      <c r="K40">
        <v>-12.230747</v>
      </c>
      <c r="L40">
        <v>-76.90593</v>
      </c>
      <c r="M40">
        <f>HYPERLINK("https://www.google.com/maps/search/?api=1&amp;query=-12.230747,-76.90593","Calle B, Villa María del Triunfo, Lima")</f>
      </c>
      <c r="N40">
        <v>8.6</v>
      </c>
      <c r="O40">
        <v>100</v>
      </c>
      <c r="P40">
        <v>22597.4</v>
      </c>
      <c r="Q40" t="str">
        <v>120.83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CKL-718</v>
      </c>
      <c r="D41" t="str">
        <v>CKL-718</v>
      </c>
      <c r="E41" t="str">
        <v/>
      </c>
      <c r="F41" t="str">
        <v>867162029820636</v>
      </c>
      <c r="G41" t="str">
        <v>TBD</v>
      </c>
      <c r="H41" t="str">
        <v/>
      </c>
      <c r="I41" t="str">
        <v>28/09/2026</v>
      </c>
      <c r="J41" t="str">
        <v>10:17:23</v>
      </c>
      <c r="K41">
        <v>-12.230669</v>
      </c>
      <c r="L41">
        <v>-76.90603</v>
      </c>
      <c r="M41">
        <f>HYPERLINK("https://www.google.com/maps/search/?api=1&amp;query=-12.230669,-76.90603","Calle B, Villa María del Triunfo, Lima")</f>
      </c>
      <c r="N41">
        <v>8.5</v>
      </c>
      <c r="O41">
        <v>100</v>
      </c>
      <c r="P41">
        <v>22597.4</v>
      </c>
      <c r="Q41" t="str">
        <v>120.83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CKL-718</v>
      </c>
      <c r="D42" t="str">
        <v>CKL-718</v>
      </c>
      <c r="E42" t="str">
        <v/>
      </c>
      <c r="F42" t="str">
        <v>867162029820636</v>
      </c>
      <c r="G42" t="str">
        <v>TBD</v>
      </c>
      <c r="H42" t="str">
        <v/>
      </c>
      <c r="I42" t="str">
        <v>28/09/2026</v>
      </c>
      <c r="J42" t="str">
        <v>10:18:21</v>
      </c>
      <c r="K42">
        <v>-12.230053</v>
      </c>
      <c r="L42">
        <v>-76.907</v>
      </c>
      <c r="M42">
        <f>HYPERLINK("https://www.google.com/maps/search/?api=1&amp;query=-12.230053,-76.907","Calle B, Villa María del Triunfo, Lima")</f>
      </c>
      <c r="N42">
        <v>8.6</v>
      </c>
      <c r="O42">
        <v>100</v>
      </c>
      <c r="P42">
        <v>22597.5</v>
      </c>
      <c r="Q42" t="str">
        <v>120.83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CKL-718</v>
      </c>
      <c r="D43" t="str">
        <v>CKL-718</v>
      </c>
      <c r="E43" t="str">
        <v/>
      </c>
      <c r="F43" t="str">
        <v>867162029820636</v>
      </c>
      <c r="G43" t="str">
        <v>TBD</v>
      </c>
      <c r="H43" t="str">
        <v/>
      </c>
      <c r="I43" t="str">
        <v>28/09/2026</v>
      </c>
      <c r="J43" t="str">
        <v>10:19:20</v>
      </c>
      <c r="K43">
        <v>-12.229452</v>
      </c>
      <c r="L43">
        <v>-76.908165</v>
      </c>
      <c r="M43">
        <f>HYPERLINK("https://www.google.com/maps/search/?api=1&amp;query=-12.229452,-76.908165","Avenida Los Cipreces, Villa María del Triunfo, Lima")</f>
      </c>
      <c r="N43">
        <v>10.8</v>
      </c>
      <c r="O43">
        <v>100</v>
      </c>
      <c r="P43">
        <v>22597.6</v>
      </c>
      <c r="Q43" t="str">
        <v>120.83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CKL-718</v>
      </c>
      <c r="D44" t="str">
        <v>CKL-718</v>
      </c>
      <c r="E44" t="str">
        <v/>
      </c>
      <c r="F44" t="str">
        <v>867162029820636</v>
      </c>
      <c r="G44" t="str">
        <v>TBD</v>
      </c>
      <c r="H44" t="str">
        <v/>
      </c>
      <c r="I44" t="str">
        <v>28/09/2026</v>
      </c>
      <c r="J44" t="str">
        <v>10:19:20</v>
      </c>
      <c r="K44">
        <v>-12.229441</v>
      </c>
      <c r="L44">
        <v>-76.90828</v>
      </c>
      <c r="M44">
        <f>HYPERLINK("https://www.google.com/maps/search/?api=1&amp;query=-12.229441,-76.90828","Avenida Los Cipreces, Villa María del Triunfo, Lima")</f>
      </c>
      <c r="N44">
        <v>16.9</v>
      </c>
      <c r="O44">
        <v>100</v>
      </c>
      <c r="P44">
        <v>22597.6</v>
      </c>
      <c r="Q44" t="str">
        <v>120.83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CKL-718</v>
      </c>
      <c r="D45" t="str">
        <v>CKL-718</v>
      </c>
      <c r="E45" t="str">
        <v/>
      </c>
      <c r="F45" t="str">
        <v>867162029820636</v>
      </c>
      <c r="G45" t="str">
        <v>TBD</v>
      </c>
      <c r="H45" t="str">
        <v/>
      </c>
      <c r="I45" t="str">
        <v>28/09/2026</v>
      </c>
      <c r="J45" t="str">
        <v>10:19:52</v>
      </c>
      <c r="K45">
        <v>-12.229316</v>
      </c>
      <c r="L45">
        <v>-76.90928</v>
      </c>
      <c r="M45">
        <f>HYPERLINK("https://www.google.com/maps/search/?api=1&amp;query=-12.229316,-76.90928","Avenida Los Cipreces, Villa María del Triunfo, Lima")</f>
      </c>
      <c r="N45">
        <v>9.6</v>
      </c>
      <c r="O45">
        <v>100</v>
      </c>
      <c r="P45">
        <v>22597.8</v>
      </c>
      <c r="Q45" t="str">
        <v>120.83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CKL-718</v>
      </c>
      <c r="D46" t="str">
        <v>CKL-718</v>
      </c>
      <c r="E46" t="str">
        <v/>
      </c>
      <c r="F46" t="str">
        <v>867162029820636</v>
      </c>
      <c r="G46" t="str">
        <v>TBD</v>
      </c>
      <c r="H46" t="str">
        <v/>
      </c>
      <c r="I46" t="str">
        <v>28/09/2026</v>
      </c>
      <c r="J46" t="str">
        <v>10:19:56</v>
      </c>
      <c r="K46">
        <v>-12.229398</v>
      </c>
      <c r="L46">
        <v>-76.90931</v>
      </c>
      <c r="M46">
        <f>HYPERLINK("https://www.google.com/maps/search/?api=1&amp;query=-12.229398,-76.90931","Avenida Los Cipreces, Villa María del Triunfo, Lima")</f>
      </c>
      <c r="N46">
        <v>12.6</v>
      </c>
      <c r="O46">
        <v>100</v>
      </c>
      <c r="P46">
        <v>22597.8</v>
      </c>
      <c r="Q46" t="str">
        <v>120.83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CKL-718</v>
      </c>
      <c r="D47" t="str">
        <v>CKL-718</v>
      </c>
      <c r="E47" t="str">
        <v/>
      </c>
      <c r="F47" t="str">
        <v>867162029820636</v>
      </c>
      <c r="G47" t="str">
        <v>TBD</v>
      </c>
      <c r="H47" t="str">
        <v/>
      </c>
      <c r="I47" t="str">
        <v>28/09/2026</v>
      </c>
      <c r="J47" t="str">
        <v>10:20:16</v>
      </c>
      <c r="K47">
        <v>-12.229398</v>
      </c>
      <c r="L47">
        <v>-76.90931</v>
      </c>
      <c r="M47">
        <f>HYPERLINK("https://www.google.com/maps/search/?api=1&amp;query=-12.229398,-76.90931","Avenida Los Cipreces, Villa María del Triunfo, Lima")</f>
      </c>
      <c r="N47">
        <v>12.6</v>
      </c>
      <c r="O47">
        <v>100</v>
      </c>
      <c r="P47">
        <v>22597.8</v>
      </c>
      <c r="Q47" t="str">
        <v>120.83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CKL-718</v>
      </c>
      <c r="D48" t="str">
        <v>CKL-718</v>
      </c>
      <c r="E48" t="str">
        <v/>
      </c>
      <c r="F48" t="str">
        <v>867162029820636</v>
      </c>
      <c r="G48" t="str">
        <v>TBD</v>
      </c>
      <c r="H48" t="str">
        <v/>
      </c>
      <c r="I48" t="str">
        <v>28/09/2026</v>
      </c>
      <c r="J48" t="str">
        <v>10:20:41</v>
      </c>
      <c r="K48">
        <v>-12.230179</v>
      </c>
      <c r="L48">
        <v>-76.90954</v>
      </c>
      <c r="M48">
        <f>HYPERLINK("https://www.google.com/maps/search/?api=1&amp;query=-12.230179,-76.90954","Calle 2, Villa María del Triunfo, Lima")</f>
      </c>
      <c r="N48">
        <v>6.6</v>
      </c>
      <c r="O48">
        <v>100</v>
      </c>
      <c r="P48">
        <v>22598</v>
      </c>
      <c r="Q48" t="str">
        <v>120.83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CKL-718</v>
      </c>
      <c r="D49" t="str">
        <v>CKL-718</v>
      </c>
      <c r="E49" t="str">
        <v/>
      </c>
      <c r="F49" t="str">
        <v>867162029820636</v>
      </c>
      <c r="G49" t="str">
        <v>TBD</v>
      </c>
      <c r="H49" t="str">
        <v/>
      </c>
      <c r="I49" t="str">
        <v>28/09/2026</v>
      </c>
      <c r="J49" t="str">
        <v>10:20:41</v>
      </c>
      <c r="K49">
        <v>-12.231017</v>
      </c>
      <c r="L49">
        <v>-76.90979</v>
      </c>
      <c r="M49">
        <f>HYPERLINK("https://www.google.com/maps/search/?api=1&amp;query=-12.231017,-76.90979","Avenida Lima, Villa María del Triunfo")</f>
      </c>
      <c r="N49">
        <v>13.7</v>
      </c>
      <c r="O49">
        <v>100</v>
      </c>
      <c r="P49">
        <v>22598</v>
      </c>
      <c r="Q49" t="str">
        <v>120.83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CKL-718</v>
      </c>
      <c r="D50" t="str">
        <v>CKL-718</v>
      </c>
      <c r="E50" t="str">
        <v/>
      </c>
      <c r="F50" t="str">
        <v>867162029820636</v>
      </c>
      <c r="G50" t="str">
        <v>TBD</v>
      </c>
      <c r="H50" t="str">
        <v/>
      </c>
      <c r="I50" t="str">
        <v>28/09/2026</v>
      </c>
      <c r="J50" t="str">
        <v>10:20:56</v>
      </c>
      <c r="K50">
        <v>-12.231428</v>
      </c>
      <c r="L50">
        <v>-76.90981</v>
      </c>
      <c r="M50">
        <f>HYPERLINK("https://www.google.com/maps/search/?api=1&amp;query=-12.231428,-76.90981","Avenida Lima, Villa María del Triunfo")</f>
      </c>
      <c r="N50">
        <v>19</v>
      </c>
      <c r="O50">
        <v>100</v>
      </c>
      <c r="P50">
        <v>22598</v>
      </c>
      <c r="Q50" t="str">
        <v>120.83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CKL-718</v>
      </c>
      <c r="D51" t="str">
        <v>CKL-718</v>
      </c>
      <c r="E51" t="str">
        <v/>
      </c>
      <c r="F51" t="str">
        <v>867162029820636</v>
      </c>
      <c r="G51" t="str">
        <v>TBD</v>
      </c>
      <c r="H51" t="str">
        <v/>
      </c>
      <c r="I51" t="str">
        <v>28/09/2026</v>
      </c>
      <c r="J51" t="str">
        <v>10:21:36</v>
      </c>
      <c r="K51">
        <v>-12.232287</v>
      </c>
      <c r="L51">
        <v>-76.91016</v>
      </c>
      <c r="M51">
        <f>HYPERLINK("https://www.google.com/maps/search/?api=1&amp;query=-12.232287,-76.91016","Avenida Lima, Villa María del Triunfo")</f>
      </c>
      <c r="N51">
        <v>24.8</v>
      </c>
      <c r="O51">
        <v>100</v>
      </c>
      <c r="P51">
        <v>22598.2</v>
      </c>
      <c r="Q51" t="str">
        <v>120.83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CKL-718</v>
      </c>
      <c r="D52" t="str">
        <v>CKL-718</v>
      </c>
      <c r="E52" t="str">
        <v/>
      </c>
      <c r="F52" t="str">
        <v>867162029820636</v>
      </c>
      <c r="G52" t="str">
        <v>TBD</v>
      </c>
      <c r="H52" t="str">
        <v/>
      </c>
      <c r="I52" t="str">
        <v>28/09/2026</v>
      </c>
      <c r="J52" t="str">
        <v>10:22:36</v>
      </c>
      <c r="K52">
        <v>-12.234735</v>
      </c>
      <c r="L52">
        <v>-76.91114</v>
      </c>
      <c r="M52">
        <f>HYPERLINK("https://www.google.com/maps/search/?api=1&amp;query=-12.234735,-76.91114","Avenida Lima, Lurín")</f>
      </c>
      <c r="N52">
        <v>23.5</v>
      </c>
      <c r="O52">
        <v>100</v>
      </c>
      <c r="P52">
        <v>22598.5</v>
      </c>
      <c r="Q52" t="str">
        <v>120.83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CKL-718</v>
      </c>
      <c r="D53" t="str">
        <v>CKL-718</v>
      </c>
      <c r="E53" t="str">
        <v/>
      </c>
      <c r="F53" t="str">
        <v>867162029820636</v>
      </c>
      <c r="G53" t="str">
        <v>TBD</v>
      </c>
      <c r="H53" t="str">
        <v/>
      </c>
      <c r="I53" t="str">
        <v>28/09/2026</v>
      </c>
      <c r="J53" t="str">
        <v>10:23:36</v>
      </c>
      <c r="K53">
        <v>-12.236887</v>
      </c>
      <c r="L53">
        <v>-76.91193</v>
      </c>
      <c r="M53">
        <f>HYPERLINK("https://www.google.com/maps/search/?api=1&amp;query=-12.236887,-76.91193","Avenida Lima, Lurín")</f>
      </c>
      <c r="N53">
        <v>14.2</v>
      </c>
      <c r="O53">
        <v>100</v>
      </c>
      <c r="P53">
        <v>22598.8</v>
      </c>
      <c r="Q53" t="str">
        <v>120.83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CKL-718</v>
      </c>
      <c r="D54" t="str">
        <v>CKL-718</v>
      </c>
      <c r="E54" t="str">
        <v/>
      </c>
      <c r="F54" t="str">
        <v>867162029820636</v>
      </c>
      <c r="G54" t="str">
        <v>TBD</v>
      </c>
      <c r="H54" t="str">
        <v/>
      </c>
      <c r="I54" t="str">
        <v>28/09/2026</v>
      </c>
      <c r="J54" t="str">
        <v>10:24:05</v>
      </c>
      <c r="K54">
        <v>-12.239129</v>
      </c>
      <c r="L54">
        <v>-76.91207</v>
      </c>
      <c r="M54">
        <f>HYPERLINK("https://www.google.com/maps/search/?api=1&amp;query=-12.239129,-76.91207","Avenida Lima, Lurín")</f>
      </c>
      <c r="N54">
        <v>22.3</v>
      </c>
      <c r="O54">
        <v>100</v>
      </c>
      <c r="P54">
        <v>22598.9</v>
      </c>
      <c r="Q54" t="str">
        <v>120.83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CKL-718</v>
      </c>
      <c r="D55" t="str">
        <v>CKL-718</v>
      </c>
      <c r="E55" t="str">
        <v/>
      </c>
      <c r="F55" t="str">
        <v>867162029820636</v>
      </c>
      <c r="G55" t="str">
        <v>TBD</v>
      </c>
      <c r="H55" t="str">
        <v/>
      </c>
      <c r="I55" t="str">
        <v>28/09/2026</v>
      </c>
      <c r="J55" t="str">
        <v>10:24:36</v>
      </c>
      <c r="K55">
        <v>-12.23959</v>
      </c>
      <c r="L55">
        <v>-76.911896</v>
      </c>
      <c r="M55">
        <f>HYPERLINK("https://www.google.com/maps/search/?api=1&amp;query=-12.23959,-76.911896","Avenida Lima, Lurín")</f>
      </c>
      <c r="N55">
        <v>7.4</v>
      </c>
      <c r="O55">
        <v>100</v>
      </c>
      <c r="P55">
        <v>22599</v>
      </c>
      <c r="Q55" t="str">
        <v>120.83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CKL-718</v>
      </c>
      <c r="D56" t="str">
        <v>CKL-718</v>
      </c>
      <c r="E56" t="str">
        <v/>
      </c>
      <c r="F56" t="str">
        <v>867162029820636</v>
      </c>
      <c r="G56" t="str">
        <v>TBD</v>
      </c>
      <c r="H56" t="str">
        <v/>
      </c>
      <c r="I56" t="str">
        <v>28/09/2026</v>
      </c>
      <c r="J56" t="str">
        <v>10:25:36</v>
      </c>
      <c r="K56">
        <v>-12.239634</v>
      </c>
      <c r="L56">
        <v>-76.91188</v>
      </c>
      <c r="M56">
        <f>HYPERLINK("https://www.google.com/maps/search/?api=1&amp;query=-12.239634,-76.91188","Avenida Lima, Lurín")</f>
      </c>
      <c r="N56">
        <v>0</v>
      </c>
      <c r="O56">
        <v>100</v>
      </c>
      <c r="P56">
        <v>22599</v>
      </c>
      <c r="Q56" t="str">
        <v>120.83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CKL-718</v>
      </c>
      <c r="D57" t="str">
        <v>CKL-718</v>
      </c>
      <c r="E57" t="str">
        <v/>
      </c>
      <c r="F57" t="str">
        <v>867162029820636</v>
      </c>
      <c r="G57" t="str">
        <v>TBD</v>
      </c>
      <c r="H57" t="str">
        <v/>
      </c>
      <c r="I57" t="str">
        <v>28/09/2026</v>
      </c>
      <c r="J57" t="str">
        <v>10:26:36</v>
      </c>
      <c r="K57">
        <v>-12.239634</v>
      </c>
      <c r="L57">
        <v>-76.91188</v>
      </c>
      <c r="M57">
        <f>HYPERLINK("https://www.google.com/maps/search/?api=1&amp;query=-12.239634,-76.91188","Avenida Lima, Lurín")</f>
      </c>
      <c r="N57">
        <v>0</v>
      </c>
      <c r="O57">
        <v>100</v>
      </c>
      <c r="P57">
        <v>22599</v>
      </c>
      <c r="Q57" t="str">
        <v>120.83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CKL-718</v>
      </c>
      <c r="D58" t="str">
        <v>CKL-718</v>
      </c>
      <c r="E58" t="str">
        <v/>
      </c>
      <c r="F58" t="str">
        <v>867162029820636</v>
      </c>
      <c r="G58" t="str">
        <v>TBD</v>
      </c>
      <c r="H58" t="str">
        <v/>
      </c>
      <c r="I58" t="str">
        <v>28/09/2026</v>
      </c>
      <c r="J58" t="str">
        <v>10:27:36</v>
      </c>
      <c r="K58">
        <v>-12.239634</v>
      </c>
      <c r="L58">
        <v>-76.91188</v>
      </c>
      <c r="M58">
        <f>HYPERLINK("https://www.google.com/maps/search/?api=1&amp;query=-12.239634,-76.91188","Avenida Lima, Lurín")</f>
      </c>
      <c r="N58">
        <v>0</v>
      </c>
      <c r="O58">
        <v>100</v>
      </c>
      <c r="P58">
        <v>22599</v>
      </c>
      <c r="Q58" t="str">
        <v>120.83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CKL-718</v>
      </c>
      <c r="D59" t="str">
        <v>CKL-718</v>
      </c>
      <c r="E59" t="str">
        <v/>
      </c>
      <c r="F59" t="str">
        <v>867162029820636</v>
      </c>
      <c r="G59" t="str">
        <v>TBD</v>
      </c>
      <c r="H59" t="str">
        <v/>
      </c>
      <c r="I59" t="str">
        <v>28/09/2026</v>
      </c>
      <c r="J59" t="str">
        <v>10:28:36</v>
      </c>
      <c r="K59">
        <v>-12.239634</v>
      </c>
      <c r="L59">
        <v>-76.91188</v>
      </c>
      <c r="M59">
        <f>HYPERLINK("https://www.google.com/maps/search/?api=1&amp;query=-12.239634,-76.91188","Avenida Lima, Lurín")</f>
      </c>
      <c r="N59">
        <v>0</v>
      </c>
      <c r="O59">
        <v>100</v>
      </c>
      <c r="P59">
        <v>22599</v>
      </c>
      <c r="Q59" t="str">
        <v>120.83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CKL-718</v>
      </c>
      <c r="D60" t="str">
        <v>CKL-718</v>
      </c>
      <c r="E60" t="str">
        <v/>
      </c>
      <c r="F60" t="str">
        <v>867162029820636</v>
      </c>
      <c r="G60" t="str">
        <v>TBD</v>
      </c>
      <c r="H60" t="str">
        <v/>
      </c>
      <c r="I60" t="str">
        <v>28/09/2026</v>
      </c>
      <c r="J60" t="str">
        <v>10:29:36</v>
      </c>
      <c r="K60">
        <v>-12.239634</v>
      </c>
      <c r="L60">
        <v>-76.91188</v>
      </c>
      <c r="M60">
        <f>HYPERLINK("https://www.google.com/maps/search/?api=1&amp;query=-12.239634,-76.91188","Avenida Lima, Lurín")</f>
      </c>
      <c r="N60">
        <v>0</v>
      </c>
      <c r="O60">
        <v>100</v>
      </c>
      <c r="P60">
        <v>22599</v>
      </c>
      <c r="Q60" t="str">
        <v>120.83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CKL-718</v>
      </c>
      <c r="D61" t="str">
        <v>CKL-718</v>
      </c>
      <c r="E61" t="str">
        <v/>
      </c>
      <c r="F61" t="str">
        <v>867162029820636</v>
      </c>
      <c r="G61" t="str">
        <v>TBD</v>
      </c>
      <c r="H61" t="str">
        <v/>
      </c>
      <c r="I61" t="str">
        <v>28/09/2026</v>
      </c>
      <c r="J61" t="str">
        <v>10:29:53</v>
      </c>
      <c r="K61">
        <v>-12.239634</v>
      </c>
      <c r="L61">
        <v>-76.91188</v>
      </c>
      <c r="M61">
        <f>HYPERLINK("https://www.google.com/maps/search/?api=1&amp;query=-12.239634,-76.91188","Avenida Lima, Lurín")</f>
      </c>
      <c r="N61">
        <v>0</v>
      </c>
      <c r="O61">
        <v>100</v>
      </c>
      <c r="P61">
        <v>22599</v>
      </c>
      <c r="Q61" t="str">
        <v>120.83</v>
      </c>
      <c r="R61" t="str">
        <v>Inicio de ralentí</v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CKL-718</v>
      </c>
      <c r="D62" t="str">
        <v>CKL-718</v>
      </c>
      <c r="E62" t="str">
        <v/>
      </c>
      <c r="F62" t="str">
        <v>867162029820636</v>
      </c>
      <c r="G62" t="str">
        <v>TBD</v>
      </c>
      <c r="H62" t="str">
        <v/>
      </c>
      <c r="I62" t="str">
        <v>28/09/2026</v>
      </c>
      <c r="J62" t="str">
        <v>10:30:36</v>
      </c>
      <c r="K62">
        <v>-12.239634</v>
      </c>
      <c r="L62">
        <v>-76.91188</v>
      </c>
      <c r="M62">
        <f>HYPERLINK("https://www.google.com/maps/search/?api=1&amp;query=-12.239634,-76.91188","Avenida Lima, Lurín")</f>
      </c>
      <c r="N62">
        <v>0</v>
      </c>
      <c r="O62">
        <v>100</v>
      </c>
      <c r="P62">
        <v>22599</v>
      </c>
      <c r="Q62" t="str">
        <v>120.83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CKL-718</v>
      </c>
      <c r="D63" t="str">
        <v>CKL-718</v>
      </c>
      <c r="E63" t="str">
        <v/>
      </c>
      <c r="F63" t="str">
        <v>867162029820636</v>
      </c>
      <c r="G63" t="str">
        <v>TBD</v>
      </c>
      <c r="H63" t="str">
        <v/>
      </c>
      <c r="I63" t="str">
        <v>28/09/2026</v>
      </c>
      <c r="J63" t="str">
        <v>10:31:36</v>
      </c>
      <c r="K63">
        <v>-12.239634</v>
      </c>
      <c r="L63">
        <v>-76.91188</v>
      </c>
      <c r="M63">
        <f>HYPERLINK("https://www.google.com/maps/search/?api=1&amp;query=-12.239634,-76.91188","Avenida Lima, Lurín")</f>
      </c>
      <c r="N63">
        <v>0</v>
      </c>
      <c r="O63">
        <v>100</v>
      </c>
      <c r="P63">
        <v>22599</v>
      </c>
      <c r="Q63" t="str">
        <v>120.83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CKL-718</v>
      </c>
      <c r="D64" t="str">
        <v>CKL-718</v>
      </c>
      <c r="E64" t="str">
        <v/>
      </c>
      <c r="F64" t="str">
        <v>867162029820636</v>
      </c>
      <c r="G64" t="str">
        <v>TBD</v>
      </c>
      <c r="H64" t="str">
        <v/>
      </c>
      <c r="I64" t="str">
        <v>28/09/2026</v>
      </c>
      <c r="J64" t="str">
        <v>10:32:36</v>
      </c>
      <c r="K64">
        <v>-12.239766</v>
      </c>
      <c r="L64">
        <v>-76.91189</v>
      </c>
      <c r="M64">
        <f>HYPERLINK("https://www.google.com/maps/search/?api=1&amp;query=-12.239766,-76.91189","Avenida Lima, Lurín")</f>
      </c>
      <c r="N64">
        <v>12.4</v>
      </c>
      <c r="O64">
        <v>100</v>
      </c>
      <c r="P64">
        <v>22599</v>
      </c>
      <c r="Q64" t="str">
        <v>120.83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CKL-718</v>
      </c>
      <c r="D65" t="str">
        <v>CKL-718</v>
      </c>
      <c r="E65" t="str">
        <v/>
      </c>
      <c r="F65" t="str">
        <v>867162029820636</v>
      </c>
      <c r="G65" t="str">
        <v>TBD</v>
      </c>
      <c r="H65" t="str">
        <v/>
      </c>
      <c r="I65" t="str">
        <v>28/09/2026</v>
      </c>
      <c r="J65" t="str">
        <v>10:33:02</v>
      </c>
      <c r="K65">
        <v>-12.239918</v>
      </c>
      <c r="L65">
        <v>-76.91198</v>
      </c>
      <c r="M65">
        <f>HYPERLINK("https://www.google.com/maps/search/?api=1&amp;query=-12.239918,-76.91198","Calle 2, Lurín, Lima")</f>
      </c>
      <c r="N65">
        <v>10.4</v>
      </c>
      <c r="O65">
        <v>100</v>
      </c>
      <c r="P65">
        <v>22599</v>
      </c>
      <c r="Q65" t="str">
        <v>120.83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CKL-718</v>
      </c>
      <c r="D66" t="str">
        <v>CKL-718</v>
      </c>
      <c r="E66" t="str">
        <v/>
      </c>
      <c r="F66" t="str">
        <v>867162029820636</v>
      </c>
      <c r="G66" t="str">
        <v>TBD</v>
      </c>
      <c r="H66" t="str">
        <v/>
      </c>
      <c r="I66" t="str">
        <v>28/09/2026</v>
      </c>
      <c r="J66" t="str">
        <v>10:33:12</v>
      </c>
      <c r="K66">
        <v>-12.239918</v>
      </c>
      <c r="L66">
        <v>-76.91198</v>
      </c>
      <c r="M66">
        <f>HYPERLINK("https://www.google.com/maps/search/?api=1&amp;query=-12.239918,-76.91198","Calle 2, Lurín, Lima")</f>
      </c>
      <c r="N66">
        <v>10.4</v>
      </c>
      <c r="O66">
        <v>100</v>
      </c>
      <c r="P66">
        <v>22599</v>
      </c>
      <c r="Q66" t="str">
        <v>120.83</v>
      </c>
      <c r="R66" t="str">
        <v>Fin de ralentí</v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CKL-718</v>
      </c>
      <c r="D67" t="str">
        <v>CKL-718</v>
      </c>
      <c r="E67" t="str">
        <v/>
      </c>
      <c r="F67" t="str">
        <v>867162029820636</v>
      </c>
      <c r="G67" t="str">
        <v>TBD</v>
      </c>
      <c r="H67" t="str">
        <v/>
      </c>
      <c r="I67" t="str">
        <v>28/09/2026</v>
      </c>
      <c r="J67" t="str">
        <v>10:33:14</v>
      </c>
      <c r="K67">
        <v>-12.239614</v>
      </c>
      <c r="L67">
        <v>-76.91237</v>
      </c>
      <c r="M67">
        <f>HYPERLINK("https://www.google.com/maps/search/?api=1&amp;query=-12.239614,-76.91237","Ovalo María Reiche, Villa El Salvador, Lima")</f>
      </c>
      <c r="N67">
        <v>12.8</v>
      </c>
      <c r="O67">
        <v>100</v>
      </c>
      <c r="P67">
        <v>22599.1</v>
      </c>
      <c r="Q67" t="str">
        <v>120.83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CKL-718</v>
      </c>
      <c r="D68" t="str">
        <v>CKL-718</v>
      </c>
      <c r="E68" t="str">
        <v/>
      </c>
      <c r="F68" t="str">
        <v>867162029820636</v>
      </c>
      <c r="G68" t="str">
        <v>TBD</v>
      </c>
      <c r="H68" t="str">
        <v/>
      </c>
      <c r="I68" t="str">
        <v>28/09/2026</v>
      </c>
      <c r="J68" t="str">
        <v>10:33:23</v>
      </c>
      <c r="K68">
        <v>-12.239695</v>
      </c>
      <c r="L68">
        <v>-76.91242</v>
      </c>
      <c r="M68">
        <f>HYPERLINK("https://www.google.com/maps/search/?api=1&amp;query=-12.239695,-76.91242","Ovalo María Reiche, Villa El Salvador, Lima")</f>
      </c>
      <c r="N68">
        <v>14.8</v>
      </c>
      <c r="O68">
        <v>100</v>
      </c>
      <c r="P68">
        <v>22599.1</v>
      </c>
      <c r="Q68" t="str">
        <v>120.83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CKL-718</v>
      </c>
      <c r="D69" t="str">
        <v>CKL-718</v>
      </c>
      <c r="E69" t="str">
        <v/>
      </c>
      <c r="F69" t="str">
        <v>867162029820636</v>
      </c>
      <c r="G69" t="str">
        <v>TBD</v>
      </c>
      <c r="H69" t="str">
        <v/>
      </c>
      <c r="I69" t="str">
        <v>28/09/2026</v>
      </c>
      <c r="J69" t="str">
        <v>10:33:23</v>
      </c>
      <c r="K69">
        <v>-12.239886</v>
      </c>
      <c r="L69">
        <v>-76.912384</v>
      </c>
      <c r="M69">
        <f>HYPERLINK("https://www.google.com/maps/search/?api=1&amp;query=-12.239886,-76.912384","Ovalo María Reiche, Villa El Salvador, Lima")</f>
      </c>
      <c r="N69">
        <v>6.4</v>
      </c>
      <c r="O69">
        <v>100</v>
      </c>
      <c r="P69">
        <v>22599.1</v>
      </c>
      <c r="Q69" t="str">
        <v>120.83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CKL-718</v>
      </c>
      <c r="D70" t="str">
        <v>CKL-718</v>
      </c>
      <c r="E70" t="str">
        <v/>
      </c>
      <c r="F70" t="str">
        <v>867162029820636</v>
      </c>
      <c r="G70" t="str">
        <v>TBD</v>
      </c>
      <c r="H70" t="str">
        <v/>
      </c>
      <c r="I70" t="str">
        <v>28/09/2026</v>
      </c>
      <c r="J70" t="str">
        <v>10:34:21</v>
      </c>
      <c r="K70">
        <v>-12.240495</v>
      </c>
      <c r="L70">
        <v>-76.91181</v>
      </c>
      <c r="M70">
        <f>HYPERLINK("https://www.google.com/maps/search/?api=1&amp;query=-12.240495,-76.91181","Avenida Lima, Villa El Salvador")</f>
      </c>
      <c r="N70">
        <v>16.3</v>
      </c>
      <c r="O70">
        <v>100</v>
      </c>
      <c r="P70">
        <v>22599.2</v>
      </c>
      <c r="Q70" t="str">
        <v>120.83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CKL-718</v>
      </c>
      <c r="D71" t="str">
        <v>CKL-718</v>
      </c>
      <c r="E71" t="str">
        <v/>
      </c>
      <c r="F71" t="str">
        <v>867162029820636</v>
      </c>
      <c r="G71" t="str">
        <v>TBD</v>
      </c>
      <c r="H71" t="str">
        <v/>
      </c>
      <c r="I71" t="str">
        <v>28/09/2026</v>
      </c>
      <c r="J71" t="str">
        <v>10:35:21</v>
      </c>
      <c r="K71">
        <v>-12.244707</v>
      </c>
      <c r="L71">
        <v>-76.90903</v>
      </c>
      <c r="M71">
        <f>HYPERLINK("https://www.google.com/maps/search/?api=1&amp;query=-12.244707,-76.90903","Avenida Lima, Lurín")</f>
      </c>
      <c r="N71">
        <v>33.2</v>
      </c>
      <c r="O71">
        <v>100</v>
      </c>
      <c r="P71">
        <v>22599.8</v>
      </c>
      <c r="Q71" t="str">
        <v>120.83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CKL-718</v>
      </c>
      <c r="D72" t="str">
        <v>CKL-718</v>
      </c>
      <c r="E72" t="str">
        <v/>
      </c>
      <c r="F72" t="str">
        <v>867162029820636</v>
      </c>
      <c r="G72" t="str">
        <v>TBD</v>
      </c>
      <c r="H72" t="str">
        <v/>
      </c>
      <c r="I72" t="str">
        <v>28/09/2026</v>
      </c>
      <c r="J72" t="str">
        <v>10:36:21</v>
      </c>
      <c r="K72">
        <v>-12.250954</v>
      </c>
      <c r="L72">
        <v>-76.90574</v>
      </c>
      <c r="M72">
        <f>HYPERLINK("https://www.google.com/maps/search/?api=1&amp;query=-12.250954,-76.90574","Avenida Lima, Lurín")</f>
      </c>
      <c r="N72">
        <v>50.7</v>
      </c>
      <c r="O72">
        <v>100</v>
      </c>
      <c r="P72">
        <v>22600.6</v>
      </c>
      <c r="Q72" t="str">
        <v>120.83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CKL-718</v>
      </c>
      <c r="D73" t="str">
        <v>CKL-718</v>
      </c>
      <c r="E73" t="str">
        <v/>
      </c>
      <c r="F73" t="str">
        <v>867162029820636</v>
      </c>
      <c r="G73" t="str">
        <v>TBD</v>
      </c>
      <c r="H73" t="str">
        <v/>
      </c>
      <c r="I73" t="str">
        <v>28/09/2026</v>
      </c>
      <c r="J73" t="str">
        <v>10:36:47</v>
      </c>
      <c r="K73">
        <v>-12.253869</v>
      </c>
      <c r="L73">
        <v>-76.904465</v>
      </c>
      <c r="M73">
        <f>HYPERLINK("https://www.google.com/maps/search/?api=1&amp;query=-12.253869,-76.904465","Avenida Lima, Lurín")</f>
      </c>
      <c r="N73">
        <v>30.1</v>
      </c>
      <c r="O73">
        <v>100</v>
      </c>
      <c r="P73">
        <v>22600.9</v>
      </c>
      <c r="Q73" t="str">
        <v>120.83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CKL-718</v>
      </c>
      <c r="D74" t="str">
        <v>CKL-718</v>
      </c>
      <c r="E74" t="str">
        <v/>
      </c>
      <c r="F74" t="str">
        <v>867162029820636</v>
      </c>
      <c r="G74" t="str">
        <v>TBD</v>
      </c>
      <c r="H74" t="str">
        <v/>
      </c>
      <c r="I74" t="str">
        <v>28/09/2026</v>
      </c>
      <c r="J74" t="str">
        <v>10:36:53</v>
      </c>
      <c r="K74">
        <v>-12.254251</v>
      </c>
      <c r="L74">
        <v>-76.90467</v>
      </c>
      <c r="M74">
        <f>HYPERLINK("https://www.google.com/maps/search/?api=1&amp;query=-12.254251,-76.90467","Antigua Panamericana Sur, Lurín, Lima")</f>
      </c>
      <c r="N74">
        <v>30.4</v>
      </c>
      <c r="O74">
        <v>100</v>
      </c>
      <c r="P74">
        <v>22600.9</v>
      </c>
      <c r="Q74" t="str">
        <v>120.83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CKL-718</v>
      </c>
      <c r="D75" t="str">
        <v>CKL-718</v>
      </c>
      <c r="E75" t="str">
        <v/>
      </c>
      <c r="F75" t="str">
        <v>867162029820636</v>
      </c>
      <c r="G75" t="str">
        <v>TBD</v>
      </c>
      <c r="H75" t="str">
        <v/>
      </c>
      <c r="I75" t="str">
        <v>28/09/2026</v>
      </c>
      <c r="J75" t="str">
        <v>10:37:21</v>
      </c>
      <c r="K75">
        <v>-12.254908</v>
      </c>
      <c r="L75">
        <v>-76.907364</v>
      </c>
      <c r="M75">
        <f>HYPERLINK("https://www.google.com/maps/search/?api=1&amp;query=-12.254908,-76.907364","Antigua Panamericana Sur, Lurín, Lima")</f>
      </c>
      <c r="N75">
        <v>49.3</v>
      </c>
      <c r="O75">
        <v>100</v>
      </c>
      <c r="P75">
        <v>22601.3</v>
      </c>
      <c r="Q75" t="str">
        <v>120.83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CKL-718</v>
      </c>
      <c r="D76" t="str">
        <v>CKL-718</v>
      </c>
      <c r="E76" t="str">
        <v/>
      </c>
      <c r="F76" t="str">
        <v>867162029820636</v>
      </c>
      <c r="G76" t="str">
        <v>TBD</v>
      </c>
      <c r="H76" t="str">
        <v/>
      </c>
      <c r="I76" t="str">
        <v>28/09/2026</v>
      </c>
      <c r="J76" t="str">
        <v>10:37:47</v>
      </c>
      <c r="K76">
        <v>-12.255365</v>
      </c>
      <c r="L76">
        <v>-76.91119</v>
      </c>
      <c r="M76">
        <f>HYPERLINK("https://www.google.com/maps/search/?api=1&amp;query=-12.255365,-76.91119","Antigua Panamericana Sur, Lurín, Lima")</f>
      </c>
      <c r="N76">
        <v>50.3</v>
      </c>
      <c r="O76">
        <v>100</v>
      </c>
      <c r="P76">
        <v>22601.6</v>
      </c>
      <c r="Q76" t="str">
        <v>120.83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CKL-718</v>
      </c>
      <c r="D77" t="str">
        <v>CKL-718</v>
      </c>
      <c r="E77" t="str">
        <v/>
      </c>
      <c r="F77" t="str">
        <v>867162029820636</v>
      </c>
      <c r="G77" t="str">
        <v>TBD</v>
      </c>
      <c r="H77" t="str">
        <v/>
      </c>
      <c r="I77" t="str">
        <v>28/09/2026</v>
      </c>
      <c r="J77" t="str">
        <v>10:38:21</v>
      </c>
      <c r="K77">
        <v>-12.254928</v>
      </c>
      <c r="L77">
        <v>-76.91461</v>
      </c>
      <c r="M77">
        <f>HYPERLINK("https://www.google.com/maps/search/?api=1&amp;query=-12.254928,-76.91461","Antigua Panamericana Sur, Lurín, Lima")</f>
      </c>
      <c r="N77">
        <v>43.6</v>
      </c>
      <c r="O77">
        <v>100</v>
      </c>
      <c r="P77">
        <v>22602.1</v>
      </c>
      <c r="Q77" t="str">
        <v>120.83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CKL-718</v>
      </c>
      <c r="D78" t="str">
        <v>CKL-718</v>
      </c>
      <c r="E78" t="str">
        <v/>
      </c>
      <c r="F78" t="str">
        <v>867162029820636</v>
      </c>
      <c r="G78" t="str">
        <v>TBD</v>
      </c>
      <c r="H78" t="str">
        <v/>
      </c>
      <c r="I78" t="str">
        <v>28/09/2026</v>
      </c>
      <c r="J78" t="str">
        <v>10:39:21</v>
      </c>
      <c r="K78">
        <v>-12.254362</v>
      </c>
      <c r="L78">
        <v>-76.91893</v>
      </c>
      <c r="M78">
        <f>HYPERLINK("https://www.google.com/maps/search/?api=1&amp;query=-12.254362,-76.91893","Antigua Panamericana Sur, Lurín, Lima")</f>
      </c>
      <c r="N78">
        <v>29</v>
      </c>
      <c r="O78">
        <v>100</v>
      </c>
      <c r="P78">
        <v>22602.5</v>
      </c>
      <c r="Q78" t="str">
        <v>120.83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CKL-718</v>
      </c>
      <c r="D79" t="str">
        <v>CKL-718</v>
      </c>
      <c r="E79" t="str">
        <v/>
      </c>
      <c r="F79" t="str">
        <v>867162029820636</v>
      </c>
      <c r="G79" t="str">
        <v>TBD</v>
      </c>
      <c r="H79" t="str">
        <v/>
      </c>
      <c r="I79" t="str">
        <v>28/09/2026</v>
      </c>
      <c r="J79" t="str">
        <v>10:39:41</v>
      </c>
      <c r="K79">
        <v>-12.25434</v>
      </c>
      <c r="L79">
        <v>-76.920525</v>
      </c>
      <c r="M79">
        <f>HYPERLINK("https://www.google.com/maps/search/?api=1&amp;query=-12.25434,-76.920525","Antigua Panamericana Sur, Lurín, Lima")</f>
      </c>
      <c r="N79">
        <v>25.2</v>
      </c>
      <c r="O79">
        <v>100</v>
      </c>
      <c r="P79">
        <v>22602.7</v>
      </c>
      <c r="Q79" t="str">
        <v>120.83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CKL-718</v>
      </c>
      <c r="D80" t="str">
        <v>CKL-718</v>
      </c>
      <c r="E80" t="str">
        <v/>
      </c>
      <c r="F80" t="str">
        <v>867162029820636</v>
      </c>
      <c r="G80" t="str">
        <v>TBD</v>
      </c>
      <c r="H80" t="str">
        <v/>
      </c>
      <c r="I80" t="str">
        <v>28/09/2026</v>
      </c>
      <c r="J80" t="str">
        <v>10:40:22</v>
      </c>
      <c r="K80">
        <v>-12.257258</v>
      </c>
      <c r="L80">
        <v>-76.922455</v>
      </c>
      <c r="M80">
        <f>HYPERLINK("https://www.google.com/maps/search/?api=1&amp;query=-12.257258,-76.922455","Lurín, Lima")</f>
      </c>
      <c r="N80">
        <v>42.4</v>
      </c>
      <c r="O80">
        <v>100</v>
      </c>
      <c r="P80">
        <v>22603.1</v>
      </c>
      <c r="Q80" t="str">
        <v>120.83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CKL-718</v>
      </c>
      <c r="D81" t="str">
        <v>CKL-718</v>
      </c>
      <c r="E81" t="str">
        <v/>
      </c>
      <c r="F81" t="str">
        <v>867162029820636</v>
      </c>
      <c r="G81" t="str">
        <v>TBD</v>
      </c>
      <c r="H81" t="str">
        <v/>
      </c>
      <c r="I81" t="str">
        <v>28/09/2026</v>
      </c>
      <c r="J81" t="str">
        <v>10:40:26</v>
      </c>
      <c r="K81">
        <v>-12.257178</v>
      </c>
      <c r="L81">
        <v>-76.923096</v>
      </c>
      <c r="M81">
        <f>HYPERLINK("https://www.google.com/maps/search/?api=1&amp;query=-12.257178,-76.923096","Lurín, Lima")</f>
      </c>
      <c r="N81">
        <v>44.4</v>
      </c>
      <c r="O81">
        <v>100</v>
      </c>
      <c r="P81">
        <v>22603.1</v>
      </c>
      <c r="Q81" t="str">
        <v>120.83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CKL-718</v>
      </c>
      <c r="D82" t="str">
        <v>CKL-718</v>
      </c>
      <c r="E82" t="str">
        <v/>
      </c>
      <c r="F82" t="str">
        <v>867162029820636</v>
      </c>
      <c r="G82" t="str">
        <v>TBD</v>
      </c>
      <c r="H82" t="str">
        <v/>
      </c>
      <c r="I82" t="str">
        <v>28/09/2026</v>
      </c>
      <c r="J82" t="str">
        <v>10:40:32</v>
      </c>
      <c r="K82">
        <v>-12.25665</v>
      </c>
      <c r="L82">
        <v>-76.9235</v>
      </c>
      <c r="M82">
        <f>HYPERLINK("https://www.google.com/maps/search/?api=1&amp;query=-12.25665,-76.9235","Lurín, Lima")</f>
      </c>
      <c r="N82">
        <v>45</v>
      </c>
      <c r="O82">
        <v>100</v>
      </c>
      <c r="P82">
        <v>22603.2</v>
      </c>
      <c r="Q82" t="str">
        <v>120.83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CKL-718</v>
      </c>
      <c r="D83" t="str">
        <v>CKL-718</v>
      </c>
      <c r="E83" t="str">
        <v/>
      </c>
      <c r="F83" t="str">
        <v>867162029820636</v>
      </c>
      <c r="G83" t="str">
        <v>TBD</v>
      </c>
      <c r="H83" t="str">
        <v/>
      </c>
      <c r="I83" t="str">
        <v>28/09/2026</v>
      </c>
      <c r="J83" t="str">
        <v>10:40:38</v>
      </c>
      <c r="K83">
        <v>-12.256032</v>
      </c>
      <c r="L83">
        <v>-76.92343</v>
      </c>
      <c r="M83">
        <f>HYPERLINK("https://www.google.com/maps/search/?api=1&amp;query=-12.256032,-76.92343","Lurín, Lima")</f>
      </c>
      <c r="N83">
        <v>40</v>
      </c>
      <c r="O83">
        <v>100</v>
      </c>
      <c r="P83">
        <v>22603.3</v>
      </c>
      <c r="Q83" t="str">
        <v>120.83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CKL-718</v>
      </c>
      <c r="D84" t="str">
        <v>CKL-718</v>
      </c>
      <c r="E84" t="str">
        <v/>
      </c>
      <c r="F84" t="str">
        <v>867162029820636</v>
      </c>
      <c r="G84" t="str">
        <v>TBD</v>
      </c>
      <c r="H84" t="str">
        <v/>
      </c>
      <c r="I84" t="str">
        <v>28/09/2026</v>
      </c>
      <c r="J84" t="str">
        <v>10:40:44</v>
      </c>
      <c r="K84">
        <v>-12.25571</v>
      </c>
      <c r="L84">
        <v>-76.92297</v>
      </c>
      <c r="M84">
        <f>HYPERLINK("https://www.google.com/maps/search/?api=1&amp;query=-12.25571,-76.92297","Carretera Panamericana Sur, Lurín, Lima")</f>
      </c>
      <c r="N84">
        <v>37.8</v>
      </c>
      <c r="O84">
        <v>100</v>
      </c>
      <c r="P84">
        <v>22603.4</v>
      </c>
      <c r="Q84" t="str">
        <v>120.83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CKL-718</v>
      </c>
      <c r="D85" t="str">
        <v>CKL-718</v>
      </c>
      <c r="E85" t="str">
        <v/>
      </c>
      <c r="F85" t="str">
        <v>867162029820636</v>
      </c>
      <c r="G85" t="str">
        <v>TBD</v>
      </c>
      <c r="H85" t="str">
        <v/>
      </c>
      <c r="I85" t="str">
        <v>28/09/2026</v>
      </c>
      <c r="J85" t="str">
        <v>10:40:56</v>
      </c>
      <c r="K85">
        <v>-12.256239</v>
      </c>
      <c r="L85">
        <v>-76.921616</v>
      </c>
      <c r="M85">
        <f>HYPERLINK("https://www.google.com/maps/search/?api=1&amp;query=-12.256239,-76.921616","Carretera Panamericana Sur, Lurín, Lima")</f>
      </c>
      <c r="N85">
        <v>55.8</v>
      </c>
      <c r="O85">
        <v>100</v>
      </c>
      <c r="P85">
        <v>22603.5</v>
      </c>
      <c r="Q85" t="str">
        <v>120.83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CKL-718</v>
      </c>
      <c r="D86" t="str">
        <v>CKL-718</v>
      </c>
      <c r="E86" t="str">
        <v/>
      </c>
      <c r="F86" t="str">
        <v>867162029820636</v>
      </c>
      <c r="G86" t="str">
        <v>TBD</v>
      </c>
      <c r="H86" t="str">
        <v/>
      </c>
      <c r="I86" t="str">
        <v>28/09/2026</v>
      </c>
      <c r="J86" t="str">
        <v>10:41:22</v>
      </c>
      <c r="K86">
        <v>-12.258318</v>
      </c>
      <c r="L86">
        <v>-76.9183</v>
      </c>
      <c r="M86">
        <f>HYPERLINK("https://www.google.com/maps/search/?api=1&amp;query=-12.258318,-76.9183","Carretera Panamericana Sur, Lurín, Lima")</f>
      </c>
      <c r="N86">
        <v>69.4</v>
      </c>
      <c r="O86">
        <v>100</v>
      </c>
      <c r="P86">
        <v>22603.9</v>
      </c>
      <c r="Q86" t="str">
        <v>120.83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CKL-718</v>
      </c>
      <c r="D87" t="str">
        <v>CKL-718</v>
      </c>
      <c r="E87" t="str">
        <v/>
      </c>
      <c r="F87" t="str">
        <v>867162029820636</v>
      </c>
      <c r="G87" t="str">
        <v>TBD</v>
      </c>
      <c r="H87" t="str">
        <v/>
      </c>
      <c r="I87" t="str">
        <v>28/09/2026</v>
      </c>
      <c r="J87" t="str">
        <v>10:42:22</v>
      </c>
      <c r="K87">
        <v>-12.264561</v>
      </c>
      <c r="L87">
        <v>-76.908325</v>
      </c>
      <c r="M87">
        <f>HYPERLINK("https://www.google.com/maps/search/?api=1&amp;query=-12.264561,-76.908325","Carretera Panamericana Sur, Lurín, Lima")</f>
      </c>
      <c r="N87">
        <v>80.3</v>
      </c>
      <c r="O87">
        <v>100</v>
      </c>
      <c r="P87">
        <v>22605.2</v>
      </c>
      <c r="Q87" t="str">
        <v>120.83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CKL-718</v>
      </c>
      <c r="D88" t="str">
        <v>CKL-718</v>
      </c>
      <c r="E88" t="str">
        <v/>
      </c>
      <c r="F88" t="str">
        <v>867162029820636</v>
      </c>
      <c r="G88" t="str">
        <v>TBD</v>
      </c>
      <c r="H88" t="str">
        <v/>
      </c>
      <c r="I88" t="str">
        <v>28/09/2026</v>
      </c>
      <c r="J88" t="str">
        <v>10:43:22</v>
      </c>
      <c r="K88">
        <v>-12.270844</v>
      </c>
      <c r="L88">
        <v>-76.89826</v>
      </c>
      <c r="M88">
        <f>HYPERLINK("https://www.google.com/maps/search/?api=1&amp;query=-12.270844,-76.89826","Carretera Panamericana Sur, Lurín, Lima")</f>
      </c>
      <c r="N88">
        <v>75.7</v>
      </c>
      <c r="O88">
        <v>100</v>
      </c>
      <c r="P88">
        <v>22606.5</v>
      </c>
      <c r="Q88" t="str">
        <v>120.83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CKL-718</v>
      </c>
      <c r="D89" t="str">
        <v>CKL-718</v>
      </c>
      <c r="E89" t="str">
        <v/>
      </c>
      <c r="F89" t="str">
        <v>867162029820636</v>
      </c>
      <c r="G89" t="str">
        <v>TBD</v>
      </c>
      <c r="H89" t="str">
        <v/>
      </c>
      <c r="I89" t="str">
        <v>28/09/2026</v>
      </c>
      <c r="J89" t="str">
        <v>10:44:22</v>
      </c>
      <c r="K89">
        <v>-12.276801</v>
      </c>
      <c r="L89">
        <v>-76.88878</v>
      </c>
      <c r="M89">
        <f>HYPERLINK("https://www.google.com/maps/search/?api=1&amp;query=-12.276801,-76.88878","Carretera Panamericana Sur, Lurín, Lima")</f>
      </c>
      <c r="N89">
        <v>76.3</v>
      </c>
      <c r="O89">
        <v>100</v>
      </c>
      <c r="P89">
        <v>22607.8</v>
      </c>
      <c r="Q89" t="str">
        <v>120.83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CKL-718</v>
      </c>
      <c r="D90" t="str">
        <v>CKL-718</v>
      </c>
      <c r="E90" t="str">
        <v/>
      </c>
      <c r="F90" t="str">
        <v>867162029820636</v>
      </c>
      <c r="G90" t="str">
        <v>TBD</v>
      </c>
      <c r="H90" t="str">
        <v/>
      </c>
      <c r="I90" t="str">
        <v>28/09/2026</v>
      </c>
      <c r="J90" t="str">
        <v>10:44:50</v>
      </c>
      <c r="K90">
        <v>-12.280073</v>
      </c>
      <c r="L90">
        <v>-76.883575</v>
      </c>
      <c r="M90">
        <f>HYPERLINK("https://www.google.com/maps/search/?api=1&amp;query=-12.280073,-76.883575","Carretera Panamericana Sur, Lurín, Lima")</f>
      </c>
      <c r="N90">
        <v>85.8</v>
      </c>
      <c r="O90">
        <v>100</v>
      </c>
      <c r="P90">
        <v>22608.4</v>
      </c>
      <c r="Q90" t="str">
        <v>120.83</v>
      </c>
      <c r="R90" t="str">
        <v>Excedió el límite de velocidad</v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CKL-718</v>
      </c>
      <c r="D91" t="str">
        <v>CKL-718</v>
      </c>
      <c r="E91" t="str">
        <v/>
      </c>
      <c r="F91" t="str">
        <v>867162029820636</v>
      </c>
      <c r="G91" t="str">
        <v>TBD</v>
      </c>
      <c r="H91" t="str">
        <v/>
      </c>
      <c r="I91" t="str">
        <v>28/09/2026</v>
      </c>
      <c r="J91" t="str">
        <v>10:45:22</v>
      </c>
      <c r="K91">
        <v>-12.283365</v>
      </c>
      <c r="L91">
        <v>-76.87832</v>
      </c>
      <c r="M91">
        <f>HYPERLINK("https://www.google.com/maps/search/?api=1&amp;query=-12.283365,-76.87832","Carretera Panamericana Sur, Lurín, Lima")</f>
      </c>
      <c r="N91">
        <v>81.6</v>
      </c>
      <c r="O91">
        <v>100</v>
      </c>
      <c r="P91">
        <v>22609.1</v>
      </c>
      <c r="Q91" t="str">
        <v>120.83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CKL-718</v>
      </c>
      <c r="D92" t="str">
        <v>CKL-718</v>
      </c>
      <c r="E92" t="str">
        <v/>
      </c>
      <c r="F92" t="str">
        <v>867162029820636</v>
      </c>
      <c r="G92" t="str">
        <v>TBD</v>
      </c>
      <c r="H92" t="str">
        <v/>
      </c>
      <c r="I92" t="str">
        <v>28/09/2026</v>
      </c>
      <c r="J92" t="str">
        <v>10:45:23</v>
      </c>
      <c r="K92">
        <v>-12.283696</v>
      </c>
      <c r="L92">
        <v>-76.87779</v>
      </c>
      <c r="M92">
        <f>HYPERLINK("https://www.google.com/maps/search/?api=1&amp;query=-12.283696,-76.87779","Carretera Panamericana Sur, Lurín, Lima")</f>
      </c>
      <c r="N92">
        <v>82.3</v>
      </c>
      <c r="O92">
        <v>100</v>
      </c>
      <c r="P92">
        <v>22609.2</v>
      </c>
      <c r="Q92" t="str">
        <v>120.83</v>
      </c>
      <c r="R92" t="str">
        <v>Excedió el límite de velocidad</v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CKL-718</v>
      </c>
      <c r="D93" t="str">
        <v>CKL-718</v>
      </c>
      <c r="E93" t="str">
        <v/>
      </c>
      <c r="F93" t="str">
        <v>867162029820636</v>
      </c>
      <c r="G93" t="str">
        <v>TBD</v>
      </c>
      <c r="H93" t="str">
        <v/>
      </c>
      <c r="I93" t="str">
        <v>28/09/2026</v>
      </c>
      <c r="J93" t="str">
        <v>10:46:22</v>
      </c>
      <c r="K93">
        <v>-12.289905</v>
      </c>
      <c r="L93">
        <v>-76.8679</v>
      </c>
      <c r="M93">
        <f>HYPERLINK("https://www.google.com/maps/search/?api=1&amp;query=-12.289905,-76.8679","Carretera Panamericana Sur, Lurín, Lima")</f>
      </c>
      <c r="N93">
        <v>81.2</v>
      </c>
      <c r="O93">
        <v>100</v>
      </c>
      <c r="P93">
        <v>22610.5</v>
      </c>
      <c r="Q93" t="str">
        <v>120.83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CKL-718</v>
      </c>
      <c r="D94" t="str">
        <v>CKL-718</v>
      </c>
      <c r="E94" t="str">
        <v/>
      </c>
      <c r="F94" t="str">
        <v>867162029820636</v>
      </c>
      <c r="G94" t="str">
        <v>TBD</v>
      </c>
      <c r="H94" t="str">
        <v/>
      </c>
      <c r="I94" t="str">
        <v>28/09/2026</v>
      </c>
      <c r="J94" t="str">
        <v>10:46:23</v>
      </c>
      <c r="K94">
        <v>-12.290236</v>
      </c>
      <c r="L94">
        <v>-76.86737</v>
      </c>
      <c r="M94">
        <f>HYPERLINK("https://www.google.com/maps/search/?api=1&amp;query=-12.290236,-76.86737","Carretera Panamericana Sur, Lurín, Lima")</f>
      </c>
      <c r="N94">
        <v>81.8</v>
      </c>
      <c r="O94">
        <v>100</v>
      </c>
      <c r="P94">
        <v>22610.5</v>
      </c>
      <c r="Q94" t="str">
        <v>120.83</v>
      </c>
      <c r="R94" t="str">
        <v>Excedió el límite de velocidad</v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CKL-718</v>
      </c>
      <c r="D95" t="str">
        <v>CKL-718</v>
      </c>
      <c r="E95" t="str">
        <v/>
      </c>
      <c r="F95" t="str">
        <v>867162029820636</v>
      </c>
      <c r="G95" t="str">
        <v>TBD</v>
      </c>
      <c r="H95" t="str">
        <v/>
      </c>
      <c r="I95" t="str">
        <v>28/09/2026</v>
      </c>
      <c r="J95" t="str">
        <v>10:46:50</v>
      </c>
      <c r="K95">
        <v>-12.293235</v>
      </c>
      <c r="L95">
        <v>-76.862564</v>
      </c>
      <c r="M95">
        <f>HYPERLINK("https://www.google.com/maps/search/?api=1&amp;query=-12.293235,-76.862564","Carretera Panamericana Sur, Lurín, Lima")</f>
      </c>
      <c r="N95">
        <v>82.5</v>
      </c>
      <c r="O95">
        <v>100</v>
      </c>
      <c r="P95">
        <v>22611.1</v>
      </c>
      <c r="Q95" t="str">
        <v>120.83</v>
      </c>
      <c r="R95" t="str">
        <v>Excedió el límite de velocidad</v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CKL-718</v>
      </c>
      <c r="D96" t="str">
        <v>CKL-718</v>
      </c>
      <c r="E96" t="str">
        <v/>
      </c>
      <c r="F96" t="str">
        <v>867162029820636</v>
      </c>
      <c r="G96" t="str">
        <v>TBD</v>
      </c>
      <c r="H96" t="str">
        <v/>
      </c>
      <c r="I96" t="str">
        <v>28/09/2026</v>
      </c>
      <c r="J96" t="str">
        <v>10:47:22</v>
      </c>
      <c r="K96">
        <v>-12.296444</v>
      </c>
      <c r="L96">
        <v>-76.857155</v>
      </c>
      <c r="M96">
        <f>HYPERLINK("https://www.google.com/maps/search/?api=1&amp;query=-12.296444,-76.857155","Carretera Panamericana Sur, Lurín, Lima")</f>
      </c>
      <c r="N96">
        <v>82.3</v>
      </c>
      <c r="O96">
        <v>100</v>
      </c>
      <c r="P96">
        <v>22611.8</v>
      </c>
      <c r="Q96" t="str">
        <v>120.83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CKL-718</v>
      </c>
      <c r="D97" t="str">
        <v>CKL-718</v>
      </c>
      <c r="E97" t="str">
        <v/>
      </c>
      <c r="F97" t="str">
        <v>867162029820636</v>
      </c>
      <c r="G97" t="str">
        <v>TBD</v>
      </c>
      <c r="H97" t="str">
        <v/>
      </c>
      <c r="I97" t="str">
        <v>28/09/2026</v>
      </c>
      <c r="J97" t="str">
        <v>10:48:22</v>
      </c>
      <c r="K97">
        <v>-12.30174</v>
      </c>
      <c r="L97">
        <v>-76.84525</v>
      </c>
      <c r="M97">
        <f>HYPERLINK("https://www.google.com/maps/search/?api=1&amp;query=-12.30174,-76.84525","Carretera Panamericana Sur, Lurín, Lima")</f>
      </c>
      <c r="N97">
        <v>88.7</v>
      </c>
      <c r="O97">
        <v>100</v>
      </c>
      <c r="P97">
        <v>22613.3</v>
      </c>
      <c r="Q97" t="str">
        <v>120.83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CKL-718</v>
      </c>
      <c r="D98" t="str">
        <v>CKL-718</v>
      </c>
      <c r="E98" t="str">
        <v/>
      </c>
      <c r="F98" t="str">
        <v>867162029820636</v>
      </c>
      <c r="G98" t="str">
        <v>TBD</v>
      </c>
      <c r="H98" t="str">
        <v/>
      </c>
      <c r="I98" t="str">
        <v>28/09/2026</v>
      </c>
      <c r="J98" t="str">
        <v>10:49:22</v>
      </c>
      <c r="K98">
        <v>-12.310595</v>
      </c>
      <c r="L98">
        <v>-76.8352</v>
      </c>
      <c r="M98">
        <f>HYPERLINK("https://www.google.com/maps/search/?api=1&amp;query=-12.310595,-76.8352","Carretera Panamericana Sur, Punta Hermosa, Lima")</f>
      </c>
      <c r="N98">
        <v>96.1</v>
      </c>
      <c r="O98">
        <v>100</v>
      </c>
      <c r="P98">
        <v>22614.8</v>
      </c>
      <c r="Q98" t="str">
        <v>120.83</v>
      </c>
      <c r="R98" t="str">
        <v>Exceso de velocidad en segmento vial</v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CKL-718</v>
      </c>
      <c r="D99" t="str">
        <v>CKL-718</v>
      </c>
      <c r="E99" t="str">
        <v/>
      </c>
      <c r="F99" t="str">
        <v>867162029820636</v>
      </c>
      <c r="G99" t="str">
        <v>TBD</v>
      </c>
      <c r="H99" t="str">
        <v/>
      </c>
      <c r="I99" t="str">
        <v>28/09/2026</v>
      </c>
      <c r="J99" t="str">
        <v>10:50:22</v>
      </c>
      <c r="K99">
        <v>-12.322316</v>
      </c>
      <c r="L99">
        <v>-76.82738</v>
      </c>
      <c r="M99">
        <f>HYPERLINK("https://www.google.com/maps/search/?api=1&amp;query=-12.322316,-76.82738","Carretera Panamericana Sur, Punta Hermosa, Lima")</f>
      </c>
      <c r="N99">
        <v>96.9</v>
      </c>
      <c r="O99">
        <v>100</v>
      </c>
      <c r="P99">
        <v>22616.3</v>
      </c>
      <c r="Q99" t="str">
        <v>120.83</v>
      </c>
      <c r="R99" t="str">
        <v>Exceso de velocidad en segmento vial</v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CKL-718</v>
      </c>
      <c r="D100" t="str">
        <v>CKL-718</v>
      </c>
      <c r="E100" t="str">
        <v/>
      </c>
      <c r="F100" t="str">
        <v>867162029820636</v>
      </c>
      <c r="G100" t="str">
        <v>TBD</v>
      </c>
      <c r="H100" t="str">
        <v/>
      </c>
      <c r="I100" t="str">
        <v>28/09/2026</v>
      </c>
      <c r="J100" t="str">
        <v>10:51:22</v>
      </c>
      <c r="K100">
        <v>-12.331902</v>
      </c>
      <c r="L100">
        <v>-76.82101</v>
      </c>
      <c r="M100">
        <f>HYPERLINK("https://www.google.com/maps/search/?api=1&amp;query=-12.331902,-76.82101","Carretera Panamericana Sur, Punta Hermosa, Lima")</f>
      </c>
      <c r="N100">
        <v>59.1</v>
      </c>
      <c r="O100">
        <v>100</v>
      </c>
      <c r="P100">
        <v>22617.6</v>
      </c>
      <c r="Q100" t="str">
        <v>120.83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CKL-718</v>
      </c>
      <c r="D101" t="str">
        <v>CKL-718</v>
      </c>
      <c r="E101" t="str">
        <v/>
      </c>
      <c r="F101" t="str">
        <v>867162029820636</v>
      </c>
      <c r="G101" t="str">
        <v>TBD</v>
      </c>
      <c r="H101" t="str">
        <v/>
      </c>
      <c r="I101" t="str">
        <v>28/09/2026</v>
      </c>
      <c r="J101" t="str">
        <v>10:51:50</v>
      </c>
      <c r="K101">
        <v>-12.335529</v>
      </c>
      <c r="L101">
        <v>-76.81879</v>
      </c>
      <c r="M101">
        <f>HYPERLINK("https://www.google.com/maps/search/?api=1&amp;query=-12.335529,-76.81879","Carretera Panamericana Sur, Punta Hermosa, Lima")</f>
      </c>
      <c r="N101">
        <v>29.4</v>
      </c>
      <c r="O101">
        <v>100</v>
      </c>
      <c r="P101">
        <v>22618.1</v>
      </c>
      <c r="Q101" t="str">
        <v>120.83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CKL-718</v>
      </c>
      <c r="D102" t="str">
        <v>CKL-718</v>
      </c>
      <c r="E102" t="str">
        <v/>
      </c>
      <c r="F102" t="str">
        <v>867162029820636</v>
      </c>
      <c r="G102" t="str">
        <v>TBD</v>
      </c>
      <c r="H102" t="str">
        <v/>
      </c>
      <c r="I102" t="str">
        <v>28/09/2026</v>
      </c>
      <c r="J102" t="str">
        <v>10:51:56</v>
      </c>
      <c r="K102">
        <v>-12.335857</v>
      </c>
      <c r="L102">
        <v>-76.81896</v>
      </c>
      <c r="M102">
        <f>HYPERLINK("https://www.google.com/maps/search/?api=1&amp;query=-12.335857,-76.81896","Antigua Panamericana Sur, Punta Hermosa, Lima")</f>
      </c>
      <c r="N102">
        <v>20.9</v>
      </c>
      <c r="O102">
        <v>100</v>
      </c>
      <c r="P102">
        <v>22618.1</v>
      </c>
      <c r="Q102" t="str">
        <v>120.83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CKL-718</v>
      </c>
      <c r="D103" t="str">
        <v>CKL-718</v>
      </c>
      <c r="E103" t="str">
        <v/>
      </c>
      <c r="F103" t="str">
        <v>867162029820636</v>
      </c>
      <c r="G103" t="str">
        <v>TBD</v>
      </c>
      <c r="H103" t="str">
        <v/>
      </c>
      <c r="I103" t="str">
        <v>28/09/2026</v>
      </c>
      <c r="J103" t="str">
        <v>10:51:59</v>
      </c>
      <c r="K103">
        <v>-12.33586</v>
      </c>
      <c r="L103">
        <v>-76.81911</v>
      </c>
      <c r="M103">
        <f>HYPERLINK("https://www.google.com/maps/search/?api=1&amp;query=-12.33586,-76.81911","Antigua Panamericana Sur, Punta Hermosa, Lima")</f>
      </c>
      <c r="N103">
        <v>20.5</v>
      </c>
      <c r="O103">
        <v>100</v>
      </c>
      <c r="P103">
        <v>22618.1</v>
      </c>
      <c r="Q103" t="str">
        <v>120.83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CKL-718</v>
      </c>
      <c r="D104" t="str">
        <v>CKL-718</v>
      </c>
      <c r="E104" t="str">
        <v/>
      </c>
      <c r="F104" t="str">
        <v>867162029820636</v>
      </c>
      <c r="G104" t="str">
        <v>TBD</v>
      </c>
      <c r="H104" t="str">
        <v/>
      </c>
      <c r="I104" t="str">
        <v>28/09/2026</v>
      </c>
      <c r="J104" t="str">
        <v>10:52:22</v>
      </c>
      <c r="K104">
        <v>-12.334675</v>
      </c>
      <c r="L104">
        <v>-76.81993</v>
      </c>
      <c r="M104">
        <f>HYPERLINK("https://www.google.com/maps/search/?api=1&amp;query=-12.334675,-76.81993","Antigua Panamericana Sur, Punta Hermosa, Lima")</f>
      </c>
      <c r="N104">
        <v>29.3</v>
      </c>
      <c r="O104">
        <v>100</v>
      </c>
      <c r="P104">
        <v>22618.3</v>
      </c>
      <c r="Q104" t="str">
        <v>120.83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CKL-718</v>
      </c>
      <c r="D105" t="str">
        <v>CKL-718</v>
      </c>
      <c r="E105" t="str">
        <v/>
      </c>
      <c r="F105" t="str">
        <v>867162029820636</v>
      </c>
      <c r="G105" t="str">
        <v>TBD</v>
      </c>
      <c r="H105" t="str">
        <v/>
      </c>
      <c r="I105" t="str">
        <v>28/09/2026</v>
      </c>
      <c r="J105" t="str">
        <v>10:52:44</v>
      </c>
      <c r="K105">
        <v>-12.33383</v>
      </c>
      <c r="L105">
        <v>-76.82052</v>
      </c>
      <c r="M105">
        <f>HYPERLINK("https://www.google.com/maps/search/?api=1&amp;query=-12.33383,-76.82052","Antigua Panamericana Sur, Punta Hermosa, Lima")</f>
      </c>
      <c r="N105">
        <v>14</v>
      </c>
      <c r="O105">
        <v>100</v>
      </c>
      <c r="P105">
        <v>22618.4</v>
      </c>
      <c r="Q105" t="str">
        <v>120.83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CKL-718</v>
      </c>
      <c r="D106" t="str">
        <v>CKL-718</v>
      </c>
      <c r="E106" t="str">
        <v/>
      </c>
      <c r="F106" t="str">
        <v>867162029820636</v>
      </c>
      <c r="G106" t="str">
        <v>TBD</v>
      </c>
      <c r="H106" t="str">
        <v/>
      </c>
      <c r="I106" t="str">
        <v>28/09/2026</v>
      </c>
      <c r="J106" t="str">
        <v>10:52:47</v>
      </c>
      <c r="K106">
        <v>-12.333744</v>
      </c>
      <c r="L106">
        <v>-76.820496</v>
      </c>
      <c r="M106">
        <f>HYPERLINK("https://www.google.com/maps/search/?api=1&amp;query=-12.333744,-76.820496","Antigua Panamericana Sur, Punta Hermosa, Lima")</f>
      </c>
      <c r="N106">
        <v>13.5</v>
      </c>
      <c r="O106">
        <v>100</v>
      </c>
      <c r="P106">
        <v>22618.4</v>
      </c>
      <c r="Q106" t="str">
        <v>120.83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CKL-718</v>
      </c>
      <c r="D107" t="str">
        <v>CKL-718</v>
      </c>
      <c r="E107" t="str">
        <v/>
      </c>
      <c r="F107" t="str">
        <v>867162029820636</v>
      </c>
      <c r="G107" t="str">
        <v>TBD</v>
      </c>
      <c r="H107" t="str">
        <v/>
      </c>
      <c r="I107" t="str">
        <v>28/09/2026</v>
      </c>
      <c r="J107" t="str">
        <v>10:52:50</v>
      </c>
      <c r="K107">
        <v>-12.333718</v>
      </c>
      <c r="L107">
        <v>-76.82037</v>
      </c>
      <c r="M107">
        <f>HYPERLINK("https://www.google.com/maps/search/?api=1&amp;query=-12.333718,-76.82037","Antigua Panamericana Sur, Punta Hermosa, Lima")</f>
      </c>
      <c r="N107">
        <v>20.7</v>
      </c>
      <c r="O107">
        <v>100</v>
      </c>
      <c r="P107">
        <v>22618.4</v>
      </c>
      <c r="Q107" t="str">
        <v>120.83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CKL-718</v>
      </c>
      <c r="D108" t="str">
        <v>CKL-718</v>
      </c>
      <c r="E108" t="str">
        <v/>
      </c>
      <c r="F108" t="str">
        <v>867162029820636</v>
      </c>
      <c r="G108" t="str">
        <v>TBD</v>
      </c>
      <c r="H108" t="str">
        <v/>
      </c>
      <c r="I108" t="str">
        <v>28/09/2026</v>
      </c>
      <c r="J108" t="str">
        <v>10:53:02</v>
      </c>
      <c r="K108">
        <v>-12.333496</v>
      </c>
      <c r="L108">
        <v>-76.8197</v>
      </c>
      <c r="M108">
        <f>HYPERLINK("https://www.google.com/maps/search/?api=1&amp;query=-12.333496,-76.8197","Carretera Panamericana Sur, Punta Hermosa, Lima")</f>
      </c>
      <c r="N108">
        <v>24</v>
      </c>
      <c r="O108">
        <v>100</v>
      </c>
      <c r="P108">
        <v>22618.5</v>
      </c>
      <c r="Q108" t="str">
        <v>120.83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CKL-718</v>
      </c>
      <c r="D109" t="str">
        <v>CKL-718</v>
      </c>
      <c r="E109" t="str">
        <v/>
      </c>
      <c r="F109" t="str">
        <v>867162029820636</v>
      </c>
      <c r="G109" t="str">
        <v>TBD</v>
      </c>
      <c r="H109" t="str">
        <v/>
      </c>
      <c r="I109" t="str">
        <v>28/09/2026</v>
      </c>
      <c r="J109" t="str">
        <v>10:53:08</v>
      </c>
      <c r="K109">
        <v>-12.333128</v>
      </c>
      <c r="L109">
        <v>-76.81969</v>
      </c>
      <c r="M109">
        <f>HYPERLINK("https://www.google.com/maps/search/?api=1&amp;query=-12.333128,-76.81969","Punta Hermosa, Lima")</f>
      </c>
      <c r="N109">
        <v>32.3</v>
      </c>
      <c r="O109">
        <v>100</v>
      </c>
      <c r="P109">
        <v>22618.5</v>
      </c>
      <c r="Q109" t="str">
        <v>120.83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CKL-718</v>
      </c>
      <c r="D110" t="str">
        <v>CKL-718</v>
      </c>
      <c r="E110" t="str">
        <v/>
      </c>
      <c r="F110" t="str">
        <v>867162029820636</v>
      </c>
      <c r="G110" t="str">
        <v>TBD</v>
      </c>
      <c r="H110" t="str">
        <v/>
      </c>
      <c r="I110" t="str">
        <v>28/09/2026</v>
      </c>
      <c r="J110" t="str">
        <v>10:53:22</v>
      </c>
      <c r="K110">
        <v>-12.332299</v>
      </c>
      <c r="L110">
        <v>-76.8204</v>
      </c>
      <c r="M110">
        <f>HYPERLINK("https://www.google.com/maps/search/?api=1&amp;query=-12.332299,-76.8204","Carretera Panamericana Sur, Punta Hermosa, Lima")</f>
      </c>
      <c r="N110">
        <v>34.4</v>
      </c>
      <c r="O110">
        <v>100</v>
      </c>
      <c r="P110">
        <v>22618.6</v>
      </c>
      <c r="Q110" t="str">
        <v>120.83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CKL-718</v>
      </c>
      <c r="D111" t="str">
        <v>CKL-718</v>
      </c>
      <c r="E111" t="str">
        <v/>
      </c>
      <c r="F111" t="str">
        <v>867162029820636</v>
      </c>
      <c r="G111" t="str">
        <v>TBD</v>
      </c>
      <c r="H111" t="str">
        <v/>
      </c>
      <c r="I111" t="str">
        <v>28/09/2026</v>
      </c>
      <c r="J111" t="str">
        <v>10:53:47</v>
      </c>
      <c r="K111">
        <v>-12.328632</v>
      </c>
      <c r="L111">
        <v>-76.823074</v>
      </c>
      <c r="M111">
        <f>HYPERLINK("https://www.google.com/maps/search/?api=1&amp;query=-12.328632,-76.823074","Carretera Panamericana Sur, Punta Hermosa, Lima")</f>
      </c>
      <c r="N111">
        <v>87.7</v>
      </c>
      <c r="O111">
        <v>100</v>
      </c>
      <c r="P111">
        <v>22619.2</v>
      </c>
      <c r="Q111" t="str">
        <v>120.83</v>
      </c>
      <c r="R111" t="str">
        <v>Excedió el límite de velocidad</v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CKL-718</v>
      </c>
      <c r="D112" t="str">
        <v>CKL-718</v>
      </c>
      <c r="E112" t="str">
        <v/>
      </c>
      <c r="F112" t="str">
        <v>867162029820636</v>
      </c>
      <c r="G112" t="str">
        <v>TBD</v>
      </c>
      <c r="H112" t="str">
        <v/>
      </c>
      <c r="I112" t="str">
        <v>28/09/2026</v>
      </c>
      <c r="J112" t="str">
        <v>10:54:22</v>
      </c>
      <c r="K112">
        <v>-12.322219</v>
      </c>
      <c r="L112">
        <v>-76.82736</v>
      </c>
      <c r="M112">
        <f>HYPERLINK("https://www.google.com/maps/search/?api=1&amp;query=-12.322219,-76.82736","Carretera Panamericana Sur, Punta Hermosa, Lima")</f>
      </c>
      <c r="N112">
        <v>96</v>
      </c>
      <c r="O112">
        <v>100</v>
      </c>
      <c r="P112">
        <v>22620</v>
      </c>
      <c r="Q112" t="str">
        <v>120.83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CKL-718</v>
      </c>
      <c r="D113" t="str">
        <v>CKL-718</v>
      </c>
      <c r="E113" t="str">
        <v/>
      </c>
      <c r="F113" t="str">
        <v>867162029820636</v>
      </c>
      <c r="G113" t="str">
        <v>TBD</v>
      </c>
      <c r="H113" t="str">
        <v/>
      </c>
      <c r="I113" t="str">
        <v>28/09/2026</v>
      </c>
      <c r="J113" t="str">
        <v>10:54:50</v>
      </c>
      <c r="K113">
        <v>-12.318074</v>
      </c>
      <c r="L113">
        <v>-76.82982</v>
      </c>
      <c r="M113">
        <f>HYPERLINK("https://www.google.com/maps/search/?api=1&amp;query=-12.318074,-76.82982","Carretera Panamericana Sur, Punta Hermosa, Lima")</f>
      </c>
      <c r="N113">
        <v>24.1</v>
      </c>
      <c r="O113">
        <v>100</v>
      </c>
      <c r="P113">
        <v>22620.5</v>
      </c>
      <c r="Q113" t="str">
        <v>120.83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CKL-718</v>
      </c>
      <c r="D114" t="str">
        <v>CKL-718</v>
      </c>
      <c r="E114" t="str">
        <v/>
      </c>
      <c r="F114" t="str">
        <v>867162029820636</v>
      </c>
      <c r="G114" t="str">
        <v>TBD</v>
      </c>
      <c r="H114" t="str">
        <v/>
      </c>
      <c r="I114" t="str">
        <v>28/09/2026</v>
      </c>
      <c r="J114" t="str">
        <v>10:54:59</v>
      </c>
      <c r="K114">
        <v>-12.317697</v>
      </c>
      <c r="L114">
        <v>-76.829704</v>
      </c>
      <c r="M114">
        <f>HYPERLINK("https://www.google.com/maps/search/?api=1&amp;query=-12.317697,-76.829704","Punta Hermosa, Lima")</f>
      </c>
      <c r="N114">
        <v>10.3</v>
      </c>
      <c r="O114">
        <v>100</v>
      </c>
      <c r="P114">
        <v>22620.6</v>
      </c>
      <c r="Q114" t="str">
        <v>120.83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CKL-718</v>
      </c>
      <c r="D115" t="str">
        <v>CKL-718</v>
      </c>
      <c r="E115" t="str">
        <v/>
      </c>
      <c r="F115" t="str">
        <v>867162029820636</v>
      </c>
      <c r="G115" t="str">
        <v>TBD</v>
      </c>
      <c r="H115" t="str">
        <v/>
      </c>
      <c r="I115" t="str">
        <v>28/09/2026</v>
      </c>
      <c r="J115" t="str">
        <v>10:55:22</v>
      </c>
      <c r="K115">
        <v>-12.317555</v>
      </c>
      <c r="L115">
        <v>-76.829506</v>
      </c>
      <c r="M115">
        <f>HYPERLINK("https://www.google.com/maps/search/?api=1&amp;query=-12.317555,-76.829506","Punta Hermosa, Lima")</f>
      </c>
      <c r="N115">
        <v>0</v>
      </c>
      <c r="O115">
        <v>100</v>
      </c>
      <c r="P115">
        <v>22620.6</v>
      </c>
      <c r="Q115" t="str">
        <v>120.83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CKL-718</v>
      </c>
      <c r="D116" t="str">
        <v>CKL-718</v>
      </c>
      <c r="E116" t="str">
        <v/>
      </c>
      <c r="F116" t="str">
        <v>867162029820636</v>
      </c>
      <c r="G116" t="str">
        <v>TBD</v>
      </c>
      <c r="H116" t="str">
        <v/>
      </c>
      <c r="I116" t="str">
        <v>28/09/2026</v>
      </c>
      <c r="J116" t="str">
        <v>10:55:22</v>
      </c>
      <c r="K116">
        <v>-12.317555</v>
      </c>
      <c r="L116">
        <v>-76.829506</v>
      </c>
      <c r="M116">
        <f>HYPERLINK("https://www.google.com/maps/search/?api=1&amp;query=-12.317555,-76.829506","Punta Hermosa, Lima")</f>
      </c>
      <c r="N116">
        <v>0</v>
      </c>
      <c r="O116">
        <v>100</v>
      </c>
      <c r="P116">
        <v>22618.6</v>
      </c>
      <c r="Q116" t="str">
        <v>120.83</v>
      </c>
      <c r="R116" t="str">
        <v>Llegó a la zona</v>
      </c>
      <c r="S116" t="str">
        <v>MASS BSF 1</v>
      </c>
      <c r="T116" t="str">
        <v xml:space="preserve"> </v>
      </c>
      <c r="U116" t="str">
        <v/>
      </c>
    </row>
    <row r="117">
      <c r="A117" t="str">
        <v>116</v>
      </c>
      <c r="B117" t="str">
        <v>MASS BSF</v>
      </c>
      <c r="C117" t="str">
        <v>CKL-718</v>
      </c>
      <c r="D117" t="str">
        <v>CKL-718</v>
      </c>
      <c r="E117" t="str">
        <v/>
      </c>
      <c r="F117" t="str">
        <v>867162029820636</v>
      </c>
      <c r="G117" t="str">
        <v>TBD</v>
      </c>
      <c r="H117" t="str">
        <v/>
      </c>
      <c r="I117" t="str">
        <v>28/09/2026</v>
      </c>
      <c r="J117" t="str">
        <v>10:56:22</v>
      </c>
      <c r="K117">
        <v>-12.316188</v>
      </c>
      <c r="L117">
        <v>-76.82724</v>
      </c>
      <c r="M117">
        <f>HYPERLINK("https://www.google.com/maps/search/?api=1&amp;query=-12.316188,-76.82724","Punta Hermosa, Lima")</f>
      </c>
      <c r="N117">
        <v>21.3</v>
      </c>
      <c r="O117">
        <v>100</v>
      </c>
      <c r="P117">
        <v>22620.9</v>
      </c>
      <c r="Q117" t="str">
        <v>120.83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CKL-718</v>
      </c>
      <c r="D118" t="str">
        <v>CKL-718</v>
      </c>
      <c r="E118" t="str">
        <v/>
      </c>
      <c r="F118" t="str">
        <v>867162029820636</v>
      </c>
      <c r="G118" t="str">
        <v>TBD</v>
      </c>
      <c r="H118" t="str">
        <v/>
      </c>
      <c r="I118" t="str">
        <v>28/09/2026</v>
      </c>
      <c r="J118" t="str">
        <v>10:56:23</v>
      </c>
      <c r="K118">
        <v>-12.316229</v>
      </c>
      <c r="L118">
        <v>-76.82709</v>
      </c>
      <c r="M118">
        <f>HYPERLINK("https://www.google.com/maps/search/?api=1&amp;query=-12.316229,-76.82709","Punta Hermosa, Lima")</f>
      </c>
      <c r="N118">
        <v>23.6</v>
      </c>
      <c r="O118">
        <v>100</v>
      </c>
      <c r="P118">
        <v>22620.9</v>
      </c>
      <c r="Q118" t="str">
        <v>120.83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CKL-718</v>
      </c>
      <c r="D119" t="str">
        <v>CKL-718</v>
      </c>
      <c r="E119" t="str">
        <v/>
      </c>
      <c r="F119" t="str">
        <v>867162029820636</v>
      </c>
      <c r="G119" t="str">
        <v>TBD</v>
      </c>
      <c r="H119" t="str">
        <v/>
      </c>
      <c r="I119" t="str">
        <v>28/09/2026</v>
      </c>
      <c r="J119" t="str">
        <v>10:56:41</v>
      </c>
      <c r="K119">
        <v>-12.31731</v>
      </c>
      <c r="L119">
        <v>-76.82626</v>
      </c>
      <c r="M119">
        <f>HYPERLINK("https://www.google.com/maps/search/?api=1&amp;query=-12.31731,-76.82626","Punta Hermosa, Lima")</f>
      </c>
      <c r="N119">
        <v>18.5</v>
      </c>
      <c r="O119">
        <v>100</v>
      </c>
      <c r="P119">
        <v>22621</v>
      </c>
      <c r="Q119" t="str">
        <v>120.83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CKL-718</v>
      </c>
      <c r="D120" t="str">
        <v>CKL-718</v>
      </c>
      <c r="E120" t="str">
        <v/>
      </c>
      <c r="F120" t="str">
        <v>867162029820636</v>
      </c>
      <c r="G120" t="str">
        <v>TBD</v>
      </c>
      <c r="H120" t="str">
        <v/>
      </c>
      <c r="I120" t="str">
        <v>28/09/2026</v>
      </c>
      <c r="J120" t="str">
        <v>10:56:47</v>
      </c>
      <c r="K120">
        <v>-12.317251</v>
      </c>
      <c r="L120">
        <v>-76.826035</v>
      </c>
      <c r="M120">
        <f>HYPERLINK("https://www.google.com/maps/search/?api=1&amp;query=-12.317251,-76.826035","Punta Hermosa, Lima")</f>
      </c>
      <c r="N120">
        <v>15.3</v>
      </c>
      <c r="O120">
        <v>100</v>
      </c>
      <c r="P120">
        <v>22621.1</v>
      </c>
      <c r="Q120" t="str">
        <v>120.83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CKL-718</v>
      </c>
      <c r="D121" t="str">
        <v>CKL-718</v>
      </c>
      <c r="E121" t="str">
        <v/>
      </c>
      <c r="F121" t="str">
        <v>867162029820636</v>
      </c>
      <c r="G121" t="str">
        <v>TBD</v>
      </c>
      <c r="H121" t="str">
        <v/>
      </c>
      <c r="I121" t="str">
        <v>28/09/2026</v>
      </c>
      <c r="J121" t="str">
        <v>10:57:11</v>
      </c>
      <c r="K121">
        <v>-12.316788</v>
      </c>
      <c r="L121">
        <v>-76.825096</v>
      </c>
      <c r="M121">
        <f>HYPERLINK("https://www.google.com/maps/search/?api=1&amp;query=-12.316788,-76.825096","Punta Hermosa, Lima")</f>
      </c>
      <c r="N121">
        <v>4.6</v>
      </c>
      <c r="O121">
        <v>100</v>
      </c>
      <c r="P121">
        <v>22621.2</v>
      </c>
      <c r="Q121" t="str">
        <v>120.83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CKL-718</v>
      </c>
      <c r="D122" t="str">
        <v>CKL-718</v>
      </c>
      <c r="E122" t="str">
        <v/>
      </c>
      <c r="F122" t="str">
        <v>867162029820636</v>
      </c>
      <c r="G122" t="str">
        <v>TBD</v>
      </c>
      <c r="H122" t="str">
        <v/>
      </c>
      <c r="I122" t="str">
        <v>28/09/2026</v>
      </c>
      <c r="J122" t="str">
        <v>10:57:22</v>
      </c>
      <c r="K122">
        <v>-12.317009</v>
      </c>
      <c r="L122">
        <v>-76.82488</v>
      </c>
      <c r="M122">
        <f>HYPERLINK("https://www.google.com/maps/search/?api=1&amp;query=-12.317009,-76.82488","Punta Hermosa, Lima")</f>
      </c>
      <c r="N122">
        <v>17.3</v>
      </c>
      <c r="O122">
        <v>100</v>
      </c>
      <c r="P122">
        <v>22621.2</v>
      </c>
      <c r="Q122" t="str">
        <v>120.83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CKL-718</v>
      </c>
      <c r="D123" t="str">
        <v>CKL-718</v>
      </c>
      <c r="E123" t="str">
        <v/>
      </c>
      <c r="F123" t="str">
        <v>867162029820636</v>
      </c>
      <c r="G123" t="str">
        <v>TBD</v>
      </c>
      <c r="H123" t="str">
        <v/>
      </c>
      <c r="I123" t="str">
        <v>28/09/2026</v>
      </c>
      <c r="J123" t="str">
        <v>10:58:14</v>
      </c>
      <c r="K123">
        <v>-12.31782</v>
      </c>
      <c r="L123">
        <v>-76.82423</v>
      </c>
      <c r="M123">
        <f>HYPERLINK("https://www.google.com/maps/search/?api=1&amp;query=-12.31782,-76.82423","Punta Hermosa, Lima")</f>
      </c>
      <c r="N123">
        <v>5.4</v>
      </c>
      <c r="O123">
        <v>100</v>
      </c>
      <c r="P123">
        <v>22621.3</v>
      </c>
      <c r="Q123" t="str">
        <v>120.83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CKL-718</v>
      </c>
      <c r="D124" t="str">
        <v>CKL-718</v>
      </c>
      <c r="E124" t="str">
        <v/>
      </c>
      <c r="F124" t="str">
        <v>867162029820636</v>
      </c>
      <c r="G124" t="str">
        <v>TBD</v>
      </c>
      <c r="H124" t="str">
        <v/>
      </c>
      <c r="I124" t="str">
        <v>28/09/2026</v>
      </c>
      <c r="J124" t="str">
        <v>10:58:22</v>
      </c>
      <c r="K124">
        <v>-12.317971</v>
      </c>
      <c r="L124">
        <v>-76.82414</v>
      </c>
      <c r="M124">
        <f>HYPERLINK("https://www.google.com/maps/search/?api=1&amp;query=-12.317971,-76.82414","Punta Hermosa, Lima")</f>
      </c>
      <c r="N124">
        <v>12.7</v>
      </c>
      <c r="O124">
        <v>100</v>
      </c>
      <c r="P124">
        <v>22621.4</v>
      </c>
      <c r="Q124" t="str">
        <v>120.83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CKL-718</v>
      </c>
      <c r="D125" t="str">
        <v>CKL-718</v>
      </c>
      <c r="E125" t="str">
        <v/>
      </c>
      <c r="F125" t="str">
        <v>867162029820636</v>
      </c>
      <c r="G125" t="str">
        <v>TBD</v>
      </c>
      <c r="H125" t="str">
        <v/>
      </c>
      <c r="I125" t="str">
        <v>28/09/2026</v>
      </c>
      <c r="J125" t="str">
        <v>10:58:38</v>
      </c>
      <c r="K125">
        <v>-12.318482</v>
      </c>
      <c r="L125">
        <v>-76.82381</v>
      </c>
      <c r="M125">
        <f>HYPERLINK("https://www.google.com/maps/search/?api=1&amp;query=-12.318482,-76.82381","Punta Hermosa, Lima")</f>
      </c>
      <c r="N125">
        <v>11</v>
      </c>
      <c r="O125">
        <v>100</v>
      </c>
      <c r="P125">
        <v>22621.4</v>
      </c>
      <c r="Q125" t="str">
        <v>120.83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CKL-718</v>
      </c>
      <c r="D126" t="str">
        <v>CKL-718</v>
      </c>
      <c r="E126" t="str">
        <v/>
      </c>
      <c r="F126" t="str">
        <v>867162029820636</v>
      </c>
      <c r="G126" t="str">
        <v>TBD</v>
      </c>
      <c r="H126" t="str">
        <v/>
      </c>
      <c r="I126" t="str">
        <v>28/09/2026</v>
      </c>
      <c r="J126" t="str">
        <v>10:58:44</v>
      </c>
      <c r="K126">
        <v>-12.318421</v>
      </c>
      <c r="L126">
        <v>-76.823616</v>
      </c>
      <c r="M126">
        <f>HYPERLINK("https://www.google.com/maps/search/?api=1&amp;query=-12.318421,-76.823616","Punta Hermosa, Lima")</f>
      </c>
      <c r="N126">
        <v>15.7</v>
      </c>
      <c r="O126">
        <v>100</v>
      </c>
      <c r="P126">
        <v>22621.4</v>
      </c>
      <c r="Q126" t="str">
        <v>120.83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CKL-718</v>
      </c>
      <c r="D127" t="str">
        <v>CKL-718</v>
      </c>
      <c r="E127" t="str">
        <v/>
      </c>
      <c r="F127" t="str">
        <v>867162029820636</v>
      </c>
      <c r="G127" t="str">
        <v>TBD</v>
      </c>
      <c r="H127" t="str">
        <v/>
      </c>
      <c r="I127" t="str">
        <v>28/09/2026</v>
      </c>
      <c r="J127" t="str">
        <v>10:59:08</v>
      </c>
      <c r="K127">
        <v>-12.317851</v>
      </c>
      <c r="L127">
        <v>-76.82292</v>
      </c>
      <c r="M127">
        <f>HYPERLINK("https://www.google.com/maps/search/?api=1&amp;query=-12.317851,-76.82292","Punta Hermosa, Lima")</f>
      </c>
      <c r="N127">
        <v>15.6</v>
      </c>
      <c r="O127">
        <v>100</v>
      </c>
      <c r="P127">
        <v>22621.6</v>
      </c>
      <c r="Q127" t="str">
        <v>120.83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CKL-718</v>
      </c>
      <c r="D128" t="str">
        <v>CKL-718</v>
      </c>
      <c r="E128" t="str">
        <v/>
      </c>
      <c r="F128" t="str">
        <v>867162029820636</v>
      </c>
      <c r="G128" t="str">
        <v>TBD</v>
      </c>
      <c r="H128" t="str">
        <v/>
      </c>
      <c r="I128" t="str">
        <v>28/09/2026</v>
      </c>
      <c r="J128" t="str">
        <v>10:59:22</v>
      </c>
      <c r="K128">
        <v>-12.317465</v>
      </c>
      <c r="L128">
        <v>-76.82291</v>
      </c>
      <c r="M128">
        <f>HYPERLINK("https://www.google.com/maps/search/?api=1&amp;query=-12.317465,-76.82291","Punta Hermosa, Lima")</f>
      </c>
      <c r="N128">
        <v>9.1</v>
      </c>
      <c r="O128">
        <v>100</v>
      </c>
      <c r="P128">
        <v>22621.6</v>
      </c>
      <c r="Q128" t="str">
        <v>120.83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CKL-718</v>
      </c>
      <c r="D129" t="str">
        <v>CKL-718</v>
      </c>
      <c r="E129" t="str">
        <v/>
      </c>
      <c r="F129" t="str">
        <v>867162029820636</v>
      </c>
      <c r="G129" t="str">
        <v>TBD</v>
      </c>
      <c r="H129" t="str">
        <v/>
      </c>
      <c r="I129" t="str">
        <v>28/09/2026</v>
      </c>
      <c r="J129" t="str">
        <v>10:59:29</v>
      </c>
      <c r="K129">
        <v>-12.317285</v>
      </c>
      <c r="L129">
        <v>-76.82293</v>
      </c>
      <c r="M129">
        <f>HYPERLINK("https://www.google.com/maps/search/?api=1&amp;query=-12.317285,-76.82293","Punta Hermosa, Lima")</f>
      </c>
      <c r="N129">
        <v>6.8</v>
      </c>
      <c r="O129">
        <v>100</v>
      </c>
      <c r="P129">
        <v>22621.6</v>
      </c>
      <c r="Q129" t="str">
        <v>120.83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CKL-718</v>
      </c>
      <c r="D130" t="str">
        <v>CKL-718</v>
      </c>
      <c r="E130" t="str">
        <v/>
      </c>
      <c r="F130" t="str">
        <v>867162029820636</v>
      </c>
      <c r="G130" t="str">
        <v>TBD</v>
      </c>
      <c r="H130" t="str">
        <v/>
      </c>
      <c r="I130" t="str">
        <v>28/09/2026</v>
      </c>
      <c r="J130" t="str">
        <v>10:59:35</v>
      </c>
      <c r="K130">
        <v>-12.317312</v>
      </c>
      <c r="L130">
        <v>-76.82293</v>
      </c>
      <c r="M130">
        <f>HYPERLINK("https://www.google.com/maps/search/?api=1&amp;query=-12.317312,-76.82293","Punta Hermosa, Lima")</f>
      </c>
      <c r="N130">
        <v>4.8</v>
      </c>
      <c r="O130">
        <v>100</v>
      </c>
      <c r="P130">
        <v>22621.6</v>
      </c>
      <c r="Q130" t="str">
        <v>120.83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CKL-718</v>
      </c>
      <c r="D131" t="str">
        <v>CKL-718</v>
      </c>
      <c r="E131" t="str">
        <v/>
      </c>
      <c r="F131" t="str">
        <v>867162029820636</v>
      </c>
      <c r="G131" t="str">
        <v>TBD</v>
      </c>
      <c r="H131" t="str">
        <v/>
      </c>
      <c r="I131" t="str">
        <v>28/09/2026</v>
      </c>
      <c r="J131" t="str">
        <v>11:00:22</v>
      </c>
      <c r="K131">
        <v>-12.317334</v>
      </c>
      <c r="L131">
        <v>-76.822945</v>
      </c>
      <c r="M131">
        <f>HYPERLINK("https://www.google.com/maps/search/?api=1&amp;query=-12.317334,-76.822945","Punta Hermosa, Lima")</f>
      </c>
      <c r="N131">
        <v>0</v>
      </c>
      <c r="O131">
        <v>100</v>
      </c>
      <c r="P131">
        <v>22621.6</v>
      </c>
      <c r="Q131" t="str">
        <v>120.83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CKL-718</v>
      </c>
      <c r="D132" t="str">
        <v>CKL-718</v>
      </c>
      <c r="E132" t="str">
        <v/>
      </c>
      <c r="F132" t="str">
        <v>867162029820636</v>
      </c>
      <c r="G132" t="str">
        <v>TBD</v>
      </c>
      <c r="H132" t="str">
        <v/>
      </c>
      <c r="I132" t="str">
        <v>28/09/2026</v>
      </c>
      <c r="J132" t="str">
        <v>11:01:22</v>
      </c>
      <c r="K132">
        <v>-12.317334</v>
      </c>
      <c r="L132">
        <v>-76.822945</v>
      </c>
      <c r="M132">
        <f>HYPERLINK("https://www.google.com/maps/search/?api=1&amp;query=-12.317334,-76.822945","Punta Hermosa, Lima")</f>
      </c>
      <c r="N132">
        <v>0</v>
      </c>
      <c r="O132">
        <v>100</v>
      </c>
      <c r="P132">
        <v>22621.6</v>
      </c>
      <c r="Q132" t="str">
        <v>120.83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CKL-718</v>
      </c>
      <c r="D133" t="str">
        <v>CKL-718</v>
      </c>
      <c r="E133" t="str">
        <v/>
      </c>
      <c r="F133" t="str">
        <v>867162029820636</v>
      </c>
      <c r="G133" t="str">
        <v>TBD</v>
      </c>
      <c r="H133" t="str">
        <v/>
      </c>
      <c r="I133" t="str">
        <v>28/09/2026</v>
      </c>
      <c r="J133" t="str">
        <v>11:02:08</v>
      </c>
      <c r="K133">
        <v>-12.317334</v>
      </c>
      <c r="L133">
        <v>-76.822945</v>
      </c>
      <c r="M133">
        <f>HYPERLINK("https://www.google.com/maps/search/?api=1&amp;query=-12.317334,-76.822945","Punta Hermosa, Lima")</f>
      </c>
      <c r="N133">
        <v>0</v>
      </c>
      <c r="O133">
        <v>100</v>
      </c>
      <c r="P133">
        <v>22621.6</v>
      </c>
      <c r="Q133" t="str">
        <v>121.72</v>
      </c>
      <c r="R133" t="str">
        <v>Vehículo apagado</v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CKL-718</v>
      </c>
      <c r="D134" t="str">
        <v>CKL-718</v>
      </c>
      <c r="E134" t="str">
        <v/>
      </c>
      <c r="F134" t="str">
        <v>867162029820636</v>
      </c>
      <c r="G134" t="str">
        <v>TBD</v>
      </c>
      <c r="H134" t="str">
        <v/>
      </c>
      <c r="I134" t="str">
        <v>28/09/2026</v>
      </c>
      <c r="J134" t="str">
        <v>11:02:13</v>
      </c>
      <c r="K134">
        <v>-12.317334</v>
      </c>
      <c r="L134">
        <v>-76.822945</v>
      </c>
      <c r="M134">
        <f>HYPERLINK("https://www.google.com/maps/search/?api=1&amp;query=-12.317334,-76.822945","Punta Hermosa, Lima")</f>
      </c>
      <c r="N134">
        <v>0</v>
      </c>
      <c r="O134">
        <v>100</v>
      </c>
      <c r="P134">
        <v>22621.6</v>
      </c>
      <c r="Q134" t="str">
        <v>121.72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CKL-718</v>
      </c>
      <c r="D135" t="str">
        <v>CKL-718</v>
      </c>
      <c r="E135" t="str">
        <v/>
      </c>
      <c r="F135" t="str">
        <v>867162029820636</v>
      </c>
      <c r="G135" t="str">
        <v>TBD</v>
      </c>
      <c r="H135" t="str">
        <v/>
      </c>
      <c r="I135" t="str">
        <v>28/09/2026</v>
      </c>
      <c r="J135" t="str">
        <v>11:17:52</v>
      </c>
      <c r="K135">
        <v>-12.317334</v>
      </c>
      <c r="L135">
        <v>-76.822945</v>
      </c>
      <c r="M135">
        <f>HYPERLINK("https://www.google.com/maps/search/?api=1&amp;query=-12.317334,-76.822945","Punta Hermosa, Lima")</f>
      </c>
      <c r="N135">
        <v>0</v>
      </c>
      <c r="O135">
        <v>100</v>
      </c>
      <c r="P135">
        <v>22621.6</v>
      </c>
      <c r="Q135" t="str">
        <v>121.72</v>
      </c>
      <c r="R135" t="str">
        <v>Vehículo encendido</v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CKL-718</v>
      </c>
      <c r="D136" t="str">
        <v>CKL-718</v>
      </c>
      <c r="E136" t="str">
        <v/>
      </c>
      <c r="F136" t="str">
        <v>867162029820636</v>
      </c>
      <c r="G136" t="str">
        <v>TBD</v>
      </c>
      <c r="H136" t="str">
        <v/>
      </c>
      <c r="I136" t="str">
        <v>28/09/2026</v>
      </c>
      <c r="J136" t="str">
        <v>11:17:59</v>
      </c>
      <c r="K136">
        <v>-12.317401</v>
      </c>
      <c r="L136">
        <v>-76.822975</v>
      </c>
      <c r="M136">
        <f>HYPERLINK("https://www.google.com/maps/search/?api=1&amp;query=-12.317401,-76.822975","Punta Hermosa, Lima")</f>
      </c>
      <c r="N136">
        <v>0.1</v>
      </c>
      <c r="O136">
        <v>100</v>
      </c>
      <c r="P136">
        <v>22621.6</v>
      </c>
      <c r="Q136" t="str">
        <v>121.72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CKL-718</v>
      </c>
      <c r="D137" t="str">
        <v>CKL-718</v>
      </c>
      <c r="E137" t="str">
        <v/>
      </c>
      <c r="F137" t="str">
        <v>867162029820636</v>
      </c>
      <c r="G137" t="str">
        <v>TBD</v>
      </c>
      <c r="H137" t="str">
        <v/>
      </c>
      <c r="I137" t="str">
        <v>28/09/2026</v>
      </c>
      <c r="J137" t="str">
        <v>11:18:22</v>
      </c>
      <c r="K137">
        <v>-12.317689</v>
      </c>
      <c r="L137">
        <v>-76.8229</v>
      </c>
      <c r="M137">
        <f>HYPERLINK("https://www.google.com/maps/search/?api=1&amp;query=-12.317689,-76.8229","Punta Hermosa, Lima")</f>
      </c>
      <c r="N137">
        <v>16.4</v>
      </c>
      <c r="O137">
        <v>100</v>
      </c>
      <c r="P137">
        <v>22621.7</v>
      </c>
      <c r="Q137" t="str">
        <v>121.72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CKL-718</v>
      </c>
      <c r="D138" t="str">
        <v>CKL-718</v>
      </c>
      <c r="E138" t="str">
        <v/>
      </c>
      <c r="F138" t="str">
        <v>867162029820636</v>
      </c>
      <c r="G138" t="str">
        <v>TBD</v>
      </c>
      <c r="H138" t="str">
        <v/>
      </c>
      <c r="I138" t="str">
        <v>28/09/2026</v>
      </c>
      <c r="J138" t="str">
        <v>11:18:37</v>
      </c>
      <c r="K138">
        <v>-12.318132</v>
      </c>
      <c r="L138">
        <v>-76.82314</v>
      </c>
      <c r="M138">
        <f>HYPERLINK("https://www.google.com/maps/search/?api=1&amp;query=-12.318132,-76.82314","Punta Hermosa, Lima")</f>
      </c>
      <c r="N138">
        <v>14.8</v>
      </c>
      <c r="O138">
        <v>100</v>
      </c>
      <c r="P138">
        <v>22621.7</v>
      </c>
      <c r="Q138" t="str">
        <v>121.72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CKL-718</v>
      </c>
      <c r="D139" t="str">
        <v>CKL-718</v>
      </c>
      <c r="E139" t="str">
        <v/>
      </c>
      <c r="F139" t="str">
        <v>867162029820636</v>
      </c>
      <c r="G139" t="str">
        <v>TBD</v>
      </c>
      <c r="H139" t="str">
        <v/>
      </c>
      <c r="I139" t="str">
        <v>28/09/2026</v>
      </c>
      <c r="J139" t="str">
        <v>11:18:59</v>
      </c>
      <c r="K139">
        <v>-12.318386</v>
      </c>
      <c r="L139">
        <v>-76.82355</v>
      </c>
      <c r="M139">
        <f>HYPERLINK("https://www.google.com/maps/search/?api=1&amp;query=-12.318386,-76.82355","Punta Hermosa, Lima")</f>
      </c>
      <c r="N139">
        <v>13</v>
      </c>
      <c r="O139">
        <v>100</v>
      </c>
      <c r="P139">
        <v>22621.8</v>
      </c>
      <c r="Q139" t="str">
        <v>121.72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CKL-718</v>
      </c>
      <c r="D140" t="str">
        <v>CKL-718</v>
      </c>
      <c r="E140" t="str">
        <v/>
      </c>
      <c r="F140" t="str">
        <v>867162029820636</v>
      </c>
      <c r="G140" t="str">
        <v>TBD</v>
      </c>
      <c r="H140" t="str">
        <v/>
      </c>
      <c r="I140" t="str">
        <v>28/09/2026</v>
      </c>
      <c r="J140" t="str">
        <v>11:18:59</v>
      </c>
      <c r="K140">
        <v>-12.318445</v>
      </c>
      <c r="L140">
        <v>-76.82383</v>
      </c>
      <c r="M140">
        <f>HYPERLINK("https://www.google.com/maps/search/?api=1&amp;query=-12.318445,-76.82383","Punta Hermosa, Lima")</f>
      </c>
      <c r="N140">
        <v>14.7</v>
      </c>
      <c r="O140">
        <v>100</v>
      </c>
      <c r="P140">
        <v>22621.8</v>
      </c>
      <c r="Q140" t="str">
        <v>121.72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CKL-718</v>
      </c>
      <c r="D141" t="str">
        <v>CKL-718</v>
      </c>
      <c r="E141" t="str">
        <v/>
      </c>
      <c r="F141" t="str">
        <v>867162029820636</v>
      </c>
      <c r="G141" t="str">
        <v>TBD</v>
      </c>
      <c r="H141" t="str">
        <v/>
      </c>
      <c r="I141" t="str">
        <v>28/09/2026</v>
      </c>
      <c r="J141" t="str">
        <v>11:19:33</v>
      </c>
      <c r="K141">
        <v>-12.318445</v>
      </c>
      <c r="L141">
        <v>-76.82383</v>
      </c>
      <c r="M141">
        <f>HYPERLINK("https://www.google.com/maps/search/?api=1&amp;query=-12.318445,-76.82383","Punta Hermosa, Lima")</f>
      </c>
      <c r="N141">
        <v>14.7</v>
      </c>
      <c r="O141">
        <v>100</v>
      </c>
      <c r="P141">
        <v>22621.8</v>
      </c>
      <c r="Q141" t="str">
        <v>121.75</v>
      </c>
      <c r="R141" t="str">
        <v>Vehículo apagado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CKL-718</v>
      </c>
      <c r="D142" t="str">
        <v>CKL-718</v>
      </c>
      <c r="E142" t="str">
        <v/>
      </c>
      <c r="F142" t="str">
        <v>867162029820636</v>
      </c>
      <c r="G142" t="str">
        <v>TBD</v>
      </c>
      <c r="H142" t="str">
        <v/>
      </c>
      <c r="I142" t="str">
        <v>28/09/2026</v>
      </c>
      <c r="J142" t="str">
        <v>11:19:37</v>
      </c>
      <c r="K142">
        <v>-12.318027</v>
      </c>
      <c r="L142">
        <v>-76.8243</v>
      </c>
      <c r="M142">
        <f>HYPERLINK("https://www.google.com/maps/search/?api=1&amp;query=-12.318027,-76.8243","Punta Hermosa, Lima")</f>
      </c>
      <c r="N142">
        <v>0</v>
      </c>
      <c r="O142">
        <v>100</v>
      </c>
      <c r="P142">
        <v>22621.9</v>
      </c>
      <c r="Q142" t="str">
        <v>121.75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CKL-718</v>
      </c>
      <c r="D143" t="str">
        <v>CKL-718</v>
      </c>
      <c r="E143" t="str">
        <v/>
      </c>
      <c r="F143" t="str">
        <v>867162029820636</v>
      </c>
      <c r="G143" t="str">
        <v>TBD</v>
      </c>
      <c r="H143" t="str">
        <v/>
      </c>
      <c r="I143" t="str">
        <v>28/09/2026</v>
      </c>
      <c r="J143" t="str">
        <v>11:49:36</v>
      </c>
      <c r="K143">
        <v>-12.318027</v>
      </c>
      <c r="L143">
        <v>-76.8243</v>
      </c>
      <c r="M143">
        <f>HYPERLINK("https://www.google.com/maps/search/?api=1&amp;query=-12.318027,-76.8243","Punta Hermosa, Lima")</f>
      </c>
      <c r="N143">
        <v>0</v>
      </c>
      <c r="O143">
        <v>100</v>
      </c>
      <c r="P143">
        <v>22621.9</v>
      </c>
      <c r="Q143" t="str">
        <v>121.75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CKL-718</v>
      </c>
      <c r="D144" t="str">
        <v>CKL-718</v>
      </c>
      <c r="E144" t="str">
        <v/>
      </c>
      <c r="F144" t="str">
        <v>867162029820636</v>
      </c>
      <c r="G144" t="str">
        <v>TBD</v>
      </c>
      <c r="H144" t="str">
        <v/>
      </c>
      <c r="I144" t="str">
        <v>28/09/2026</v>
      </c>
      <c r="J144" t="str">
        <v>11:53:33</v>
      </c>
      <c r="K144">
        <v>-12.318027</v>
      </c>
      <c r="L144">
        <v>-76.8243</v>
      </c>
      <c r="M144">
        <f>HYPERLINK("https://www.google.com/maps/search/?api=1&amp;query=-12.318027,-76.8243","Punta Hermosa, Lima")</f>
      </c>
      <c r="N144">
        <v>0</v>
      </c>
      <c r="O144">
        <v>100</v>
      </c>
      <c r="P144">
        <v>22621.9</v>
      </c>
      <c r="Q144" t="str">
        <v>121.75</v>
      </c>
      <c r="R144" t="str">
        <v>Vehículo encendido</v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CKL-718</v>
      </c>
      <c r="D145" t="str">
        <v>CKL-718</v>
      </c>
      <c r="E145" t="str">
        <v/>
      </c>
      <c r="F145" t="str">
        <v>867162029820636</v>
      </c>
      <c r="G145" t="str">
        <v>TBD</v>
      </c>
      <c r="H145" t="str">
        <v/>
      </c>
      <c r="I145" t="str">
        <v>28/09/2026</v>
      </c>
      <c r="J145" t="str">
        <v>11:53:40</v>
      </c>
      <c r="K145">
        <v>-12.318049</v>
      </c>
      <c r="L145">
        <v>-76.824326</v>
      </c>
      <c r="M145">
        <f>HYPERLINK("https://www.google.com/maps/search/?api=1&amp;query=-12.318049,-76.824326","Punta Hermosa, Lima")</f>
      </c>
      <c r="N145">
        <v>1.2</v>
      </c>
      <c r="O145">
        <v>100</v>
      </c>
      <c r="P145">
        <v>22621.9</v>
      </c>
      <c r="Q145" t="str">
        <v>121.75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CKL-718</v>
      </c>
      <c r="D146" t="str">
        <v>CKL-718</v>
      </c>
      <c r="E146" t="str">
        <v/>
      </c>
      <c r="F146" t="str">
        <v>867162029820636</v>
      </c>
      <c r="G146" t="str">
        <v>TBD</v>
      </c>
      <c r="H146" t="str">
        <v/>
      </c>
      <c r="I146" t="str">
        <v>28/09/2026</v>
      </c>
      <c r="J146" t="str">
        <v>11:54:10</v>
      </c>
      <c r="K146">
        <v>-12.318004</v>
      </c>
      <c r="L146">
        <v>-76.82418</v>
      </c>
      <c r="M146">
        <f>HYPERLINK("https://www.google.com/maps/search/?api=1&amp;query=-12.318004,-76.82418","Punta Hermosa, Lima")</f>
      </c>
      <c r="N146">
        <v>7.5</v>
      </c>
      <c r="O146">
        <v>100</v>
      </c>
      <c r="P146">
        <v>22621.9</v>
      </c>
      <c r="Q146" t="str">
        <v>121.75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CKL-718</v>
      </c>
      <c r="D147" t="str">
        <v>CKL-718</v>
      </c>
      <c r="E147" t="str">
        <v/>
      </c>
      <c r="F147" t="str">
        <v>867162029820636</v>
      </c>
      <c r="G147" t="str">
        <v>TBD</v>
      </c>
      <c r="H147" t="str">
        <v/>
      </c>
      <c r="I147" t="str">
        <v>28/09/2026</v>
      </c>
      <c r="J147" t="str">
        <v>11:54:13</v>
      </c>
      <c r="K147">
        <v>-12.318046</v>
      </c>
      <c r="L147">
        <v>-76.824196</v>
      </c>
      <c r="M147">
        <f>HYPERLINK("https://www.google.com/maps/search/?api=1&amp;query=-12.318046,-76.824196","Punta Hermosa, Lima")</f>
      </c>
      <c r="N147">
        <v>4.6</v>
      </c>
      <c r="O147">
        <v>100</v>
      </c>
      <c r="P147">
        <v>22621.9</v>
      </c>
      <c r="Q147" t="str">
        <v>121.75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CKL-718</v>
      </c>
      <c r="D148" t="str">
        <v>CKL-718</v>
      </c>
      <c r="E148" t="str">
        <v/>
      </c>
      <c r="F148" t="str">
        <v>867162029820636</v>
      </c>
      <c r="G148" t="str">
        <v>TBD</v>
      </c>
      <c r="H148" t="str">
        <v/>
      </c>
      <c r="I148" t="str">
        <v>28/09/2026</v>
      </c>
      <c r="J148" t="str">
        <v>11:54:15</v>
      </c>
      <c r="K148">
        <v>-12.318045</v>
      </c>
      <c r="L148">
        <v>-76.82419</v>
      </c>
      <c r="M148">
        <f>HYPERLINK("https://www.google.com/maps/search/?api=1&amp;query=-12.318045,-76.82419","Punta Hermosa, Lima")</f>
      </c>
      <c r="N148">
        <v>3.6</v>
      </c>
      <c r="O148">
        <v>100</v>
      </c>
      <c r="P148">
        <v>22621.9</v>
      </c>
      <c r="Q148" t="str">
        <v>121.75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CKL-718</v>
      </c>
      <c r="D149" t="str">
        <v>CKL-718</v>
      </c>
      <c r="E149" t="str">
        <v/>
      </c>
      <c r="F149" t="str">
        <v>867162029820636</v>
      </c>
      <c r="G149" t="str">
        <v>TBD</v>
      </c>
      <c r="H149" t="str">
        <v/>
      </c>
      <c r="I149" t="str">
        <v>28/09/2026</v>
      </c>
      <c r="J149" t="str">
        <v>11:54:19</v>
      </c>
      <c r="K149">
        <v>-12.318018</v>
      </c>
      <c r="L149">
        <v>-76.82418</v>
      </c>
      <c r="M149">
        <f>HYPERLINK("https://www.google.com/maps/search/?api=1&amp;query=-12.318018,-76.82418","Punta Hermosa, Lima")</f>
      </c>
      <c r="N149">
        <v>4.1</v>
      </c>
      <c r="O149">
        <v>100</v>
      </c>
      <c r="P149">
        <v>22621.9</v>
      </c>
      <c r="Q149" t="str">
        <v>121.75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CKL-718</v>
      </c>
      <c r="D150" t="str">
        <v>CKL-718</v>
      </c>
      <c r="E150" t="str">
        <v/>
      </c>
      <c r="F150" t="str">
        <v>867162029820636</v>
      </c>
      <c r="G150" t="str">
        <v>TBD</v>
      </c>
      <c r="H150" t="str">
        <v/>
      </c>
      <c r="I150" t="str">
        <v>28/09/2026</v>
      </c>
      <c r="J150" t="str">
        <v>11:54:36</v>
      </c>
      <c r="K150">
        <v>-12.317997</v>
      </c>
      <c r="L150">
        <v>-76.82419</v>
      </c>
      <c r="M150">
        <f>HYPERLINK("https://www.google.com/maps/search/?api=1&amp;query=-12.317997,-76.82419","Punta Hermosa, Lima")</f>
      </c>
      <c r="N150">
        <v>0</v>
      </c>
      <c r="O150">
        <v>100</v>
      </c>
      <c r="P150">
        <v>22621.9</v>
      </c>
      <c r="Q150" t="str">
        <v>121.75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CKL-718</v>
      </c>
      <c r="D151" t="str">
        <v>CKL-718</v>
      </c>
      <c r="E151" t="str">
        <v/>
      </c>
      <c r="F151" t="str">
        <v>867162029820636</v>
      </c>
      <c r="G151" t="str">
        <v>TBD</v>
      </c>
      <c r="H151" t="str">
        <v/>
      </c>
      <c r="I151" t="str">
        <v>28/09/2026</v>
      </c>
      <c r="J151" t="str">
        <v>11:55:31</v>
      </c>
      <c r="K151">
        <v>-12.317997</v>
      </c>
      <c r="L151">
        <v>-76.82419</v>
      </c>
      <c r="M151">
        <f>HYPERLINK("https://www.google.com/maps/search/?api=1&amp;query=-12.317997,-76.82419","Punta Hermosa, Lima")</f>
      </c>
      <c r="N151">
        <v>0</v>
      </c>
      <c r="O151">
        <v>100</v>
      </c>
      <c r="P151">
        <v>22621.9</v>
      </c>
      <c r="Q151" t="str">
        <v>121.78</v>
      </c>
      <c r="R151" t="str">
        <v>Vehículo apagado</v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CKL-718</v>
      </c>
      <c r="D152" t="str">
        <v>CKL-718</v>
      </c>
      <c r="E152" t="str">
        <v/>
      </c>
      <c r="F152" t="str">
        <v>867162029820636</v>
      </c>
      <c r="G152" t="str">
        <v>TBD</v>
      </c>
      <c r="H152" t="str">
        <v/>
      </c>
      <c r="I152" t="str">
        <v>28/09/2026</v>
      </c>
      <c r="J152" t="str">
        <v>11:55:33</v>
      </c>
      <c r="K152">
        <v>-12.317997</v>
      </c>
      <c r="L152">
        <v>-76.82419</v>
      </c>
      <c r="M152">
        <f>HYPERLINK("https://www.google.com/maps/search/?api=1&amp;query=-12.317997,-76.82419","Punta Hermosa, Lima")</f>
      </c>
      <c r="N152">
        <v>0</v>
      </c>
      <c r="O152">
        <v>100</v>
      </c>
      <c r="P152">
        <v>22621.9</v>
      </c>
      <c r="Q152" t="str">
        <v>121.78</v>
      </c>
      <c r="R152" t="str">
        <v>Vehículo encendido</v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CKL-718</v>
      </c>
      <c r="D153" t="str">
        <v>CKL-718</v>
      </c>
      <c r="E153" t="str">
        <v/>
      </c>
      <c r="F153" t="str">
        <v>867162029820636</v>
      </c>
      <c r="G153" t="str">
        <v>TBD</v>
      </c>
      <c r="H153" t="str">
        <v/>
      </c>
      <c r="I153" t="str">
        <v>28/09/2026</v>
      </c>
      <c r="J153" t="str">
        <v>11:55:34</v>
      </c>
      <c r="K153">
        <v>-12.317997</v>
      </c>
      <c r="L153">
        <v>-76.82419</v>
      </c>
      <c r="M153">
        <f>HYPERLINK("https://www.google.com/maps/search/?api=1&amp;query=-12.317997,-76.82419","Punta Hermosa, Lima")</f>
      </c>
      <c r="N153">
        <v>0</v>
      </c>
      <c r="O153">
        <v>100</v>
      </c>
      <c r="P153">
        <v>22621.9</v>
      </c>
      <c r="Q153" t="str">
        <v>121.78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CKL-718</v>
      </c>
      <c r="D154" t="str">
        <v>CKL-718</v>
      </c>
      <c r="E154" t="str">
        <v/>
      </c>
      <c r="F154" t="str">
        <v>867162029820636</v>
      </c>
      <c r="G154" t="str">
        <v>TBD</v>
      </c>
      <c r="H154" t="str">
        <v/>
      </c>
      <c r="I154" t="str">
        <v>28/09/2026</v>
      </c>
      <c r="J154" t="str">
        <v>11:55:39</v>
      </c>
      <c r="K154">
        <v>-12.317997</v>
      </c>
      <c r="L154">
        <v>-76.82419</v>
      </c>
      <c r="M154">
        <f>HYPERLINK("https://www.google.com/maps/search/?api=1&amp;query=-12.317997,-76.82419","Punta Hermosa, Lima")</f>
      </c>
      <c r="N154">
        <v>0</v>
      </c>
      <c r="O154">
        <v>100</v>
      </c>
      <c r="P154">
        <v>22621.9</v>
      </c>
      <c r="Q154" t="str">
        <v>121.78</v>
      </c>
      <c r="R154" t="str">
        <v>Vehículo apagado</v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CKL-718</v>
      </c>
      <c r="D155" t="str">
        <v>CKL-718</v>
      </c>
      <c r="E155" t="str">
        <v/>
      </c>
      <c r="F155" t="str">
        <v>867162029820636</v>
      </c>
      <c r="G155" t="str">
        <v>TBD</v>
      </c>
      <c r="H155" t="str">
        <v/>
      </c>
      <c r="I155" t="str">
        <v>28/09/2026</v>
      </c>
      <c r="J155" t="str">
        <v>11:55:42</v>
      </c>
      <c r="K155">
        <v>-12.317997</v>
      </c>
      <c r="L155">
        <v>-76.82419</v>
      </c>
      <c r="M155">
        <f>HYPERLINK("https://www.google.com/maps/search/?api=1&amp;query=-12.317997,-76.82419","Punta Hermosa, Lima")</f>
      </c>
      <c r="N155">
        <v>0</v>
      </c>
      <c r="O155">
        <v>100</v>
      </c>
      <c r="P155">
        <v>22621.9</v>
      </c>
      <c r="Q155" t="str">
        <v>121.78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CKL-718</v>
      </c>
      <c r="D156" t="str">
        <v>CKL-718</v>
      </c>
      <c r="E156" t="str">
        <v/>
      </c>
      <c r="F156" t="str">
        <v>867162029820636</v>
      </c>
      <c r="G156" t="str">
        <v>TBD</v>
      </c>
      <c r="H156" t="str">
        <v/>
      </c>
      <c r="I156" t="str">
        <v>28/09/2026</v>
      </c>
      <c r="J156" t="str">
        <v>12:25:43</v>
      </c>
      <c r="K156">
        <v>-12.317997</v>
      </c>
      <c r="L156">
        <v>-76.82419</v>
      </c>
      <c r="M156">
        <f>HYPERLINK("https://www.google.com/maps/search/?api=1&amp;query=-12.317997,-76.82419","Punta Hermosa, Lima")</f>
      </c>
      <c r="N156">
        <v>0</v>
      </c>
      <c r="O156">
        <v>100</v>
      </c>
      <c r="P156">
        <v>22621.9</v>
      </c>
      <c r="Q156" t="str">
        <v>121.78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CKL-718</v>
      </c>
      <c r="D157" t="str">
        <v>CKL-718</v>
      </c>
      <c r="E157" t="str">
        <v/>
      </c>
      <c r="F157" t="str">
        <v>867162029820636</v>
      </c>
      <c r="G157" t="str">
        <v>TBD</v>
      </c>
      <c r="H157" t="str">
        <v/>
      </c>
      <c r="I157" t="str">
        <v>28/09/2026</v>
      </c>
      <c r="J157" t="str">
        <v>12:33:17</v>
      </c>
      <c r="K157">
        <v>-12.317997</v>
      </c>
      <c r="L157">
        <v>-76.82419</v>
      </c>
      <c r="M157">
        <f>HYPERLINK("https://www.google.com/maps/search/?api=1&amp;query=-12.317997,-76.82419","Punta Hermosa, Lima")</f>
      </c>
      <c r="N157">
        <v>0</v>
      </c>
      <c r="O157">
        <v>100</v>
      </c>
      <c r="P157">
        <v>22621.9</v>
      </c>
      <c r="Q157" t="str">
        <v>121.78</v>
      </c>
      <c r="R157" t="str">
        <v>Vehículo encendido</v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CKL-718</v>
      </c>
      <c r="D158" t="str">
        <v>CKL-718</v>
      </c>
      <c r="E158" t="str">
        <v/>
      </c>
      <c r="F158" t="str">
        <v>867162029820636</v>
      </c>
      <c r="G158" t="str">
        <v>TBD</v>
      </c>
      <c r="H158" t="str">
        <v/>
      </c>
      <c r="I158" t="str">
        <v>28/09/2026</v>
      </c>
      <c r="J158" t="str">
        <v>12:33:25</v>
      </c>
      <c r="K158">
        <v>-12.317935</v>
      </c>
      <c r="L158">
        <v>-76.824104</v>
      </c>
      <c r="M158">
        <f>HYPERLINK("https://www.google.com/maps/search/?api=1&amp;query=-12.317935,-76.824104","Punta Hermosa, Lima")</f>
      </c>
      <c r="N158">
        <v>0.3</v>
      </c>
      <c r="O158">
        <v>100</v>
      </c>
      <c r="P158">
        <v>22621.9</v>
      </c>
      <c r="Q158" t="str">
        <v>121.78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CKL-718</v>
      </c>
      <c r="D159" t="str">
        <v>CKL-718</v>
      </c>
      <c r="E159" t="str">
        <v/>
      </c>
      <c r="F159" t="str">
        <v>867162029820636</v>
      </c>
      <c r="G159" t="str">
        <v>TBD</v>
      </c>
      <c r="H159" t="str">
        <v/>
      </c>
      <c r="I159" t="str">
        <v>28/09/2026</v>
      </c>
      <c r="J159" t="str">
        <v>12:34:24</v>
      </c>
      <c r="K159">
        <v>-12.317935</v>
      </c>
      <c r="L159">
        <v>-76.824104</v>
      </c>
      <c r="M159">
        <f>HYPERLINK("https://www.google.com/maps/search/?api=1&amp;query=-12.317935,-76.824104","Punta Hermosa, Lima")</f>
      </c>
      <c r="N159">
        <v>0</v>
      </c>
      <c r="O159">
        <v>100</v>
      </c>
      <c r="P159">
        <v>22621.9</v>
      </c>
      <c r="Q159" t="str">
        <v>121.78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CKL-718</v>
      </c>
      <c r="D160" t="str">
        <v>CKL-718</v>
      </c>
      <c r="E160" t="str">
        <v/>
      </c>
      <c r="F160" t="str">
        <v>867162029820636</v>
      </c>
      <c r="G160" t="str">
        <v>TBD</v>
      </c>
      <c r="H160" t="str">
        <v/>
      </c>
      <c r="I160" t="str">
        <v>28/09/2026</v>
      </c>
      <c r="J160" t="str">
        <v>12:35:24</v>
      </c>
      <c r="K160">
        <v>-12.317935</v>
      </c>
      <c r="L160">
        <v>-76.824104</v>
      </c>
      <c r="M160">
        <f>HYPERLINK("https://www.google.com/maps/search/?api=1&amp;query=-12.317935,-76.824104","Punta Hermosa, Lima")</f>
      </c>
      <c r="N160">
        <v>0</v>
      </c>
      <c r="O160">
        <v>100</v>
      </c>
      <c r="P160">
        <v>22621.9</v>
      </c>
      <c r="Q160" t="str">
        <v>121.78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CKL-718</v>
      </c>
      <c r="D161" t="str">
        <v>CKL-718</v>
      </c>
      <c r="E161" t="str">
        <v/>
      </c>
      <c r="F161" t="str">
        <v>867162029820636</v>
      </c>
      <c r="G161" t="str">
        <v>TBD</v>
      </c>
      <c r="H161" t="str">
        <v/>
      </c>
      <c r="I161" t="str">
        <v>28/09/2026</v>
      </c>
      <c r="J161" t="str">
        <v>12:36:24</v>
      </c>
      <c r="K161">
        <v>-12.317935</v>
      </c>
      <c r="L161">
        <v>-76.824104</v>
      </c>
      <c r="M161">
        <f>HYPERLINK("https://www.google.com/maps/search/?api=1&amp;query=-12.317935,-76.824104","Punta Hermosa, Lima")</f>
      </c>
      <c r="N161">
        <v>0</v>
      </c>
      <c r="O161">
        <v>100</v>
      </c>
      <c r="P161">
        <v>22621.9</v>
      </c>
      <c r="Q161" t="str">
        <v>121.78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CKL-718</v>
      </c>
      <c r="D162" t="str">
        <v>CKL-718</v>
      </c>
      <c r="E162" t="str">
        <v/>
      </c>
      <c r="F162" t="str">
        <v>867162029820636</v>
      </c>
      <c r="G162" t="str">
        <v>TBD</v>
      </c>
      <c r="H162" t="str">
        <v/>
      </c>
      <c r="I162" t="str">
        <v>28/09/2026</v>
      </c>
      <c r="J162" t="str">
        <v>12:37:24</v>
      </c>
      <c r="K162">
        <v>-12.317935</v>
      </c>
      <c r="L162">
        <v>-76.824104</v>
      </c>
      <c r="M162">
        <f>HYPERLINK("https://www.google.com/maps/search/?api=1&amp;query=-12.317935,-76.824104","Punta Hermosa, Lima")</f>
      </c>
      <c r="N162">
        <v>0</v>
      </c>
      <c r="O162">
        <v>100</v>
      </c>
      <c r="P162">
        <v>22621.9</v>
      </c>
      <c r="Q162" t="str">
        <v>121.78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CKL-718</v>
      </c>
      <c r="D163" t="str">
        <v>CKL-718</v>
      </c>
      <c r="E163" t="str">
        <v/>
      </c>
      <c r="F163" t="str">
        <v>867162029820636</v>
      </c>
      <c r="G163" t="str">
        <v>TBD</v>
      </c>
      <c r="H163" t="str">
        <v/>
      </c>
      <c r="I163" t="str">
        <v>28/09/2026</v>
      </c>
      <c r="J163" t="str">
        <v>12:38:10</v>
      </c>
      <c r="K163">
        <v>-12.317935</v>
      </c>
      <c r="L163">
        <v>-76.824104</v>
      </c>
      <c r="M163">
        <f>HYPERLINK("https://www.google.com/maps/search/?api=1&amp;query=-12.317935,-76.824104","Punta Hermosa, Lima")</f>
      </c>
      <c r="N163">
        <v>0</v>
      </c>
      <c r="O163">
        <v>100</v>
      </c>
      <c r="P163">
        <v>22621.9</v>
      </c>
      <c r="Q163" t="str">
        <v>121.78</v>
      </c>
      <c r="R163" t="str">
        <v>Inicio de ralentí</v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CKL-718</v>
      </c>
      <c r="D164" t="str">
        <v>CKL-718</v>
      </c>
      <c r="E164" t="str">
        <v/>
      </c>
      <c r="F164" t="str">
        <v>867162029820636</v>
      </c>
      <c r="G164" t="str">
        <v>TBD</v>
      </c>
      <c r="H164" t="str">
        <v/>
      </c>
      <c r="I164" t="str">
        <v>28/09/2026</v>
      </c>
      <c r="J164" t="str">
        <v>12:38:24</v>
      </c>
      <c r="K164">
        <v>-12.317935</v>
      </c>
      <c r="L164">
        <v>-76.824104</v>
      </c>
      <c r="M164">
        <f>HYPERLINK("https://www.google.com/maps/search/?api=1&amp;query=-12.317935,-76.824104","Punta Hermosa, Lima")</f>
      </c>
      <c r="N164">
        <v>0</v>
      </c>
      <c r="O164">
        <v>100</v>
      </c>
      <c r="P164">
        <v>22621.9</v>
      </c>
      <c r="Q164" t="str">
        <v>121.78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CKL-718</v>
      </c>
      <c r="D165" t="str">
        <v>CKL-718</v>
      </c>
      <c r="E165" t="str">
        <v/>
      </c>
      <c r="F165" t="str">
        <v>867162029820636</v>
      </c>
      <c r="G165" t="str">
        <v>TBD</v>
      </c>
      <c r="H165" t="str">
        <v/>
      </c>
      <c r="I165" t="str">
        <v>28/09/2026</v>
      </c>
      <c r="J165" t="str">
        <v>12:39:24</v>
      </c>
      <c r="K165">
        <v>-12.317935</v>
      </c>
      <c r="L165">
        <v>-76.824104</v>
      </c>
      <c r="M165">
        <f>HYPERLINK("https://www.google.com/maps/search/?api=1&amp;query=-12.317935,-76.824104","Punta Hermosa, Lima")</f>
      </c>
      <c r="N165">
        <v>0</v>
      </c>
      <c r="O165">
        <v>100</v>
      </c>
      <c r="P165">
        <v>22621.9</v>
      </c>
      <c r="Q165" t="str">
        <v>121.78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CKL-718</v>
      </c>
      <c r="D166" t="str">
        <v>CKL-718</v>
      </c>
      <c r="E166" t="str">
        <v/>
      </c>
      <c r="F166" t="str">
        <v>867162029820636</v>
      </c>
      <c r="G166" t="str">
        <v>TBD</v>
      </c>
      <c r="H166" t="str">
        <v/>
      </c>
      <c r="I166" t="str">
        <v>28/09/2026</v>
      </c>
      <c r="J166" t="str">
        <v>12:40:00</v>
      </c>
      <c r="K166">
        <v>-12.317935</v>
      </c>
      <c r="L166">
        <v>-76.824104</v>
      </c>
      <c r="M166">
        <f>HYPERLINK("https://www.google.com/maps/search/?api=1&amp;query=-12.317935,-76.824104","Punta Hermosa, Lima")</f>
      </c>
      <c r="N166">
        <v>0</v>
      </c>
      <c r="O166">
        <v>100</v>
      </c>
      <c r="P166">
        <v>22621.9</v>
      </c>
      <c r="Q166" t="str">
        <v>121.78</v>
      </c>
      <c r="R166" t="str">
        <v>Fin de ralentí</v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CKL-718</v>
      </c>
      <c r="D167" t="str">
        <v>CKL-718</v>
      </c>
      <c r="E167" t="str">
        <v/>
      </c>
      <c r="F167" t="str">
        <v>867162029820636</v>
      </c>
      <c r="G167" t="str">
        <v>TBD</v>
      </c>
      <c r="H167" t="str">
        <v/>
      </c>
      <c r="I167" t="str">
        <v>28/09/2026</v>
      </c>
      <c r="J167" t="str">
        <v>12:40:24</v>
      </c>
      <c r="K167">
        <v>-12.317935</v>
      </c>
      <c r="L167">
        <v>-76.824104</v>
      </c>
      <c r="M167">
        <f>HYPERLINK("https://www.google.com/maps/search/?api=1&amp;query=-12.317935,-76.824104","Punta Hermosa, Lima")</f>
      </c>
      <c r="N167">
        <v>0</v>
      </c>
      <c r="O167">
        <v>100</v>
      </c>
      <c r="P167">
        <v>22621.9</v>
      </c>
      <c r="Q167" t="str">
        <v>121.78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CKL-718</v>
      </c>
      <c r="D168" t="str">
        <v>CKL-718</v>
      </c>
      <c r="E168" t="str">
        <v/>
      </c>
      <c r="F168" t="str">
        <v>867162029820636</v>
      </c>
      <c r="G168" t="str">
        <v>TBD</v>
      </c>
      <c r="H168" t="str">
        <v/>
      </c>
      <c r="I168" t="str">
        <v>28/09/2026</v>
      </c>
      <c r="J168" t="str">
        <v>12:41:24</v>
      </c>
      <c r="K168">
        <v>-12.317494</v>
      </c>
      <c r="L168">
        <v>-76.824486</v>
      </c>
      <c r="M168">
        <f>HYPERLINK("https://www.google.com/maps/search/?api=1&amp;query=-12.317494,-76.824486","Punta Hermosa, Lima")</f>
      </c>
      <c r="N168">
        <v>9.5</v>
      </c>
      <c r="O168">
        <v>100</v>
      </c>
      <c r="P168">
        <v>22622</v>
      </c>
      <c r="Q168" t="str">
        <v>121.78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CKL-718</v>
      </c>
      <c r="D169" t="str">
        <v>CKL-718</v>
      </c>
      <c r="E169" t="str">
        <v/>
      </c>
      <c r="F169" t="str">
        <v>867162029820636</v>
      </c>
      <c r="G169" t="str">
        <v>TBD</v>
      </c>
      <c r="H169" t="str">
        <v/>
      </c>
      <c r="I169" t="str">
        <v>28/09/2026</v>
      </c>
      <c r="J169" t="str">
        <v>12:41:54</v>
      </c>
      <c r="K169">
        <v>-12.316753</v>
      </c>
      <c r="L169">
        <v>-76.82506</v>
      </c>
      <c r="M169">
        <f>HYPERLINK("https://www.google.com/maps/search/?api=1&amp;query=-12.316753,-76.82506","Punta Hermosa, Lima")</f>
      </c>
      <c r="N169">
        <v>8.2</v>
      </c>
      <c r="O169">
        <v>100</v>
      </c>
      <c r="P169">
        <v>22622.1</v>
      </c>
      <c r="Q169" t="str">
        <v>121.78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CKL-718</v>
      </c>
      <c r="D170" t="str">
        <v>CKL-718</v>
      </c>
      <c r="E170" t="str">
        <v/>
      </c>
      <c r="F170" t="str">
        <v>867162029820636</v>
      </c>
      <c r="G170" t="str">
        <v>TBD</v>
      </c>
      <c r="H170" t="str">
        <v/>
      </c>
      <c r="I170" t="str">
        <v>28/09/2026</v>
      </c>
      <c r="J170" t="str">
        <v>12:42:24</v>
      </c>
      <c r="K170">
        <v>-12.317042</v>
      </c>
      <c r="L170">
        <v>-76.82558</v>
      </c>
      <c r="M170">
        <f>HYPERLINK("https://www.google.com/maps/search/?api=1&amp;query=-12.317042,-76.82558","Punta Hermosa, Lima")</f>
      </c>
      <c r="N170">
        <v>14.2</v>
      </c>
      <c r="O170">
        <v>100</v>
      </c>
      <c r="P170">
        <v>22622.1</v>
      </c>
      <c r="Q170" t="str">
        <v>121.78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CKL-718</v>
      </c>
      <c r="D171" t="str">
        <v>CKL-718</v>
      </c>
      <c r="E171" t="str">
        <v/>
      </c>
      <c r="F171" t="str">
        <v>867162029820636</v>
      </c>
      <c r="G171" t="str">
        <v>TBD</v>
      </c>
      <c r="H171" t="str">
        <v/>
      </c>
      <c r="I171" t="str">
        <v>28/09/2026</v>
      </c>
      <c r="J171" t="str">
        <v>12:42:37</v>
      </c>
      <c r="K171">
        <v>-12.317313</v>
      </c>
      <c r="L171">
        <v>-76.826164</v>
      </c>
      <c r="M171">
        <f>HYPERLINK("https://www.google.com/maps/search/?api=1&amp;query=-12.317313,-76.826164","Punta Hermosa, Lima")</f>
      </c>
      <c r="N171">
        <v>11.4</v>
      </c>
      <c r="O171">
        <v>100</v>
      </c>
      <c r="P171">
        <v>22622.2</v>
      </c>
      <c r="Q171" t="str">
        <v>121.78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CKL-718</v>
      </c>
      <c r="D172" t="str">
        <v>CKL-718</v>
      </c>
      <c r="E172" t="str">
        <v/>
      </c>
      <c r="F172" t="str">
        <v>867162029820636</v>
      </c>
      <c r="G172" t="str">
        <v>TBD</v>
      </c>
      <c r="H172" t="str">
        <v/>
      </c>
      <c r="I172" t="str">
        <v>28/09/2026</v>
      </c>
      <c r="J172" t="str">
        <v>12:42:45</v>
      </c>
      <c r="K172">
        <v>-12.317164</v>
      </c>
      <c r="L172">
        <v>-76.82638</v>
      </c>
      <c r="M172">
        <f>HYPERLINK("https://www.google.com/maps/search/?api=1&amp;query=-12.317164,-76.82638","Punta Hermosa, Lima")</f>
      </c>
      <c r="N172">
        <v>12.2</v>
      </c>
      <c r="O172">
        <v>100</v>
      </c>
      <c r="P172">
        <v>22622.2</v>
      </c>
      <c r="Q172" t="str">
        <v>121.78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CKL-718</v>
      </c>
      <c r="D173" t="str">
        <v>CKL-718</v>
      </c>
      <c r="E173" t="str">
        <v/>
      </c>
      <c r="F173" t="str">
        <v>867162029820636</v>
      </c>
      <c r="G173" t="str">
        <v>TBD</v>
      </c>
      <c r="H173" t="str">
        <v/>
      </c>
      <c r="I173" t="str">
        <v>28/09/2026</v>
      </c>
      <c r="J173" t="str">
        <v>12:43:24</v>
      </c>
      <c r="K173">
        <v>-12.316193</v>
      </c>
      <c r="L173">
        <v>-76.82706</v>
      </c>
      <c r="M173">
        <f>HYPERLINK("https://www.google.com/maps/search/?api=1&amp;query=-12.316193,-76.82706","Punta Hermosa, Lima")</f>
      </c>
      <c r="N173">
        <v>8.5</v>
      </c>
      <c r="O173">
        <v>100</v>
      </c>
      <c r="P173">
        <v>22622.4</v>
      </c>
      <c r="Q173" t="str">
        <v>121.78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CKL-718</v>
      </c>
      <c r="D174" t="str">
        <v>CKL-718</v>
      </c>
      <c r="E174" t="str">
        <v/>
      </c>
      <c r="F174" t="str">
        <v>867162029820636</v>
      </c>
      <c r="G174" t="str">
        <v>TBD</v>
      </c>
      <c r="H174" t="str">
        <v/>
      </c>
      <c r="I174" t="str">
        <v>28/09/2026</v>
      </c>
      <c r="J174" t="str">
        <v>12:43:25</v>
      </c>
      <c r="K174">
        <v>-12.316112</v>
      </c>
      <c r="L174">
        <v>-76.827194</v>
      </c>
      <c r="M174">
        <f>HYPERLINK("https://www.google.com/maps/search/?api=1&amp;query=-12.316112,-76.827194","Punta Hermosa, Lima")</f>
      </c>
      <c r="N174">
        <v>9</v>
      </c>
      <c r="O174">
        <v>100</v>
      </c>
      <c r="P174">
        <v>22622.4</v>
      </c>
      <c r="Q174" t="str">
        <v>121.78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CKL-718</v>
      </c>
      <c r="D175" t="str">
        <v>CKL-718</v>
      </c>
      <c r="E175" t="str">
        <v/>
      </c>
      <c r="F175" t="str">
        <v>867162029820636</v>
      </c>
      <c r="G175" t="str">
        <v>TBD</v>
      </c>
      <c r="H175" t="str">
        <v/>
      </c>
      <c r="I175" t="str">
        <v>28/09/2026</v>
      </c>
      <c r="J175" t="str">
        <v>12:43:37</v>
      </c>
      <c r="K175">
        <v>-12.31623</v>
      </c>
      <c r="L175">
        <v>-76.82753</v>
      </c>
      <c r="M175">
        <f>HYPERLINK("https://www.google.com/maps/search/?api=1&amp;query=-12.31623,-76.82753","Punta Hermosa, Lima")</f>
      </c>
      <c r="N175">
        <v>10.3</v>
      </c>
      <c r="O175">
        <v>100</v>
      </c>
      <c r="P175">
        <v>22622.4</v>
      </c>
      <c r="Q175" t="str">
        <v>121.78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CKL-718</v>
      </c>
      <c r="D176" t="str">
        <v>CKL-718</v>
      </c>
      <c r="E176" t="str">
        <v/>
      </c>
      <c r="F176" t="str">
        <v>867162029820636</v>
      </c>
      <c r="G176" t="str">
        <v>TBD</v>
      </c>
      <c r="H176" t="str">
        <v/>
      </c>
      <c r="I176" t="str">
        <v>28/09/2026</v>
      </c>
      <c r="J176" t="str">
        <v>12:44:24</v>
      </c>
      <c r="K176">
        <v>-12.316894</v>
      </c>
      <c r="L176">
        <v>-76.82865</v>
      </c>
      <c r="M176">
        <f>HYPERLINK("https://www.google.com/maps/search/?api=1&amp;query=-12.316894,-76.82865","Punta Hermosa, Lima")</f>
      </c>
      <c r="N176">
        <v>12.2</v>
      </c>
      <c r="O176">
        <v>100</v>
      </c>
      <c r="P176">
        <v>22622.6</v>
      </c>
      <c r="Q176" t="str">
        <v>121.78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CKL-718</v>
      </c>
      <c r="D177" t="str">
        <v>CKL-718</v>
      </c>
      <c r="E177" t="str">
        <v/>
      </c>
      <c r="F177" t="str">
        <v>867162029820636</v>
      </c>
      <c r="G177" t="str">
        <v>TBD</v>
      </c>
      <c r="H177" t="str">
        <v/>
      </c>
      <c r="I177" t="str">
        <v>28/09/2026</v>
      </c>
      <c r="J177" t="str">
        <v>12:45:13</v>
      </c>
      <c r="K177">
        <v>-12.317546</v>
      </c>
      <c r="L177">
        <v>-76.82995</v>
      </c>
      <c r="M177">
        <f>HYPERLINK("https://www.google.com/maps/search/?api=1&amp;query=-12.317546,-76.82995","Punta Hermosa, Lima")</f>
      </c>
      <c r="N177">
        <v>16.9</v>
      </c>
      <c r="O177">
        <v>100</v>
      </c>
      <c r="P177">
        <v>22622.7</v>
      </c>
      <c r="Q177" t="str">
        <v>121.78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CKL-718</v>
      </c>
      <c r="D178" t="str">
        <v>CKL-718</v>
      </c>
      <c r="E178" t="str">
        <v/>
      </c>
      <c r="F178" t="str">
        <v>867162029820636</v>
      </c>
      <c r="G178" t="str">
        <v>TBD</v>
      </c>
      <c r="H178" t="str">
        <v/>
      </c>
      <c r="I178" t="str">
        <v>28/09/2026</v>
      </c>
      <c r="J178" t="str">
        <v>12:45:13</v>
      </c>
      <c r="K178">
        <v>-12.317546</v>
      </c>
      <c r="L178">
        <v>-76.82995</v>
      </c>
      <c r="M178">
        <f>HYPERLINK("https://www.google.com/maps/search/?api=1&amp;query=-12.317546,-76.82995","Punta Hermosa, Lima")</f>
      </c>
      <c r="N178">
        <v>16.9</v>
      </c>
      <c r="O178">
        <v>100</v>
      </c>
      <c r="P178">
        <v>22622.4</v>
      </c>
      <c r="Q178" t="str">
        <v>121.78</v>
      </c>
      <c r="R178" t="str">
        <v>Salió de zona</v>
      </c>
      <c r="S178" t="str">
        <v>MASS BSF 1</v>
      </c>
      <c r="T178" t="str">
        <v xml:space="preserve"> </v>
      </c>
      <c r="U178" t="str">
        <v/>
      </c>
    </row>
    <row r="179">
      <c r="A179" t="str">
        <v>178</v>
      </c>
      <c r="B179" t="str">
        <v>MASS BSF</v>
      </c>
      <c r="C179" t="str">
        <v>CKL-718</v>
      </c>
      <c r="D179" t="str">
        <v>CKL-718</v>
      </c>
      <c r="E179" t="str">
        <v/>
      </c>
      <c r="F179" t="str">
        <v>867162029820636</v>
      </c>
      <c r="G179" t="str">
        <v>TBD</v>
      </c>
      <c r="H179" t="str">
        <v/>
      </c>
      <c r="I179" t="str">
        <v>28/09/2026</v>
      </c>
      <c r="J179" t="str">
        <v>12:45:24</v>
      </c>
      <c r="K179">
        <v>-12.317511</v>
      </c>
      <c r="L179">
        <v>-76.830086</v>
      </c>
      <c r="M179">
        <f>HYPERLINK("https://www.google.com/maps/search/?api=1&amp;query=-12.317511,-76.830086","Punta Hermosa, Lima")</f>
      </c>
      <c r="N179">
        <v>18.1</v>
      </c>
      <c r="O179">
        <v>100</v>
      </c>
      <c r="P179">
        <v>22622.7</v>
      </c>
      <c r="Q179" t="str">
        <v>121.78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CKL-718</v>
      </c>
      <c r="D180" t="str">
        <v>CKL-718</v>
      </c>
      <c r="E180" t="str">
        <v/>
      </c>
      <c r="F180" t="str">
        <v>867162029820636</v>
      </c>
      <c r="G180" t="str">
        <v>TBD</v>
      </c>
      <c r="H180" t="str">
        <v/>
      </c>
      <c r="I180" t="str">
        <v>28/09/2026</v>
      </c>
      <c r="J180" t="str">
        <v>12:45:37</v>
      </c>
      <c r="K180">
        <v>-12.316669</v>
      </c>
      <c r="L180">
        <v>-76.831</v>
      </c>
      <c r="M180">
        <f>HYPERLINK("https://www.google.com/maps/search/?api=1&amp;query=-12.316669,-76.831","Carretera Panamericana Sur, Punta Hermosa, Lima")</f>
      </c>
      <c r="N180">
        <v>29.8</v>
      </c>
      <c r="O180">
        <v>100</v>
      </c>
      <c r="P180">
        <v>22622.9</v>
      </c>
      <c r="Q180" t="str">
        <v>121.78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CKL-718</v>
      </c>
      <c r="D181" t="str">
        <v>CKL-718</v>
      </c>
      <c r="E181" t="str">
        <v/>
      </c>
      <c r="F181" t="str">
        <v>867162029820636</v>
      </c>
      <c r="G181" t="str">
        <v>TBD</v>
      </c>
      <c r="H181" t="str">
        <v/>
      </c>
      <c r="I181" t="str">
        <v>28/09/2026</v>
      </c>
      <c r="J181" t="str">
        <v>12:46:24</v>
      </c>
      <c r="K181">
        <v>-12.313066</v>
      </c>
      <c r="L181">
        <v>-76.833435</v>
      </c>
      <c r="M181">
        <f>HYPERLINK("https://www.google.com/maps/search/?api=1&amp;query=-12.313066,-76.833435","Carretera Panamericana Sur, Punta Hermosa, Lima")</f>
      </c>
      <c r="N181">
        <v>51.1</v>
      </c>
      <c r="O181">
        <v>100</v>
      </c>
      <c r="P181">
        <v>22623.4</v>
      </c>
      <c r="Q181" t="str">
        <v>121.78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CKL-718</v>
      </c>
      <c r="D182" t="str">
        <v>CKL-718</v>
      </c>
      <c r="E182" t="str">
        <v/>
      </c>
      <c r="F182" t="str">
        <v>867162029820636</v>
      </c>
      <c r="G182" t="str">
        <v>TBD</v>
      </c>
      <c r="H182" t="str">
        <v/>
      </c>
      <c r="I182" t="str">
        <v>28/09/2026</v>
      </c>
      <c r="J182" t="str">
        <v>12:47:24</v>
      </c>
      <c r="K182">
        <v>-12.305703</v>
      </c>
      <c r="L182">
        <v>-76.83884</v>
      </c>
      <c r="M182">
        <f>HYPERLINK("https://www.google.com/maps/search/?api=1&amp;query=-12.305703,-76.83884","Carretera Panamericana Sur, Lurín, Lima")</f>
      </c>
      <c r="N182">
        <v>63.6</v>
      </c>
      <c r="O182">
        <v>100</v>
      </c>
      <c r="P182">
        <v>22624.5</v>
      </c>
      <c r="Q182" t="str">
        <v>121.78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CKL-718</v>
      </c>
      <c r="D183" t="str">
        <v>CKL-718</v>
      </c>
      <c r="E183" t="str">
        <v/>
      </c>
      <c r="F183" t="str">
        <v>867162029820636</v>
      </c>
      <c r="G183" t="str">
        <v>TBD</v>
      </c>
      <c r="H183" t="str">
        <v/>
      </c>
      <c r="I183" t="str">
        <v>28/09/2026</v>
      </c>
      <c r="J183" t="str">
        <v>12:48:24</v>
      </c>
      <c r="K183">
        <v>-12.30079</v>
      </c>
      <c r="L183">
        <v>-76.84714</v>
      </c>
      <c r="M183">
        <f>HYPERLINK("https://www.google.com/maps/search/?api=1&amp;query=-12.30079,-76.84714","Carretera Panamericana Sur, Lurín, Lima")</f>
      </c>
      <c r="N183">
        <v>66.8</v>
      </c>
      <c r="O183">
        <v>100</v>
      </c>
      <c r="P183">
        <v>22625.5</v>
      </c>
      <c r="Q183" t="str">
        <v>121.78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CKL-718</v>
      </c>
      <c r="D184" t="str">
        <v>CKL-718</v>
      </c>
      <c r="E184" t="str">
        <v/>
      </c>
      <c r="F184" t="str">
        <v>867162029820636</v>
      </c>
      <c r="G184" t="str">
        <v>TBD</v>
      </c>
      <c r="H184" t="str">
        <v/>
      </c>
      <c r="I184" t="str">
        <v>28/09/2026</v>
      </c>
      <c r="J184" t="str">
        <v>12:48:52</v>
      </c>
      <c r="K184">
        <v>-12.298032</v>
      </c>
      <c r="L184">
        <v>-76.85341</v>
      </c>
      <c r="M184">
        <f>HYPERLINK("https://www.google.com/maps/search/?api=1&amp;query=-12.298032,-76.85341","Carretera Panamericana Sur, Lurín, Lima")</f>
      </c>
      <c r="N184">
        <v>83.4</v>
      </c>
      <c r="O184">
        <v>100</v>
      </c>
      <c r="P184">
        <v>22626.2</v>
      </c>
      <c r="Q184" t="str">
        <v>121.78</v>
      </c>
      <c r="R184" t="str">
        <v>Excedió el límite de velocidad</v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CKL-718</v>
      </c>
      <c r="D185" t="str">
        <v>CKL-718</v>
      </c>
      <c r="E185" t="str">
        <v/>
      </c>
      <c r="F185" t="str">
        <v>867162029820636</v>
      </c>
      <c r="G185" t="str">
        <v>TBD</v>
      </c>
      <c r="H185" t="str">
        <v/>
      </c>
      <c r="I185" t="str">
        <v>28/09/2026</v>
      </c>
      <c r="J185" t="str">
        <v>12:49:24</v>
      </c>
      <c r="K185">
        <v>-12.295735</v>
      </c>
      <c r="L185">
        <v>-76.8584</v>
      </c>
      <c r="M185">
        <f>HYPERLINK("https://www.google.com/maps/search/?api=1&amp;query=-12.295735,-76.8584","Carretera Panamericana Sur, Lurín, Lima")</f>
      </c>
      <c r="N185">
        <v>90.8</v>
      </c>
      <c r="O185">
        <v>100</v>
      </c>
      <c r="P185">
        <v>22626.9</v>
      </c>
      <c r="Q185" t="str">
        <v>121.78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CKL-718</v>
      </c>
      <c r="D186" t="str">
        <v>CKL-718</v>
      </c>
      <c r="E186" t="str">
        <v/>
      </c>
      <c r="F186" t="str">
        <v>867162029820636</v>
      </c>
      <c r="G186" t="str">
        <v>TBD</v>
      </c>
      <c r="H186" t="str">
        <v/>
      </c>
      <c r="I186" t="str">
        <v>28/09/2026</v>
      </c>
      <c r="J186" t="str">
        <v>12:50:25</v>
      </c>
      <c r="K186">
        <v>-12.28957</v>
      </c>
      <c r="L186">
        <v>-76.86822</v>
      </c>
      <c r="M186">
        <f>HYPERLINK("https://www.google.com/maps/search/?api=1&amp;query=-12.28957,-76.86822","Carretera Panamericana Sur, Lurín, Lima")</f>
      </c>
      <c r="N186">
        <v>61.3</v>
      </c>
      <c r="O186">
        <v>100</v>
      </c>
      <c r="P186">
        <v>22628.2</v>
      </c>
      <c r="Q186" t="str">
        <v>121.78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CKL-718</v>
      </c>
      <c r="D187" t="str">
        <v>CKL-718</v>
      </c>
      <c r="E187" t="str">
        <v/>
      </c>
      <c r="F187" t="str">
        <v>867162029820636</v>
      </c>
      <c r="G187" t="str">
        <v>TBD</v>
      </c>
      <c r="H187" t="str">
        <v/>
      </c>
      <c r="I187" t="str">
        <v>28/09/2026</v>
      </c>
      <c r="J187" t="str">
        <v>12:51:25</v>
      </c>
      <c r="K187">
        <v>-12.284434</v>
      </c>
      <c r="L187">
        <v>-76.87648</v>
      </c>
      <c r="M187">
        <f>HYPERLINK("https://www.google.com/maps/search/?api=1&amp;query=-12.284434,-76.87648","Carretera Panamericana Sur, Lurín, Lima")</f>
      </c>
      <c r="N187">
        <v>62.5</v>
      </c>
      <c r="O187">
        <v>100</v>
      </c>
      <c r="P187">
        <v>22629.3</v>
      </c>
      <c r="Q187" t="str">
        <v>121.78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CKL-718</v>
      </c>
      <c r="D188" t="str">
        <v>CKL-718</v>
      </c>
      <c r="E188" t="str">
        <v/>
      </c>
      <c r="F188" t="str">
        <v>867162029820636</v>
      </c>
      <c r="G188" t="str">
        <v>TBD</v>
      </c>
      <c r="H188" t="str">
        <v/>
      </c>
      <c r="I188" t="str">
        <v>28/09/2026</v>
      </c>
      <c r="J188" t="str">
        <v>12:52:25</v>
      </c>
      <c r="K188">
        <v>-12.278632</v>
      </c>
      <c r="L188">
        <v>-76.8856</v>
      </c>
      <c r="M188">
        <f>HYPERLINK("https://www.google.com/maps/search/?api=1&amp;query=-12.278632,-76.8856","Carretera Panamericana Sur, Lurín, Lima")</f>
      </c>
      <c r="N188">
        <v>67.6</v>
      </c>
      <c r="O188">
        <v>100</v>
      </c>
      <c r="P188">
        <v>22630.5</v>
      </c>
      <c r="Q188" t="str">
        <v>121.78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CKL-718</v>
      </c>
      <c r="D189" t="str">
        <v>CKL-718</v>
      </c>
      <c r="E189" t="str">
        <v/>
      </c>
      <c r="F189" t="str">
        <v>867162029820636</v>
      </c>
      <c r="G189" t="str">
        <v>TBD</v>
      </c>
      <c r="H189" t="str">
        <v/>
      </c>
      <c r="I189" t="str">
        <v>28/09/2026</v>
      </c>
      <c r="J189" t="str">
        <v>12:53:25</v>
      </c>
      <c r="K189">
        <v>-12.27329</v>
      </c>
      <c r="L189">
        <v>-76.89424</v>
      </c>
      <c r="M189">
        <f>HYPERLINK("https://www.google.com/maps/search/?api=1&amp;query=-12.27329,-76.89424","Carretera Panamericana Sur, Lurín, Lima")</f>
      </c>
      <c r="N189">
        <v>74.2</v>
      </c>
      <c r="O189">
        <v>100</v>
      </c>
      <c r="P189">
        <v>22631.6</v>
      </c>
      <c r="Q189" t="str">
        <v>121.78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CKL-718</v>
      </c>
      <c r="D190" t="str">
        <v>CKL-718</v>
      </c>
      <c r="E190" t="str">
        <v/>
      </c>
      <c r="F190" t="str">
        <v>867162029820636</v>
      </c>
      <c r="G190" t="str">
        <v>TBD</v>
      </c>
      <c r="H190" t="str">
        <v/>
      </c>
      <c r="I190" t="str">
        <v>28/09/2026</v>
      </c>
      <c r="J190" t="str">
        <v>12:54:25</v>
      </c>
      <c r="K190">
        <v>-12.267097</v>
      </c>
      <c r="L190">
        <v>-76.9041</v>
      </c>
      <c r="M190">
        <f>HYPERLINK("https://www.google.com/maps/search/?api=1&amp;query=-12.267097,-76.9041","Carretera Panamericana Sur, Lurín, Lima")</f>
      </c>
      <c r="N190">
        <v>72.4</v>
      </c>
      <c r="O190">
        <v>100</v>
      </c>
      <c r="P190">
        <v>22632.9</v>
      </c>
      <c r="Q190" t="str">
        <v>121.78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CKL-718</v>
      </c>
      <c r="D191" t="str">
        <v>CKL-718</v>
      </c>
      <c r="E191" t="str">
        <v/>
      </c>
      <c r="F191" t="str">
        <v>867162029820636</v>
      </c>
      <c r="G191" t="str">
        <v>TBD</v>
      </c>
      <c r="H191" t="str">
        <v/>
      </c>
      <c r="I191" t="str">
        <v>28/09/2026</v>
      </c>
      <c r="J191" t="str">
        <v>12:55:03</v>
      </c>
      <c r="K191">
        <v>-12.262167</v>
      </c>
      <c r="L191">
        <v>-76.9119</v>
      </c>
      <c r="M191">
        <f>HYPERLINK("https://www.google.com/maps/search/?api=1&amp;query=-12.262167,-76.9119","Carretera Panamericana Sur, Lurín, Lima")</f>
      </c>
      <c r="N191">
        <v>86.2</v>
      </c>
      <c r="O191">
        <v>100</v>
      </c>
      <c r="P191">
        <v>22633.7</v>
      </c>
      <c r="Q191" t="str">
        <v>121.78</v>
      </c>
      <c r="R191" t="str">
        <v>Excedió el límite de velocidad</v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CKL-718</v>
      </c>
      <c r="D192" t="str">
        <v>CKL-718</v>
      </c>
      <c r="E192" t="str">
        <v/>
      </c>
      <c r="F192" t="str">
        <v>867162029820636</v>
      </c>
      <c r="G192" t="str">
        <v>TBD</v>
      </c>
      <c r="H192" t="str">
        <v/>
      </c>
      <c r="I192" t="str">
        <v>28/09/2026</v>
      </c>
      <c r="J192" t="str">
        <v>12:55:25</v>
      </c>
      <c r="K192">
        <v>-12.26093</v>
      </c>
      <c r="L192">
        <v>-76.913795</v>
      </c>
      <c r="M192">
        <f>HYPERLINK("https://www.google.com/maps/search/?api=1&amp;query=-12.26093,-76.913795","Carretera Panamericana Sur, Lurín, Lima")</f>
      </c>
      <c r="N192">
        <v>73</v>
      </c>
      <c r="O192">
        <v>100</v>
      </c>
      <c r="P192">
        <v>22634.1</v>
      </c>
      <c r="Q192" t="str">
        <v>121.78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CKL-718</v>
      </c>
      <c r="D193" t="str">
        <v>CKL-718</v>
      </c>
      <c r="E193" t="str">
        <v/>
      </c>
      <c r="F193" t="str">
        <v>867162029820636</v>
      </c>
      <c r="G193" t="str">
        <v>TBD</v>
      </c>
      <c r="H193" t="str">
        <v/>
      </c>
      <c r="I193" t="str">
        <v>28/09/2026</v>
      </c>
      <c r="J193" t="str">
        <v>12:55:28</v>
      </c>
      <c r="K193">
        <v>-12.259647</v>
      </c>
      <c r="L193">
        <v>-76.91588</v>
      </c>
      <c r="M193">
        <f>HYPERLINK("https://www.google.com/maps/search/?api=1&amp;query=-12.259647,-76.91588","Carretera Panamericana Sur, Lurín, Lima")</f>
      </c>
      <c r="N193">
        <v>86.3</v>
      </c>
      <c r="O193">
        <v>100</v>
      </c>
      <c r="P193">
        <v>22634.2</v>
      </c>
      <c r="Q193" t="str">
        <v>121.78</v>
      </c>
      <c r="R193" t="str">
        <v>Excedió el límite de velocidad</v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CKL-718</v>
      </c>
      <c r="D194" t="str">
        <v>CKL-718</v>
      </c>
      <c r="E194" t="str">
        <v/>
      </c>
      <c r="F194" t="str">
        <v>867162029820636</v>
      </c>
      <c r="G194" t="str">
        <v>TBD</v>
      </c>
      <c r="H194" t="str">
        <v/>
      </c>
      <c r="I194" t="str">
        <v>28/09/2026</v>
      </c>
      <c r="J194" t="str">
        <v>12:56:25</v>
      </c>
      <c r="K194">
        <v>-12.254179</v>
      </c>
      <c r="L194">
        <v>-76.924934</v>
      </c>
      <c r="M194">
        <f>HYPERLINK("https://www.google.com/maps/search/?api=1&amp;query=-12.254179,-76.924934","Carretera Panamericana Sur, Lurín, Lima")</f>
      </c>
      <c r="N194">
        <v>81.5</v>
      </c>
      <c r="O194">
        <v>100</v>
      </c>
      <c r="P194">
        <v>22635.6</v>
      </c>
      <c r="Q194" t="str">
        <v>121.78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CKL-718</v>
      </c>
      <c r="D195" t="str">
        <v>CKL-718</v>
      </c>
      <c r="E195" t="str">
        <v/>
      </c>
      <c r="F195" t="str">
        <v>867162029820636</v>
      </c>
      <c r="G195" t="str">
        <v>TBD</v>
      </c>
      <c r="H195" t="str">
        <v/>
      </c>
      <c r="I195" t="str">
        <v>28/09/2026</v>
      </c>
      <c r="J195" t="str">
        <v>12:56:49</v>
      </c>
      <c r="K195">
        <v>-12.250451</v>
      </c>
      <c r="L195">
        <v>-76.93041</v>
      </c>
      <c r="M195">
        <f>HYPERLINK("https://www.google.com/maps/search/?api=1&amp;query=-12.250451,-76.93041","Carretera Panamericana Sur, Lurín, Lima")</f>
      </c>
      <c r="N195">
        <v>80.7</v>
      </c>
      <c r="O195">
        <v>100</v>
      </c>
      <c r="P195">
        <v>22636.1</v>
      </c>
      <c r="Q195" t="str">
        <v>121.78</v>
      </c>
      <c r="R195" t="str">
        <v>Excedió el límite de velocidad</v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CKL-718</v>
      </c>
      <c r="D196" t="str">
        <v>CKL-718</v>
      </c>
      <c r="E196" t="str">
        <v/>
      </c>
      <c r="F196" t="str">
        <v>867162029820636</v>
      </c>
      <c r="G196" t="str">
        <v>TBD</v>
      </c>
      <c r="H196" t="str">
        <v/>
      </c>
      <c r="I196" t="str">
        <v>28/09/2026</v>
      </c>
      <c r="J196" t="str">
        <v>12:57:25</v>
      </c>
      <c r="K196">
        <v>-12.247007</v>
      </c>
      <c r="L196">
        <v>-76.93509</v>
      </c>
      <c r="M196">
        <f>HYPERLINK("https://www.google.com/maps/search/?api=1&amp;query=-12.247007,-76.93509","Carretera Panamericana Sur, Lurín, Lima")</f>
      </c>
      <c r="N196">
        <v>86.1</v>
      </c>
      <c r="O196">
        <v>100</v>
      </c>
      <c r="P196">
        <v>22636.9</v>
      </c>
      <c r="Q196" t="str">
        <v>121.78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CKL-718</v>
      </c>
      <c r="D197" t="str">
        <v>CKL-718</v>
      </c>
      <c r="E197" t="str">
        <v/>
      </c>
      <c r="F197" t="str">
        <v>867162029820636</v>
      </c>
      <c r="G197" t="str">
        <v>TBD</v>
      </c>
      <c r="H197" t="str">
        <v/>
      </c>
      <c r="I197" t="str">
        <v>28/09/2026</v>
      </c>
      <c r="J197" t="str">
        <v>12:58:25</v>
      </c>
      <c r="K197">
        <v>-12.241025</v>
      </c>
      <c r="L197">
        <v>-76.946594</v>
      </c>
      <c r="M197">
        <f>HYPERLINK("https://www.google.com/maps/search/?api=1&amp;query=-12.241025,-76.946594","Carretera Panamericana Sur, Villa El Salvador, Lima")</f>
      </c>
      <c r="N197">
        <v>85.4</v>
      </c>
      <c r="O197">
        <v>100</v>
      </c>
      <c r="P197">
        <v>22638.4</v>
      </c>
      <c r="Q197" t="str">
        <v>121.78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CKL-718</v>
      </c>
      <c r="D198" t="str">
        <v>CKL-718</v>
      </c>
      <c r="E198" t="str">
        <v/>
      </c>
      <c r="F198" t="str">
        <v>867162029820636</v>
      </c>
      <c r="G198" t="str">
        <v>TBD</v>
      </c>
      <c r="H198" t="str">
        <v/>
      </c>
      <c r="I198" t="str">
        <v>28/09/2026</v>
      </c>
      <c r="J198" t="str">
        <v>12:59:22</v>
      </c>
      <c r="K198">
        <v>-12.235469</v>
      </c>
      <c r="L198">
        <v>-76.9573</v>
      </c>
      <c r="M198">
        <f>HYPERLINK("https://www.google.com/maps/search/?api=1&amp;query=-12.235469,-76.9573","Carretera Panamericana Sur, Villa El Salvador, Lima")</f>
      </c>
      <c r="N198">
        <v>86.3</v>
      </c>
      <c r="O198">
        <v>100</v>
      </c>
      <c r="P198">
        <v>22639.5</v>
      </c>
      <c r="Q198" t="str">
        <v>121.78</v>
      </c>
      <c r="R198" t="str">
        <v>Excedió el límite de velocidad</v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CKL-718</v>
      </c>
      <c r="D199" t="str">
        <v>CKL-718</v>
      </c>
      <c r="E199" t="str">
        <v/>
      </c>
      <c r="F199" t="str">
        <v>867162029820636</v>
      </c>
      <c r="G199" t="str">
        <v>TBD</v>
      </c>
      <c r="H199" t="str">
        <v/>
      </c>
      <c r="I199" t="str">
        <v>28/09/2026</v>
      </c>
      <c r="J199" t="str">
        <v>12:59:25</v>
      </c>
      <c r="K199">
        <v>-12.236065</v>
      </c>
      <c r="L199">
        <v>-76.95615</v>
      </c>
      <c r="M199">
        <f>HYPERLINK("https://www.google.com/maps/search/?api=1&amp;query=-12.236065,-76.95615","Carretera Panamericana Sur, Villa El Salvador, Lima")</f>
      </c>
      <c r="N199">
        <v>81.7</v>
      </c>
      <c r="O199">
        <v>100</v>
      </c>
      <c r="P199">
        <v>22639.5</v>
      </c>
      <c r="Q199" t="str">
        <v>121.78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CKL-718</v>
      </c>
      <c r="D200" t="str">
        <v>CKL-718</v>
      </c>
      <c r="E200" t="str">
        <v/>
      </c>
      <c r="F200" t="str">
        <v>867162029820636</v>
      </c>
      <c r="G200" t="str">
        <v>TBD</v>
      </c>
      <c r="H200" t="str">
        <v/>
      </c>
      <c r="I200" t="str">
        <v>28/09/2026</v>
      </c>
      <c r="J200" t="str">
        <v>13:00:25</v>
      </c>
      <c r="K200">
        <v>-12.229918</v>
      </c>
      <c r="L200">
        <v>-76.96722</v>
      </c>
      <c r="M200">
        <f>HYPERLINK("https://www.google.com/maps/search/?api=1&amp;query=-12.229918,-76.96722","Carretera Panamericana Sur, Villa El Salvador, Lima")</f>
      </c>
      <c r="N200">
        <v>74.7</v>
      </c>
      <c r="O200">
        <v>100</v>
      </c>
      <c r="P200">
        <v>22640.9</v>
      </c>
      <c r="Q200" t="str">
        <v>121.78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CKL-718</v>
      </c>
      <c r="D201" t="str">
        <v>CKL-718</v>
      </c>
      <c r="E201" t="str">
        <v/>
      </c>
      <c r="F201" t="str">
        <v>867162029820636</v>
      </c>
      <c r="G201" t="str">
        <v>TBD</v>
      </c>
      <c r="H201" t="str">
        <v/>
      </c>
      <c r="I201" t="str">
        <v>28/09/2026</v>
      </c>
      <c r="J201" t="str">
        <v>13:01:25</v>
      </c>
      <c r="K201">
        <v>-12.222667</v>
      </c>
      <c r="L201">
        <v>-76.97435</v>
      </c>
      <c r="M201">
        <f>HYPERLINK("https://www.google.com/maps/search/?api=1&amp;query=-12.222667,-76.97435","Carretera Panamericana Sur, Chorrillos, Lima")</f>
      </c>
      <c r="N201">
        <v>79.5</v>
      </c>
      <c r="O201">
        <v>100</v>
      </c>
      <c r="P201">
        <v>22642</v>
      </c>
      <c r="Q201" t="str">
        <v>121.78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CKL-718</v>
      </c>
      <c r="D202" t="str">
        <v>CKL-718</v>
      </c>
      <c r="E202" t="str">
        <v/>
      </c>
      <c r="F202" t="str">
        <v>867162029820636</v>
      </c>
      <c r="G202" t="str">
        <v>TBD</v>
      </c>
      <c r="H202" t="str">
        <v/>
      </c>
      <c r="I202" t="str">
        <v>28/09/2026</v>
      </c>
      <c r="J202" t="str">
        <v>13:01:46</v>
      </c>
      <c r="K202">
        <v>-12.217895</v>
      </c>
      <c r="L202">
        <v>-76.97695</v>
      </c>
      <c r="M202">
        <f>HYPERLINK("https://www.google.com/maps/search/?api=1&amp;query=-12.217895,-76.97695","Carretera Panamericana Sur, Chorrillos, Lima")</f>
      </c>
      <c r="N202">
        <v>67.4</v>
      </c>
      <c r="O202">
        <v>100</v>
      </c>
      <c r="P202">
        <v>22642.5</v>
      </c>
      <c r="Q202" t="str">
        <v>121.78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CKL-718</v>
      </c>
      <c r="D203" t="str">
        <v>CKL-718</v>
      </c>
      <c r="E203" t="str">
        <v/>
      </c>
      <c r="F203" t="str">
        <v>867162029820636</v>
      </c>
      <c r="G203" t="str">
        <v>TBD</v>
      </c>
      <c r="H203" t="str">
        <v/>
      </c>
      <c r="I203" t="str">
        <v>28/09/2026</v>
      </c>
      <c r="J203" t="str">
        <v>13:02:25</v>
      </c>
      <c r="K203">
        <v>-12.212566</v>
      </c>
      <c r="L203">
        <v>-76.975975</v>
      </c>
      <c r="M203">
        <f>HYPERLINK("https://www.google.com/maps/search/?api=1&amp;query=-12.212566,-76.975975","Carretera Panamericana Sur, Chorrillos, Lima")</f>
      </c>
      <c r="N203">
        <v>73.6</v>
      </c>
      <c r="O203">
        <v>100</v>
      </c>
      <c r="P203">
        <v>22643.2</v>
      </c>
      <c r="Q203" t="str">
        <v>121.78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CKL-718</v>
      </c>
      <c r="D204" t="str">
        <v>CKL-718</v>
      </c>
      <c r="E204" t="str">
        <v/>
      </c>
      <c r="F204" t="str">
        <v>867162029820636</v>
      </c>
      <c r="G204" t="str">
        <v>TBD</v>
      </c>
      <c r="H204" t="str">
        <v/>
      </c>
      <c r="I204" t="str">
        <v>28/09/2026</v>
      </c>
      <c r="J204" t="str">
        <v>13:03:25</v>
      </c>
      <c r="K204">
        <v>-12.204768</v>
      </c>
      <c r="L204">
        <v>-76.97453</v>
      </c>
      <c r="M204">
        <f>HYPERLINK("https://www.google.com/maps/search/?api=1&amp;query=-12.204768,-76.97453","Carretera Panamericana Sur, Chorrillos, Lima")</f>
      </c>
      <c r="N204">
        <v>80</v>
      </c>
      <c r="O204">
        <v>100</v>
      </c>
      <c r="P204">
        <v>22644.1</v>
      </c>
      <c r="Q204" t="str">
        <v>121.78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CKL-718</v>
      </c>
      <c r="D205" t="str">
        <v>CKL-718</v>
      </c>
      <c r="E205" t="str">
        <v/>
      </c>
      <c r="F205" t="str">
        <v>867162029820636</v>
      </c>
      <c r="G205" t="str">
        <v>TBD</v>
      </c>
      <c r="H205" t="str">
        <v/>
      </c>
      <c r="I205" t="str">
        <v>28/09/2026</v>
      </c>
      <c r="J205" t="str">
        <v>13:04:25</v>
      </c>
      <c r="K205">
        <v>-12.195747</v>
      </c>
      <c r="L205">
        <v>-76.9729</v>
      </c>
      <c r="M205">
        <f>HYPERLINK("https://www.google.com/maps/search/?api=1&amp;query=-12.195747,-76.9729","Carretera Panamericana Sur, Villa El Salvador, Lima")</f>
      </c>
      <c r="N205">
        <v>52.1</v>
      </c>
      <c r="O205">
        <v>100</v>
      </c>
      <c r="P205">
        <v>22645.1</v>
      </c>
      <c r="Q205" t="str">
        <v>121.78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CKL-718</v>
      </c>
      <c r="D206" t="str">
        <v>CKL-718</v>
      </c>
      <c r="E206" t="str">
        <v/>
      </c>
      <c r="F206" t="str">
        <v>867162029820636</v>
      </c>
      <c r="G206" t="str">
        <v>TBD</v>
      </c>
      <c r="H206" t="str">
        <v/>
      </c>
      <c r="I206" t="str">
        <v>28/09/2026</v>
      </c>
      <c r="J206" t="str">
        <v>13:05:25</v>
      </c>
      <c r="K206">
        <v>-12.187973</v>
      </c>
      <c r="L206">
        <v>-76.97372</v>
      </c>
      <c r="M206">
        <f>HYPERLINK("https://www.google.com/maps/search/?api=1&amp;query=-12.187973,-76.97372","Avenida Panamericana Sur, San Juan de Miraflores, Lima")</f>
      </c>
      <c r="N206">
        <v>25.3</v>
      </c>
      <c r="O206">
        <v>100</v>
      </c>
      <c r="P206">
        <v>22645.9</v>
      </c>
      <c r="Q206" t="str">
        <v>121.78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CKL-718</v>
      </c>
      <c r="D207" t="str">
        <v>CKL-718</v>
      </c>
      <c r="E207" t="str">
        <v/>
      </c>
      <c r="F207" t="str">
        <v>867162029820636</v>
      </c>
      <c r="G207" t="str">
        <v>TBD</v>
      </c>
      <c r="H207" t="str">
        <v/>
      </c>
      <c r="I207" t="str">
        <v>28/09/2026</v>
      </c>
      <c r="J207" t="str">
        <v>13:06:25</v>
      </c>
      <c r="K207">
        <v>-12.181544</v>
      </c>
      <c r="L207">
        <v>-76.97573</v>
      </c>
      <c r="M207">
        <f>HYPERLINK("https://www.google.com/maps/search/?api=1&amp;query=-12.181544,-76.97573","Avenida Panamericana Sur, San Juan de Miraflores, Lima")</f>
      </c>
      <c r="N207">
        <v>52.3</v>
      </c>
      <c r="O207">
        <v>100</v>
      </c>
      <c r="P207">
        <v>22646.7</v>
      </c>
      <c r="Q207" t="str">
        <v>121.78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CKL-718</v>
      </c>
      <c r="D208" t="str">
        <v>CKL-718</v>
      </c>
      <c r="E208" t="str">
        <v/>
      </c>
      <c r="F208" t="str">
        <v>867162029820636</v>
      </c>
      <c r="G208" t="str">
        <v>TBD</v>
      </c>
      <c r="H208" t="str">
        <v/>
      </c>
      <c r="I208" t="str">
        <v>28/09/2026</v>
      </c>
      <c r="J208" t="str">
        <v>13:07:25</v>
      </c>
      <c r="K208">
        <v>-12.173208</v>
      </c>
      <c r="L208">
        <v>-76.97827</v>
      </c>
      <c r="M208">
        <f>HYPERLINK("https://www.google.com/maps/search/?api=1&amp;query=-12.173208,-76.97827","Panamericana Sur, San Juan de Miraflores, Lima")</f>
      </c>
      <c r="N208">
        <v>23.7</v>
      </c>
      <c r="O208">
        <v>100</v>
      </c>
      <c r="P208">
        <v>22647.6</v>
      </c>
      <c r="Q208" t="str">
        <v>121.78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CKL-718</v>
      </c>
      <c r="D209" t="str">
        <v>CKL-718</v>
      </c>
      <c r="E209" t="str">
        <v/>
      </c>
      <c r="F209" t="str">
        <v>867162029820636</v>
      </c>
      <c r="G209" t="str">
        <v>TBD</v>
      </c>
      <c r="H209" t="str">
        <v/>
      </c>
      <c r="I209" t="str">
        <v>28/09/2026</v>
      </c>
      <c r="J209" t="str">
        <v>13:08:25</v>
      </c>
      <c r="K209">
        <v>-12.169075</v>
      </c>
      <c r="L209">
        <v>-76.97909</v>
      </c>
      <c r="M209">
        <f>HYPERLINK("https://www.google.com/maps/search/?api=1&amp;query=-12.169075,-76.97909","Panamericana Sur, San Juan de Miraflores, Lima")</f>
      </c>
      <c r="N209">
        <v>25.8</v>
      </c>
      <c r="O209">
        <v>100</v>
      </c>
      <c r="P209">
        <v>22648.1</v>
      </c>
      <c r="Q209" t="str">
        <v>121.78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CKL-718</v>
      </c>
      <c r="D210" t="str">
        <v>CKL-718</v>
      </c>
      <c r="E210" t="str">
        <v/>
      </c>
      <c r="F210" t="str">
        <v>867162029820636</v>
      </c>
      <c r="G210" t="str">
        <v>TBD</v>
      </c>
      <c r="H210" t="str">
        <v/>
      </c>
      <c r="I210" t="str">
        <v>28/09/2026</v>
      </c>
      <c r="J210" t="str">
        <v>13:09:22</v>
      </c>
      <c r="K210">
        <v>-12.167266</v>
      </c>
      <c r="L210">
        <v>-76.97842</v>
      </c>
      <c r="M210">
        <f>HYPERLINK("https://www.google.com/maps/search/?api=1&amp;query=-12.167266,-76.97842","Avenida Alipio Ponce, San Juan de Miraflores, Lima")</f>
      </c>
      <c r="N210">
        <v>0</v>
      </c>
      <c r="O210">
        <v>100</v>
      </c>
      <c r="P210">
        <v>22648.3</v>
      </c>
      <c r="Q210" t="str">
        <v>121.78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CKL-718</v>
      </c>
      <c r="D211" t="str">
        <v>CKL-718</v>
      </c>
      <c r="E211" t="str">
        <v/>
      </c>
      <c r="F211" t="str">
        <v>867162029820636</v>
      </c>
      <c r="G211" t="str">
        <v>TBD</v>
      </c>
      <c r="H211" t="str">
        <v/>
      </c>
      <c r="I211" t="str">
        <v>28/09/2026</v>
      </c>
      <c r="J211" t="str">
        <v>13:09:22</v>
      </c>
      <c r="K211">
        <v>-12.167249</v>
      </c>
      <c r="L211">
        <v>-76.97838</v>
      </c>
      <c r="M211">
        <f>HYPERLINK("https://www.google.com/maps/search/?api=1&amp;query=-12.167249,-76.97838","Avenida Alipio Ponce, San Juan de Miraflores, Lima")</f>
      </c>
      <c r="N211">
        <v>12.6</v>
      </c>
      <c r="O211">
        <v>100</v>
      </c>
      <c r="P211">
        <v>22648.3</v>
      </c>
      <c r="Q211" t="str">
        <v>121.78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CKL-718</v>
      </c>
      <c r="D212" t="str">
        <v>CKL-718</v>
      </c>
      <c r="E212" t="str">
        <v/>
      </c>
      <c r="F212" t="str">
        <v>867162029820636</v>
      </c>
      <c r="G212" t="str">
        <v>TBD</v>
      </c>
      <c r="H212" t="str">
        <v/>
      </c>
      <c r="I212" t="str">
        <v>28/09/2026</v>
      </c>
      <c r="J212" t="str">
        <v>13:09:25</v>
      </c>
      <c r="K212">
        <v>-12.16726</v>
      </c>
      <c r="L212">
        <v>-76.978294</v>
      </c>
      <c r="M212">
        <f>HYPERLINK("https://www.google.com/maps/search/?api=1&amp;query=-12.16726,-76.978294","Avenida Pedro Miotta, San Juan de Miraflores, Lima")</f>
      </c>
      <c r="N212">
        <v>12.9</v>
      </c>
      <c r="O212">
        <v>100</v>
      </c>
      <c r="P212">
        <v>22648.3</v>
      </c>
      <c r="Q212" t="str">
        <v>121.78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CKL-718</v>
      </c>
      <c r="D213" t="str">
        <v>CKL-718</v>
      </c>
      <c r="E213" t="str">
        <v/>
      </c>
      <c r="F213" t="str">
        <v>867162029820636</v>
      </c>
      <c r="G213" t="str">
        <v>TBD</v>
      </c>
      <c r="H213" t="str">
        <v/>
      </c>
      <c r="I213" t="str">
        <v>28/09/2026</v>
      </c>
      <c r="J213" t="str">
        <v>13:09:31</v>
      </c>
      <c r="K213">
        <v>-12.167495</v>
      </c>
      <c r="L213">
        <v>-76.978134</v>
      </c>
      <c r="M213">
        <f>HYPERLINK("https://www.google.com/maps/search/?api=1&amp;query=-12.167495,-76.978134","Avenida Pedro Miotta, San Juan de Miraflores, Lima")</f>
      </c>
      <c r="N213">
        <v>25.1</v>
      </c>
      <c r="O213">
        <v>100</v>
      </c>
      <c r="P213">
        <v>22648.3</v>
      </c>
      <c r="Q213" t="str">
        <v>121.78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CKL-718</v>
      </c>
      <c r="D214" t="str">
        <v>CKL-718</v>
      </c>
      <c r="E214" t="str">
        <v/>
      </c>
      <c r="F214" t="str">
        <v>867162029820636</v>
      </c>
      <c r="G214" t="str">
        <v>TBD</v>
      </c>
      <c r="H214" t="str">
        <v/>
      </c>
      <c r="I214" t="str">
        <v>28/09/2026</v>
      </c>
      <c r="J214" t="str">
        <v>13:10:13</v>
      </c>
      <c r="K214">
        <v>-12.169183</v>
      </c>
      <c r="L214">
        <v>-76.97761</v>
      </c>
      <c r="M214">
        <f>HYPERLINK("https://www.google.com/maps/search/?api=1&amp;query=-12.169183,-76.97761","Jirón Pedro Silva, San Juan de Miraflores, Lima")</f>
      </c>
      <c r="N214">
        <v>8.7</v>
      </c>
      <c r="O214">
        <v>100</v>
      </c>
      <c r="P214">
        <v>22648.5</v>
      </c>
      <c r="Q214" t="str">
        <v>121.78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CKL-718</v>
      </c>
      <c r="D215" t="str">
        <v>CKL-718</v>
      </c>
      <c r="E215" t="str">
        <v/>
      </c>
      <c r="F215" t="str">
        <v>867162029820636</v>
      </c>
      <c r="G215" t="str">
        <v>TBD</v>
      </c>
      <c r="H215" t="str">
        <v/>
      </c>
      <c r="I215" t="str">
        <v>28/09/2026</v>
      </c>
      <c r="J215" t="str">
        <v>13:10:20</v>
      </c>
      <c r="K215">
        <v>-12.169177</v>
      </c>
      <c r="L215">
        <v>-76.97751</v>
      </c>
      <c r="M215">
        <f>HYPERLINK("https://www.google.com/maps/search/?api=1&amp;query=-12.169177,-76.97751","Avenida Pedro Miotta, San Juan de Miraflores, Lima")</f>
      </c>
      <c r="N215">
        <v>13.7</v>
      </c>
      <c r="O215">
        <v>100</v>
      </c>
      <c r="P215">
        <v>22648.5</v>
      </c>
      <c r="Q215" t="str">
        <v>121.78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CKL-718</v>
      </c>
      <c r="D216" t="str">
        <v>CKL-718</v>
      </c>
      <c r="E216" t="str">
        <v/>
      </c>
      <c r="F216" t="str">
        <v>867162029820636</v>
      </c>
      <c r="G216" t="str">
        <v>TBD</v>
      </c>
      <c r="H216" t="str">
        <v/>
      </c>
      <c r="I216" t="str">
        <v>28/09/2026</v>
      </c>
      <c r="J216" t="str">
        <v>13:11:20</v>
      </c>
      <c r="K216">
        <v>-12.168591</v>
      </c>
      <c r="L216">
        <v>-76.9749</v>
      </c>
      <c r="M216">
        <f>HYPERLINK("https://www.google.com/maps/search/?api=1&amp;query=-12.168591,-76.9749","Jirón Pedro Silva, San Juan de Miraflores, Lima")</f>
      </c>
      <c r="N216">
        <v>28.5</v>
      </c>
      <c r="O216">
        <v>100</v>
      </c>
      <c r="P216">
        <v>22648.8</v>
      </c>
      <c r="Q216" t="str">
        <v>121.78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CKL-718</v>
      </c>
      <c r="D217" t="str">
        <v>CKL-718</v>
      </c>
      <c r="E217" t="str">
        <v/>
      </c>
      <c r="F217" t="str">
        <v>867162029820636</v>
      </c>
      <c r="G217" t="str">
        <v>TBD</v>
      </c>
      <c r="H217" t="str">
        <v/>
      </c>
      <c r="I217" t="str">
        <v>28/09/2026</v>
      </c>
      <c r="J217" t="str">
        <v>13:12:20</v>
      </c>
      <c r="K217">
        <v>-12.167948</v>
      </c>
      <c r="L217">
        <v>-76.9725</v>
      </c>
      <c r="M217">
        <f>HYPERLINK("https://www.google.com/maps/search/?api=1&amp;query=-12.167948,-76.9725","Jirón Pedro Silva, San Juan de Miraflores, Lima")</f>
      </c>
      <c r="N217">
        <v>5.7</v>
      </c>
      <c r="O217">
        <v>100</v>
      </c>
      <c r="P217">
        <v>22649</v>
      </c>
      <c r="Q217" t="str">
        <v>121.78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CKL-718</v>
      </c>
      <c r="D218" t="str">
        <v>CKL-718</v>
      </c>
      <c r="E218" t="str">
        <v/>
      </c>
      <c r="F218" t="str">
        <v>867162029820636</v>
      </c>
      <c r="G218" t="str">
        <v>TBD</v>
      </c>
      <c r="H218" t="str">
        <v/>
      </c>
      <c r="I218" t="str">
        <v>28/09/2026</v>
      </c>
      <c r="J218" t="str">
        <v>13:13:20</v>
      </c>
      <c r="K218">
        <v>-12.167214</v>
      </c>
      <c r="L218">
        <v>-76.96949</v>
      </c>
      <c r="M218">
        <f>HYPERLINK("https://www.google.com/maps/search/?api=1&amp;query=-12.167214,-76.96949","Jirón Pedro Silva, San Juan de Miraflores, Lima")</f>
      </c>
      <c r="N218">
        <v>24.2</v>
      </c>
      <c r="O218">
        <v>100</v>
      </c>
      <c r="P218">
        <v>22649.4</v>
      </c>
      <c r="Q218" t="str">
        <v>121.78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CKL-718</v>
      </c>
      <c r="D219" t="str">
        <v>CKL-718</v>
      </c>
      <c r="E219" t="str">
        <v/>
      </c>
      <c r="F219" t="str">
        <v>867162029820636</v>
      </c>
      <c r="G219" t="str">
        <v>TBD</v>
      </c>
      <c r="H219" t="str">
        <v/>
      </c>
      <c r="I219" t="str">
        <v>28/09/2026</v>
      </c>
      <c r="J219" t="str">
        <v>13:14:20</v>
      </c>
      <c r="K219">
        <v>-12.167171</v>
      </c>
      <c r="L219">
        <v>-76.969284</v>
      </c>
      <c r="M219">
        <f>HYPERLINK("https://www.google.com/maps/search/?api=1&amp;query=-12.167171,-76.969284","Jirón Pedro Silva, San Juan de Miraflores, Lima")</f>
      </c>
      <c r="N219">
        <v>3.8</v>
      </c>
      <c r="O219">
        <v>100</v>
      </c>
      <c r="P219">
        <v>22649.4</v>
      </c>
      <c r="Q219" t="str">
        <v>121.78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CKL-718</v>
      </c>
      <c r="D220" t="str">
        <v>CKL-718</v>
      </c>
      <c r="E220" t="str">
        <v/>
      </c>
      <c r="F220" t="str">
        <v>867162029820636</v>
      </c>
      <c r="G220" t="str">
        <v>TBD</v>
      </c>
      <c r="H220" t="str">
        <v/>
      </c>
      <c r="I220" t="str">
        <v>28/09/2026</v>
      </c>
      <c r="J220" t="str">
        <v>13:15:20</v>
      </c>
      <c r="K220">
        <v>-12.166774</v>
      </c>
      <c r="L220">
        <v>-76.96667</v>
      </c>
      <c r="M220">
        <f>HYPERLINK("https://www.google.com/maps/search/?api=1&amp;query=-12.166774,-76.96667","Jirón Pedro Silva, San Juan de Miraflores, Lima")</f>
      </c>
      <c r="N220">
        <v>11.9</v>
      </c>
      <c r="O220">
        <v>100</v>
      </c>
      <c r="P220">
        <v>22649.7</v>
      </c>
      <c r="Q220" t="str">
        <v>121.78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CKL-718</v>
      </c>
      <c r="D221" t="str">
        <v>CKL-718</v>
      </c>
      <c r="E221" t="str">
        <v/>
      </c>
      <c r="F221" t="str">
        <v>867162029820636</v>
      </c>
      <c r="G221" t="str">
        <v>TBD</v>
      </c>
      <c r="H221" t="str">
        <v/>
      </c>
      <c r="I221" t="str">
        <v>28/09/2026</v>
      </c>
      <c r="J221" t="str">
        <v>13:16:20</v>
      </c>
      <c r="K221">
        <v>-12.163792</v>
      </c>
      <c r="L221">
        <v>-76.96548</v>
      </c>
      <c r="M221">
        <f>HYPERLINK("https://www.google.com/maps/search/?api=1&amp;query=-12.163792,-76.96548","Avenida Tomás Guzmán, San Juan de Miraflores, Lima")</f>
      </c>
      <c r="N221">
        <v>37.8</v>
      </c>
      <c r="O221">
        <v>100</v>
      </c>
      <c r="P221">
        <v>22650.1</v>
      </c>
      <c r="Q221" t="str">
        <v>121.78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CKL-718</v>
      </c>
      <c r="D222" t="str">
        <v>CKL-718</v>
      </c>
      <c r="E222" t="str">
        <v/>
      </c>
      <c r="F222" t="str">
        <v>867162029820636</v>
      </c>
      <c r="G222" t="str">
        <v>TBD</v>
      </c>
      <c r="H222" t="str">
        <v/>
      </c>
      <c r="I222" t="str">
        <v>28/09/2026</v>
      </c>
      <c r="J222" t="str">
        <v>13:16:31</v>
      </c>
      <c r="K222">
        <v>-12.163096</v>
      </c>
      <c r="L222">
        <v>-76.96513</v>
      </c>
      <c r="M222">
        <f>HYPERLINK("https://www.google.com/maps/search/?api=1&amp;query=-12.163096,-76.96513","Avenida Tomás Guzmán, San Juan de Miraflores, Lima")</f>
      </c>
      <c r="N222">
        <v>11.5</v>
      </c>
      <c r="O222">
        <v>100</v>
      </c>
      <c r="P222">
        <v>22650.1</v>
      </c>
      <c r="Q222" t="str">
        <v>121.78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CKL-718</v>
      </c>
      <c r="D223" t="str">
        <v>CKL-718</v>
      </c>
      <c r="E223" t="str">
        <v/>
      </c>
      <c r="F223" t="str">
        <v>867162029820636</v>
      </c>
      <c r="G223" t="str">
        <v>TBD</v>
      </c>
      <c r="H223" t="str">
        <v/>
      </c>
      <c r="I223" t="str">
        <v>28/09/2026</v>
      </c>
      <c r="J223" t="str">
        <v>13:17:19</v>
      </c>
      <c r="K223">
        <v>-12.164259</v>
      </c>
      <c r="L223">
        <v>-76.962234</v>
      </c>
      <c r="M223">
        <f>HYPERLINK("https://www.google.com/maps/search/?api=1&amp;query=-12.164259,-76.962234","Avenida Belisario Suárez, San Juan de Miraflores, Lima")</f>
      </c>
      <c r="N223">
        <v>9.6</v>
      </c>
      <c r="O223">
        <v>100</v>
      </c>
      <c r="P223">
        <v>22650.5</v>
      </c>
      <c r="Q223" t="str">
        <v>121.78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CKL-718</v>
      </c>
      <c r="D224" t="str">
        <v>CKL-718</v>
      </c>
      <c r="E224" t="str">
        <v/>
      </c>
      <c r="F224" t="str">
        <v>867162029820636</v>
      </c>
      <c r="G224" t="str">
        <v>TBD</v>
      </c>
      <c r="H224" t="str">
        <v/>
      </c>
      <c r="I224" t="str">
        <v>28/09/2026</v>
      </c>
      <c r="J224" t="str">
        <v>13:17:19</v>
      </c>
      <c r="K224">
        <v>-12.164194</v>
      </c>
      <c r="L224">
        <v>-76.96221</v>
      </c>
      <c r="M224">
        <f>HYPERLINK("https://www.google.com/maps/search/?api=1&amp;query=-12.164194,-76.96221","Avenida Belisario Suárez, San Juan de Miraflores, Lima")</f>
      </c>
      <c r="N224">
        <v>8.2</v>
      </c>
      <c r="O224">
        <v>100</v>
      </c>
      <c r="P224">
        <v>22650.5</v>
      </c>
      <c r="Q224" t="str">
        <v>121.78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CKL-718</v>
      </c>
      <c r="D225" t="str">
        <v>CKL-718</v>
      </c>
      <c r="E225" t="str">
        <v/>
      </c>
      <c r="F225" t="str">
        <v>867162029820636</v>
      </c>
      <c r="G225" t="str">
        <v>TBD</v>
      </c>
      <c r="H225" t="str">
        <v/>
      </c>
      <c r="I225" t="str">
        <v>28/09/2026</v>
      </c>
      <c r="J225" t="str">
        <v>13:17:28</v>
      </c>
      <c r="K225">
        <v>-12.164145</v>
      </c>
      <c r="L225">
        <v>-76.96226</v>
      </c>
      <c r="M225">
        <f>HYPERLINK("https://www.google.com/maps/search/?api=1&amp;query=-12.164145,-76.96226","Avenida Belisario Suárez, San Juan de Miraflores, Lima")</f>
      </c>
      <c r="N225">
        <v>10.6</v>
      </c>
      <c r="O225">
        <v>100</v>
      </c>
      <c r="P225">
        <v>22650.5</v>
      </c>
      <c r="Q225" t="str">
        <v>121.78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CKL-718</v>
      </c>
      <c r="D226" t="str">
        <v>CKL-718</v>
      </c>
      <c r="E226" t="str">
        <v/>
      </c>
      <c r="F226" t="str">
        <v>867162029820636</v>
      </c>
      <c r="G226" t="str">
        <v>TBD</v>
      </c>
      <c r="H226" t="str">
        <v/>
      </c>
      <c r="I226" t="str">
        <v>28/09/2026</v>
      </c>
      <c r="J226" t="str">
        <v>13:18:15</v>
      </c>
      <c r="K226">
        <v>-12.164145</v>
      </c>
      <c r="L226">
        <v>-76.96226</v>
      </c>
      <c r="M226">
        <f>HYPERLINK("https://www.google.com/maps/search/?api=1&amp;query=-12.164145,-76.96226","Avenida Belisario Suárez, San Juan de Miraflores, Lima")</f>
      </c>
      <c r="N226">
        <v>10.6</v>
      </c>
      <c r="O226">
        <v>100</v>
      </c>
      <c r="P226">
        <v>22650.5</v>
      </c>
      <c r="Q226" t="str">
        <v>121.78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CKL-718</v>
      </c>
      <c r="D227" t="str">
        <v>CKL-718</v>
      </c>
      <c r="E227" t="str">
        <v/>
      </c>
      <c r="F227" t="str">
        <v>867162029820636</v>
      </c>
      <c r="G227" t="str">
        <v>TBD</v>
      </c>
      <c r="H227" t="str">
        <v/>
      </c>
      <c r="I227" t="str">
        <v>28/09/2026</v>
      </c>
      <c r="J227" t="str">
        <v>13:18:37</v>
      </c>
      <c r="K227">
        <v>-12.163269</v>
      </c>
      <c r="L227">
        <v>-76.964386</v>
      </c>
      <c r="M227">
        <f>HYPERLINK("https://www.google.com/maps/search/?api=1&amp;query=-12.163269,-76.964386","Avenida Belisario Suárez, San Juan de Miraflores, Lima")</f>
      </c>
      <c r="N227">
        <v>31.2</v>
      </c>
      <c r="O227">
        <v>100</v>
      </c>
      <c r="P227">
        <v>22650.8</v>
      </c>
      <c r="Q227" t="str">
        <v>121.78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CKL-718</v>
      </c>
      <c r="D228" t="str">
        <v>CKL-718</v>
      </c>
      <c r="E228" t="str">
        <v/>
      </c>
      <c r="F228" t="str">
        <v>867162029820636</v>
      </c>
      <c r="G228" t="str">
        <v>TBD</v>
      </c>
      <c r="H228" t="str">
        <v/>
      </c>
      <c r="I228" t="str">
        <v>28/09/2026</v>
      </c>
      <c r="J228" t="str">
        <v>13:18:37</v>
      </c>
      <c r="K228">
        <v>-12.162951</v>
      </c>
      <c r="L228">
        <v>-76.965065</v>
      </c>
      <c r="M228">
        <f>HYPERLINK("https://www.google.com/maps/search/?api=1&amp;query=-12.162951,-76.965065","Avenida Belisario Suárez, San Juan de Miraflores, Lima")</f>
      </c>
      <c r="N228">
        <v>4.8</v>
      </c>
      <c r="O228">
        <v>100</v>
      </c>
      <c r="P228">
        <v>22650.8</v>
      </c>
      <c r="Q228" t="str">
        <v>121.78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CKL-718</v>
      </c>
      <c r="D229" t="str">
        <v>CKL-718</v>
      </c>
      <c r="E229" t="str">
        <v/>
      </c>
      <c r="F229" t="str">
        <v>867162029820636</v>
      </c>
      <c r="G229" t="str">
        <v>TBD</v>
      </c>
      <c r="H229" t="str">
        <v/>
      </c>
      <c r="I229" t="str">
        <v>28/09/2026</v>
      </c>
      <c r="J229" t="str">
        <v>13:19:22</v>
      </c>
      <c r="K229">
        <v>-12.161913</v>
      </c>
      <c r="L229">
        <v>-76.96467</v>
      </c>
      <c r="M229">
        <f>HYPERLINK("https://www.google.com/maps/search/?api=1&amp;query=-12.161913,-76.96467","Avenida Tomás Guzmán, San Juan de Miraflores, Lima")</f>
      </c>
      <c r="N229">
        <v>0.7</v>
      </c>
      <c r="O229">
        <v>100</v>
      </c>
      <c r="P229">
        <v>22651</v>
      </c>
      <c r="Q229" t="str">
        <v>121.78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CKL-718</v>
      </c>
      <c r="D230" t="str">
        <v>CKL-718</v>
      </c>
      <c r="E230" t="str">
        <v/>
      </c>
      <c r="F230" t="str">
        <v>867162029820636</v>
      </c>
      <c r="G230" t="str">
        <v>TBD</v>
      </c>
      <c r="H230" t="str">
        <v/>
      </c>
      <c r="I230" t="str">
        <v>28/09/2026</v>
      </c>
      <c r="J230" t="str">
        <v>13:19:22</v>
      </c>
      <c r="K230">
        <v>-12.161874</v>
      </c>
      <c r="L230">
        <v>-76.96459</v>
      </c>
      <c r="M230">
        <f>HYPERLINK("https://www.google.com/maps/search/?api=1&amp;query=-12.161874,-76.96459","Avenida Guillermo Billinghurst, San Juan de Miraflores, Lima")</f>
      </c>
      <c r="N230">
        <v>9.6</v>
      </c>
      <c r="O230">
        <v>100</v>
      </c>
      <c r="P230">
        <v>22651</v>
      </c>
      <c r="Q230" t="str">
        <v>121.78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CKL-718</v>
      </c>
      <c r="D231" t="str">
        <v>CKL-718</v>
      </c>
      <c r="E231" t="str">
        <v/>
      </c>
      <c r="F231" t="str">
        <v>867162029820636</v>
      </c>
      <c r="G231" t="str">
        <v>TBD</v>
      </c>
      <c r="H231" t="str">
        <v/>
      </c>
      <c r="I231" t="str">
        <v>28/09/2026</v>
      </c>
      <c r="J231" t="str">
        <v>13:20:19</v>
      </c>
      <c r="K231">
        <v>-12.162804</v>
      </c>
      <c r="L231">
        <v>-76.96223</v>
      </c>
      <c r="M231">
        <f>HYPERLINK("https://www.google.com/maps/search/?api=1&amp;query=-12.162804,-76.96223","Avenida Guillermo Billinghurst, San Juan de Miraflores, Lima")</f>
      </c>
      <c r="N231">
        <v>0</v>
      </c>
      <c r="O231">
        <v>100</v>
      </c>
      <c r="P231">
        <v>22651.2</v>
      </c>
      <c r="Q231" t="str">
        <v>121.78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CKL-718</v>
      </c>
      <c r="D232" t="str">
        <v>CKL-718</v>
      </c>
      <c r="E232" t="str">
        <v/>
      </c>
      <c r="F232" t="str">
        <v>867162029820636</v>
      </c>
      <c r="G232" t="str">
        <v>TBD</v>
      </c>
      <c r="H232" t="str">
        <v/>
      </c>
      <c r="I232" t="str">
        <v>28/09/2026</v>
      </c>
      <c r="J232" t="str">
        <v>13:20:19</v>
      </c>
      <c r="K232">
        <v>-12.162783</v>
      </c>
      <c r="L232">
        <v>-76.96222</v>
      </c>
      <c r="M232">
        <f>HYPERLINK("https://www.google.com/maps/search/?api=1&amp;query=-12.162783,-76.96222","Avenida Guillermo Billinghurst, San Juan de Miraflores, Lima")</f>
      </c>
      <c r="N232">
        <v>3.5</v>
      </c>
      <c r="O232">
        <v>100</v>
      </c>
      <c r="P232">
        <v>22651.2</v>
      </c>
      <c r="Q232" t="str">
        <v>121.78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CKL-718</v>
      </c>
      <c r="D233" t="str">
        <v>CKL-718</v>
      </c>
      <c r="E233" t="str">
        <v/>
      </c>
      <c r="F233" t="str">
        <v>867162029820636</v>
      </c>
      <c r="G233" t="str">
        <v>TBD</v>
      </c>
      <c r="H233" t="str">
        <v/>
      </c>
      <c r="I233" t="str">
        <v>28/09/2026</v>
      </c>
      <c r="J233" t="str">
        <v>13:20:22</v>
      </c>
      <c r="K233">
        <v>-12.162741</v>
      </c>
      <c r="L233">
        <v>-76.96222</v>
      </c>
      <c r="M233">
        <f>HYPERLINK("https://www.google.com/maps/search/?api=1&amp;query=-12.162741,-76.96222","Avenida Guillermo Billinghurst, San Juan de Miraflores, Lima")</f>
      </c>
      <c r="N233">
        <v>3.3</v>
      </c>
      <c r="O233">
        <v>100</v>
      </c>
      <c r="P233">
        <v>22651.2</v>
      </c>
      <c r="Q233" t="str">
        <v>121.78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CKL-718</v>
      </c>
      <c r="D234" t="str">
        <v>CKL-718</v>
      </c>
      <c r="E234" t="str">
        <v/>
      </c>
      <c r="F234" t="str">
        <v>867162029820636</v>
      </c>
      <c r="G234" t="str">
        <v>TBD</v>
      </c>
      <c r="H234" t="str">
        <v/>
      </c>
      <c r="I234" t="str">
        <v>28/09/2026</v>
      </c>
      <c r="J234" t="str">
        <v>13:21:16</v>
      </c>
      <c r="K234">
        <v>-12.162741</v>
      </c>
      <c r="L234">
        <v>-76.96222</v>
      </c>
      <c r="M234">
        <f>HYPERLINK("https://www.google.com/maps/search/?api=1&amp;query=-12.162741,-76.96222","Avenida Guillermo Billinghurst, San Juan de Miraflores, Lima")</f>
      </c>
      <c r="N234">
        <v>3.3</v>
      </c>
      <c r="O234">
        <v>100</v>
      </c>
      <c r="P234">
        <v>22651.2</v>
      </c>
      <c r="Q234" t="str">
        <v>121.78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CKL-718</v>
      </c>
      <c r="D235" t="str">
        <v>CKL-718</v>
      </c>
      <c r="E235" t="str">
        <v/>
      </c>
      <c r="F235" t="str">
        <v>867162029820636</v>
      </c>
      <c r="G235" t="str">
        <v>TBD</v>
      </c>
      <c r="H235" t="str">
        <v/>
      </c>
      <c r="I235" t="str">
        <v>28/09/2026</v>
      </c>
      <c r="J235" t="str">
        <v>13:21:43</v>
      </c>
      <c r="K235">
        <v>-12.162245</v>
      </c>
      <c r="L235">
        <v>-76.96333</v>
      </c>
      <c r="M235">
        <f>HYPERLINK("https://www.google.com/maps/search/?api=1&amp;query=-12.162245,-76.96333","Avenida Guillermo Billinghurst, San Juan de Miraflores, Lima")</f>
      </c>
      <c r="N235">
        <v>0</v>
      </c>
      <c r="O235">
        <v>100</v>
      </c>
      <c r="P235">
        <v>22651.3</v>
      </c>
      <c r="Q235" t="str">
        <v>122.58</v>
      </c>
      <c r="R235" t="str">
        <v>Vehículo apagado</v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CKL-718</v>
      </c>
      <c r="D236" t="str">
        <v>CKL-718</v>
      </c>
      <c r="E236" t="str">
        <v/>
      </c>
      <c r="F236" t="str">
        <v>867162029820636</v>
      </c>
      <c r="G236" t="str">
        <v>TBD</v>
      </c>
      <c r="H236" t="str">
        <v/>
      </c>
      <c r="I236" t="str">
        <v>28/09/2026</v>
      </c>
      <c r="J236" t="str">
        <v>13:21:45</v>
      </c>
      <c r="K236">
        <v>-12.162245</v>
      </c>
      <c r="L236">
        <v>-76.96333</v>
      </c>
      <c r="M236">
        <f>HYPERLINK("https://www.google.com/maps/search/?api=1&amp;query=-12.162245,-76.96333","Avenida Guillermo Billinghurst, San Juan de Miraflores, Lima")</f>
      </c>
      <c r="N236">
        <v>0</v>
      </c>
      <c r="O236">
        <v>100</v>
      </c>
      <c r="P236">
        <v>22651.2</v>
      </c>
      <c r="Q236" t="str">
        <v>121.78</v>
      </c>
      <c r="R236" t="str">
        <v>Llegó a la zona</v>
      </c>
      <c r="S236" t="str">
        <v>2003-GUILLERMO10 SJM MS</v>
      </c>
      <c r="T236" t="str">
        <v xml:space="preserve"> </v>
      </c>
      <c r="U236" t="str">
        <v/>
      </c>
    </row>
    <row r="237">
      <c r="A237" t="str">
        <v>236</v>
      </c>
      <c r="B237" t="str">
        <v>MASS BSF</v>
      </c>
      <c r="C237" t="str">
        <v>CKL-718</v>
      </c>
      <c r="D237" t="str">
        <v>CKL-718</v>
      </c>
      <c r="E237" t="str">
        <v/>
      </c>
      <c r="F237" t="str">
        <v>867162029820636</v>
      </c>
      <c r="G237" t="str">
        <v>TBD</v>
      </c>
      <c r="H237" t="str">
        <v/>
      </c>
      <c r="I237" t="str">
        <v>28/09/2026</v>
      </c>
      <c r="J237" t="str">
        <v>13:21:45</v>
      </c>
      <c r="K237">
        <v>-12.162245</v>
      </c>
      <c r="L237">
        <v>-76.96333</v>
      </c>
      <c r="M237">
        <f>HYPERLINK("https://www.google.com/maps/search/?api=1&amp;query=-12.162245,-76.96333","Avenida Guillermo Billinghurst, San Juan de Miraflores, Lima")</f>
      </c>
      <c r="N237">
        <v>0</v>
      </c>
      <c r="O237">
        <v>100</v>
      </c>
      <c r="P237">
        <v>22651.3</v>
      </c>
      <c r="Q237" t="str">
        <v>121.78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CKL-718</v>
      </c>
      <c r="D238" t="str">
        <v>CKL-718</v>
      </c>
      <c r="E238" t="str">
        <v/>
      </c>
      <c r="F238" t="str">
        <v>867162029820636</v>
      </c>
      <c r="G238" t="str">
        <v>TBD</v>
      </c>
      <c r="H238" t="str">
        <v/>
      </c>
      <c r="I238" t="str">
        <v>28/09/2026</v>
      </c>
      <c r="J238" t="str">
        <v>13:50:56</v>
      </c>
      <c r="K238">
        <v>-12.162263</v>
      </c>
      <c r="L238">
        <v>-76.963356</v>
      </c>
      <c r="M238">
        <f>HYPERLINK("https://www.google.com/maps/search/?api=1&amp;query=-12.162263,-76.963356","Avenida Guillermo Billinghurst, San Juan de Miraflores, Lima")</f>
      </c>
      <c r="N238">
        <v>0</v>
      </c>
      <c r="O238">
        <v>100</v>
      </c>
      <c r="P238">
        <v>22651.3</v>
      </c>
      <c r="Q238" t="str">
        <v>122.58</v>
      </c>
      <c r="R238" t="str">
        <v>Vehículo encendido</v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CKL-718</v>
      </c>
      <c r="D239" t="str">
        <v>CKL-718</v>
      </c>
      <c r="E239" t="str">
        <v/>
      </c>
      <c r="F239" t="str">
        <v>867162029820636</v>
      </c>
      <c r="G239" t="str">
        <v>TBD</v>
      </c>
      <c r="H239" t="str">
        <v/>
      </c>
      <c r="I239" t="str">
        <v>28/09/2026</v>
      </c>
      <c r="J239" t="str">
        <v>13:51:04</v>
      </c>
      <c r="K239">
        <v>-12.162263</v>
      </c>
      <c r="L239">
        <v>-76.963356</v>
      </c>
      <c r="M239">
        <f>HYPERLINK("https://www.google.com/maps/search/?api=1&amp;query=-12.162263,-76.963356","Avenida Guillermo Billinghurst, San Juan de Miraflores, Lima")</f>
      </c>
      <c r="N239">
        <v>0</v>
      </c>
      <c r="O239">
        <v>100</v>
      </c>
      <c r="P239">
        <v>22651.3</v>
      </c>
      <c r="Q239" t="str">
        <v>122.58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CKL-718</v>
      </c>
      <c r="D240" t="str">
        <v>CKL-718</v>
      </c>
      <c r="E240" t="str">
        <v/>
      </c>
      <c r="F240" t="str">
        <v>867162029820636</v>
      </c>
      <c r="G240" t="str">
        <v>TBD</v>
      </c>
      <c r="H240" t="str">
        <v/>
      </c>
      <c r="I240" t="str">
        <v>28/09/2026</v>
      </c>
      <c r="J240" t="str">
        <v>13:52:01</v>
      </c>
      <c r="K240">
        <v>-12.161783</v>
      </c>
      <c r="L240">
        <v>-76.96454</v>
      </c>
      <c r="M240">
        <f>HYPERLINK("https://www.google.com/maps/search/?api=1&amp;query=-12.161783,-76.96454","Avenida Guillermo Billinghurst, San Juan de Miraflores, Lima")</f>
      </c>
      <c r="N240">
        <v>10</v>
      </c>
      <c r="O240">
        <v>100</v>
      </c>
      <c r="P240">
        <v>22651.3</v>
      </c>
      <c r="Q240" t="str">
        <v>122.58</v>
      </c>
      <c r="R240" t="str">
        <v>Salió de zona</v>
      </c>
      <c r="S240" t="str">
        <v>2003-GUILLERMO10 SJM MS</v>
      </c>
      <c r="T240" t="str">
        <v xml:space="preserve"> </v>
      </c>
      <c r="U240" t="str">
        <v/>
      </c>
    </row>
    <row r="241">
      <c r="A241" t="str">
        <v>240</v>
      </c>
      <c r="B241" t="str">
        <v>MASS BSF</v>
      </c>
      <c r="C241" t="str">
        <v>CKL-718</v>
      </c>
      <c r="D241" t="str">
        <v>CKL-718</v>
      </c>
      <c r="E241" t="str">
        <v/>
      </c>
      <c r="F241" t="str">
        <v>867162029820636</v>
      </c>
      <c r="G241" t="str">
        <v>TBD</v>
      </c>
      <c r="H241" t="str">
        <v/>
      </c>
      <c r="I241" t="str">
        <v>28/09/2026</v>
      </c>
      <c r="J241" t="str">
        <v>13:52:01</v>
      </c>
      <c r="K241">
        <v>-12.161783</v>
      </c>
      <c r="L241">
        <v>-76.96454</v>
      </c>
      <c r="M241">
        <f>HYPERLINK("https://www.google.com/maps/search/?api=1&amp;query=-12.161783,-76.96454","Avenida Guillermo Billinghurst, San Juan de Miraflores, Lima")</f>
      </c>
      <c r="N241">
        <v>10</v>
      </c>
      <c r="O241">
        <v>100</v>
      </c>
      <c r="P241">
        <v>22651.5</v>
      </c>
      <c r="Q241" t="str">
        <v>122.58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CKL-718</v>
      </c>
      <c r="D242" t="str">
        <v>CKL-718</v>
      </c>
      <c r="E242" t="str">
        <v/>
      </c>
      <c r="F242" t="str">
        <v>867162029820636</v>
      </c>
      <c r="G242" t="str">
        <v>TBD</v>
      </c>
      <c r="H242" t="str">
        <v/>
      </c>
      <c r="I242" t="str">
        <v>28/09/2026</v>
      </c>
      <c r="J242" t="str">
        <v>13:53:01</v>
      </c>
      <c r="K242">
        <v>-12.160466</v>
      </c>
      <c r="L242">
        <v>-76.96783</v>
      </c>
      <c r="M242">
        <f>HYPERLINK("https://www.google.com/maps/search/?api=1&amp;query=-12.160466,-76.96783","Avenida Guillermo Billinghurst, San Juan de Miraflores, Lima")</f>
      </c>
      <c r="N242">
        <v>15.2</v>
      </c>
      <c r="O242">
        <v>100</v>
      </c>
      <c r="P242">
        <v>22651.9</v>
      </c>
      <c r="Q242" t="str">
        <v>122.58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CKL-718</v>
      </c>
      <c r="D243" t="str">
        <v>CKL-718</v>
      </c>
      <c r="E243" t="str">
        <v/>
      </c>
      <c r="F243" t="str">
        <v>867162029820636</v>
      </c>
      <c r="G243" t="str">
        <v>TBD</v>
      </c>
      <c r="H243" t="str">
        <v/>
      </c>
      <c r="I243" t="str">
        <v>28/09/2026</v>
      </c>
      <c r="J243" t="str">
        <v>13:54:01</v>
      </c>
      <c r="K243">
        <v>-12.159093</v>
      </c>
      <c r="L243">
        <v>-76.97113</v>
      </c>
      <c r="M243">
        <f>HYPERLINK("https://www.google.com/maps/search/?api=1&amp;query=-12.159093,-76.97113","Avenida Guillermo Billinghurst, San Juan de Miraflores, Lima")</f>
      </c>
      <c r="N243">
        <v>31.4</v>
      </c>
      <c r="O243">
        <v>100</v>
      </c>
      <c r="P243">
        <v>22652.3</v>
      </c>
      <c r="Q243" t="str">
        <v>122.58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CKL-718</v>
      </c>
      <c r="D244" t="str">
        <v>CKL-718</v>
      </c>
      <c r="E244" t="str">
        <v/>
      </c>
      <c r="F244" t="str">
        <v>867162029820636</v>
      </c>
      <c r="G244" t="str">
        <v>TBD</v>
      </c>
      <c r="H244" t="str">
        <v/>
      </c>
      <c r="I244" t="str">
        <v>28/09/2026</v>
      </c>
      <c r="J244" t="str">
        <v>13:55:01</v>
      </c>
      <c r="K244">
        <v>-12.158489</v>
      </c>
      <c r="L244">
        <v>-76.973015</v>
      </c>
      <c r="M244">
        <f>HYPERLINK("https://www.google.com/maps/search/?api=1&amp;query=-12.158489,-76.973015","Avenida Guillermo Billinghurst, San Juan de Miraflores, Lima")</f>
      </c>
      <c r="N244">
        <v>13.3</v>
      </c>
      <c r="O244">
        <v>100</v>
      </c>
      <c r="P244">
        <v>22652.5</v>
      </c>
      <c r="Q244" t="str">
        <v>122.58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CKL-718</v>
      </c>
      <c r="D245" t="str">
        <v>CKL-718</v>
      </c>
      <c r="E245" t="str">
        <v/>
      </c>
      <c r="F245" t="str">
        <v>867162029820636</v>
      </c>
      <c r="G245" t="str">
        <v>TBD</v>
      </c>
      <c r="H245" t="str">
        <v/>
      </c>
      <c r="I245" t="str">
        <v>28/09/2026</v>
      </c>
      <c r="J245" t="str">
        <v>13:55:07</v>
      </c>
      <c r="K245">
        <v>-12.158528</v>
      </c>
      <c r="L245">
        <v>-76.973236</v>
      </c>
      <c r="M245">
        <f>HYPERLINK("https://www.google.com/maps/search/?api=1&amp;query=-12.158528,-76.973236","Avenida San Juan, San Juan de Miraflores, Lima")</f>
      </c>
      <c r="N245">
        <v>12.7</v>
      </c>
      <c r="O245">
        <v>100</v>
      </c>
      <c r="P245">
        <v>22652.5</v>
      </c>
      <c r="Q245" t="str">
        <v>122.58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CKL-718</v>
      </c>
      <c r="D246" t="str">
        <v>CKL-718</v>
      </c>
      <c r="E246" t="str">
        <v/>
      </c>
      <c r="F246" t="str">
        <v>867162029820636</v>
      </c>
      <c r="G246" t="str">
        <v>TBD</v>
      </c>
      <c r="H246" t="str">
        <v/>
      </c>
      <c r="I246" t="str">
        <v>28/09/2026</v>
      </c>
      <c r="J246" t="str">
        <v>13:55:07</v>
      </c>
      <c r="K246">
        <v>-12.158528</v>
      </c>
      <c r="L246">
        <v>-76.973236</v>
      </c>
      <c r="M246">
        <f>HYPERLINK("https://www.google.com/maps/search/?api=1&amp;query=-12.158528,-76.973236","Avenida San Juan, San Juan de Miraflores, Lima")</f>
      </c>
      <c r="N246">
        <v>12.7</v>
      </c>
      <c r="O246">
        <v>100</v>
      </c>
      <c r="P246">
        <v>22652.5</v>
      </c>
      <c r="Q246" t="str">
        <v>122.58</v>
      </c>
      <c r="R246" t="str">
        <v>Llegó a la zona</v>
      </c>
      <c r="S246" t="str">
        <v>335-SAN JUAN 9</v>
      </c>
      <c r="T246" t="str">
        <v xml:space="preserve"> </v>
      </c>
      <c r="U246" t="str">
        <v/>
      </c>
    </row>
    <row r="247">
      <c r="A247" t="str">
        <v>246</v>
      </c>
      <c r="B247" t="str">
        <v>MASS BSF</v>
      </c>
      <c r="C247" t="str">
        <v>CKL-718</v>
      </c>
      <c r="D247" t="str">
        <v>CKL-718</v>
      </c>
      <c r="E247" t="str">
        <v/>
      </c>
      <c r="F247" t="str">
        <v>867162029820636</v>
      </c>
      <c r="G247" t="str">
        <v>TBD</v>
      </c>
      <c r="H247" t="str">
        <v/>
      </c>
      <c r="I247" t="str">
        <v>28/09/2026</v>
      </c>
      <c r="J247" t="str">
        <v>13:55:16</v>
      </c>
      <c r="K247">
        <v>-12.159123</v>
      </c>
      <c r="L247">
        <v>-76.97332</v>
      </c>
      <c r="M247">
        <f>HYPERLINK("https://www.google.com/maps/search/?api=1&amp;query=-12.159123,-76.97332","Avenida San Juan, San Juan de Miraflores, Lima")</f>
      </c>
      <c r="N247">
        <v>39.1</v>
      </c>
      <c r="O247">
        <v>100</v>
      </c>
      <c r="P247">
        <v>22652.6</v>
      </c>
      <c r="Q247" t="str">
        <v>122.58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CKL-718</v>
      </c>
      <c r="D248" t="str">
        <v>CKL-718</v>
      </c>
      <c r="E248" t="str">
        <v/>
      </c>
      <c r="F248" t="str">
        <v>867162029820636</v>
      </c>
      <c r="G248" t="str">
        <v>TBD</v>
      </c>
      <c r="H248" t="str">
        <v/>
      </c>
      <c r="I248" t="str">
        <v>28/09/2026</v>
      </c>
      <c r="J248" t="str">
        <v>13:55:16</v>
      </c>
      <c r="K248">
        <v>-12.159123</v>
      </c>
      <c r="L248">
        <v>-76.97332</v>
      </c>
      <c r="M248">
        <f>HYPERLINK("https://www.google.com/maps/search/?api=1&amp;query=-12.159123,-76.97332","Avenida San Juan, San Juan de Miraflores, Lima")</f>
      </c>
      <c r="N248">
        <v>39.1</v>
      </c>
      <c r="O248">
        <v>100</v>
      </c>
      <c r="P248">
        <v>22652.5</v>
      </c>
      <c r="Q248" t="str">
        <v>122.58</v>
      </c>
      <c r="R248" t="str">
        <v>Salió de zona</v>
      </c>
      <c r="S248" t="str">
        <v>335-SAN JUAN 9</v>
      </c>
      <c r="T248" t="str">
        <v xml:space="preserve"> </v>
      </c>
      <c r="U248" t="str">
        <v/>
      </c>
    </row>
    <row r="249">
      <c r="A249" t="str">
        <v>248</v>
      </c>
      <c r="B249" t="str">
        <v>MASS BSF</v>
      </c>
      <c r="C249" t="str">
        <v>CKL-718</v>
      </c>
      <c r="D249" t="str">
        <v>CKL-718</v>
      </c>
      <c r="E249" t="str">
        <v/>
      </c>
      <c r="F249" t="str">
        <v>867162029820636</v>
      </c>
      <c r="G249" t="str">
        <v>TBD</v>
      </c>
      <c r="H249" t="str">
        <v/>
      </c>
      <c r="I249" t="str">
        <v>28/09/2026</v>
      </c>
      <c r="J249" t="str">
        <v>13:56:01</v>
      </c>
      <c r="K249">
        <v>-12.161805</v>
      </c>
      <c r="L249">
        <v>-76.97317</v>
      </c>
      <c r="M249">
        <f>HYPERLINK("https://www.google.com/maps/search/?api=1&amp;query=-12.161805,-76.97317","Avenida San Juan, San Juan de Miraflores, Lima")</f>
      </c>
      <c r="N249">
        <v>9.9</v>
      </c>
      <c r="O249">
        <v>100</v>
      </c>
      <c r="P249">
        <v>22652.8</v>
      </c>
      <c r="Q249" t="str">
        <v>122.58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CKL-718</v>
      </c>
      <c r="D250" t="str">
        <v>CKL-718</v>
      </c>
      <c r="E250" t="str">
        <v/>
      </c>
      <c r="F250" t="str">
        <v>867162029820636</v>
      </c>
      <c r="G250" t="str">
        <v>TBD</v>
      </c>
      <c r="H250" t="str">
        <v/>
      </c>
      <c r="I250" t="str">
        <v>28/09/2026</v>
      </c>
      <c r="J250" t="str">
        <v>13:56:37</v>
      </c>
      <c r="K250">
        <v>-12.163917</v>
      </c>
      <c r="L250">
        <v>-76.97299</v>
      </c>
      <c r="M250">
        <f>HYPERLINK("https://www.google.com/maps/search/?api=1&amp;query=-12.163917,-76.97299","Avenida Lizardo Montero, San Juan de Miraflores, Lima")</f>
      </c>
      <c r="N250">
        <v>18.6</v>
      </c>
      <c r="O250">
        <v>100</v>
      </c>
      <c r="P250">
        <v>22653.1</v>
      </c>
      <c r="Q250" t="str">
        <v>122.58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CKL-718</v>
      </c>
      <c r="D251" t="str">
        <v>CKL-718</v>
      </c>
      <c r="E251" t="str">
        <v/>
      </c>
      <c r="F251" t="str">
        <v>867162029820636</v>
      </c>
      <c r="G251" t="str">
        <v>TBD</v>
      </c>
      <c r="H251" t="str">
        <v/>
      </c>
      <c r="I251" t="str">
        <v>28/09/2026</v>
      </c>
      <c r="J251" t="str">
        <v>13:57:01</v>
      </c>
      <c r="K251">
        <v>-12.16426</v>
      </c>
      <c r="L251">
        <v>-76.97419</v>
      </c>
      <c r="M251">
        <f>HYPERLINK("https://www.google.com/maps/search/?api=1&amp;query=-12.16426,-76.97419","Avenida Lizardo Montero, San Juan de Miraflores, Lima")</f>
      </c>
      <c r="N251">
        <v>39.8</v>
      </c>
      <c r="O251">
        <v>100</v>
      </c>
      <c r="P251">
        <v>22653.3</v>
      </c>
      <c r="Q251" t="str">
        <v>122.58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CKL-718</v>
      </c>
      <c r="D252" t="str">
        <v>CKL-718</v>
      </c>
      <c r="E252" t="str">
        <v/>
      </c>
      <c r="F252" t="str">
        <v>867162029820636</v>
      </c>
      <c r="G252" t="str">
        <v>TBD</v>
      </c>
      <c r="H252" t="str">
        <v/>
      </c>
      <c r="I252" t="str">
        <v>28/09/2026</v>
      </c>
      <c r="J252" t="str">
        <v>13:58:01</v>
      </c>
      <c r="K252">
        <v>-12.165255</v>
      </c>
      <c r="L252">
        <v>-76.97811</v>
      </c>
      <c r="M252">
        <f>HYPERLINK("https://www.google.com/maps/search/?api=1&amp;query=-12.165255,-76.97811","Avenida Lizardo Montero, San Juan de Miraflores, Lima")</f>
      </c>
      <c r="N252">
        <v>8</v>
      </c>
      <c r="O252">
        <v>100</v>
      </c>
      <c r="P252">
        <v>22653.7</v>
      </c>
      <c r="Q252" t="str">
        <v>122.58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CKL-718</v>
      </c>
      <c r="D253" t="str">
        <v>CKL-718</v>
      </c>
      <c r="E253" t="str">
        <v/>
      </c>
      <c r="F253" t="str">
        <v>867162029820636</v>
      </c>
      <c r="G253" t="str">
        <v>TBD</v>
      </c>
      <c r="H253" t="str">
        <v/>
      </c>
      <c r="I253" t="str">
        <v>28/09/2026</v>
      </c>
      <c r="J253" t="str">
        <v>13:58:10</v>
      </c>
      <c r="K253">
        <v>-12.165523</v>
      </c>
      <c r="L253">
        <v>-76.97851</v>
      </c>
      <c r="M253">
        <f>HYPERLINK("https://www.google.com/maps/search/?api=1&amp;query=-12.165523,-76.97851","Avenida Lizardo Montero, San Juan de Miraflores, Lima")</f>
      </c>
      <c r="N253">
        <v>17.2</v>
      </c>
      <c r="O253">
        <v>100</v>
      </c>
      <c r="P253">
        <v>22653.7</v>
      </c>
      <c r="Q253" t="str">
        <v>122.58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CKL-718</v>
      </c>
      <c r="D254" t="str">
        <v>CKL-718</v>
      </c>
      <c r="E254" t="str">
        <v/>
      </c>
      <c r="F254" t="str">
        <v>867162029820636</v>
      </c>
      <c r="G254" t="str">
        <v>TBD</v>
      </c>
      <c r="H254" t="str">
        <v/>
      </c>
      <c r="I254" t="str">
        <v>28/09/2026</v>
      </c>
      <c r="J254" t="str">
        <v>13:59:01</v>
      </c>
      <c r="K254">
        <v>-12.166549</v>
      </c>
      <c r="L254">
        <v>-76.97832</v>
      </c>
      <c r="M254">
        <f>HYPERLINK("https://www.google.com/maps/search/?api=1&amp;query=-12.166549,-76.97832","Avenida Pedro Miotta, San Juan de Miraflores, Lima")</f>
      </c>
      <c r="N254">
        <v>0</v>
      </c>
      <c r="O254">
        <v>100</v>
      </c>
      <c r="P254">
        <v>22653.8</v>
      </c>
      <c r="Q254" t="str">
        <v>122.58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CKL-718</v>
      </c>
      <c r="D255" t="str">
        <v>CKL-718</v>
      </c>
      <c r="E255" t="str">
        <v/>
      </c>
      <c r="F255" t="str">
        <v>867162029820636</v>
      </c>
      <c r="G255" t="str">
        <v>TBD</v>
      </c>
      <c r="H255" t="str">
        <v/>
      </c>
      <c r="I255" t="str">
        <v>28/09/2026</v>
      </c>
      <c r="J255" t="str">
        <v>13:59:37</v>
      </c>
      <c r="K255">
        <v>-12.166834</v>
      </c>
      <c r="L255">
        <v>-76.978355</v>
      </c>
      <c r="M255">
        <f>HYPERLINK("https://www.google.com/maps/search/?api=1&amp;query=-12.166834,-76.978355","Avenida Alipio Ponce, San Juan de Miraflores, Lima")</f>
      </c>
      <c r="N255">
        <v>17.3</v>
      </c>
      <c r="O255">
        <v>100</v>
      </c>
      <c r="P255">
        <v>22653.9</v>
      </c>
      <c r="Q255" t="str">
        <v>122.58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CKL-718</v>
      </c>
      <c r="D256" t="str">
        <v>CKL-718</v>
      </c>
      <c r="E256" t="str">
        <v/>
      </c>
      <c r="F256" t="str">
        <v>867162029820636</v>
      </c>
      <c r="G256" t="str">
        <v>TBD</v>
      </c>
      <c r="H256" t="str">
        <v/>
      </c>
      <c r="I256" t="str">
        <v>28/09/2026</v>
      </c>
      <c r="J256" t="str">
        <v>14:00:01</v>
      </c>
      <c r="K256">
        <v>-12.168387</v>
      </c>
      <c r="L256">
        <v>-76.97925</v>
      </c>
      <c r="M256">
        <f>HYPERLINK("https://www.google.com/maps/search/?api=1&amp;query=-12.168387,-76.97925","Avenida Alipio Ponce, San Juan de Miraflores, Lima")</f>
      </c>
      <c r="N256">
        <v>43.7</v>
      </c>
      <c r="O256">
        <v>100</v>
      </c>
      <c r="P256">
        <v>22654.1</v>
      </c>
      <c r="Q256" t="str">
        <v>122.58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CKL-718</v>
      </c>
      <c r="D257" t="str">
        <v>CKL-718</v>
      </c>
      <c r="E257" t="str">
        <v/>
      </c>
      <c r="F257" t="str">
        <v>867162029820636</v>
      </c>
      <c r="G257" t="str">
        <v>TBD</v>
      </c>
      <c r="H257" t="str">
        <v/>
      </c>
      <c r="I257" t="str">
        <v>28/09/2026</v>
      </c>
      <c r="J257" t="str">
        <v>14:00:46</v>
      </c>
      <c r="K257">
        <v>-12.172096</v>
      </c>
      <c r="L257">
        <v>-76.98142</v>
      </c>
      <c r="M257">
        <f>HYPERLINK("https://www.google.com/maps/search/?api=1&amp;query=-12.172096,-76.98142","Avenida Alipio Ponce, Chorrillos, Lima")</f>
      </c>
      <c r="N257">
        <v>8</v>
      </c>
      <c r="O257">
        <v>100</v>
      </c>
      <c r="P257">
        <v>22654.5</v>
      </c>
      <c r="Q257" t="str">
        <v>122.58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CKL-718</v>
      </c>
      <c r="D258" t="str">
        <v>CKL-718</v>
      </c>
      <c r="E258" t="str">
        <v/>
      </c>
      <c r="F258" t="str">
        <v>867162029820636</v>
      </c>
      <c r="G258" t="str">
        <v>TBD</v>
      </c>
      <c r="H258" t="str">
        <v/>
      </c>
      <c r="I258" t="str">
        <v>28/09/2026</v>
      </c>
      <c r="J258" t="str">
        <v>14:01:01</v>
      </c>
      <c r="K258">
        <v>-12.172172</v>
      </c>
      <c r="L258">
        <v>-76.98128</v>
      </c>
      <c r="M258">
        <f>HYPERLINK("https://www.google.com/maps/search/?api=1&amp;query=-12.172172,-76.98128","Avenida Alipio Ponce, Chorrillos, Lima")</f>
      </c>
      <c r="N258">
        <v>16.2</v>
      </c>
      <c r="O258">
        <v>100</v>
      </c>
      <c r="P258">
        <v>22654.6</v>
      </c>
      <c r="Q258" t="str">
        <v>122.58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CKL-718</v>
      </c>
      <c r="D259" t="str">
        <v>CKL-718</v>
      </c>
      <c r="E259" t="str">
        <v/>
      </c>
      <c r="F259" t="str">
        <v>867162029820636</v>
      </c>
      <c r="G259" t="str">
        <v>TBD</v>
      </c>
      <c r="H259" t="str">
        <v/>
      </c>
      <c r="I259" t="str">
        <v>28/09/2026</v>
      </c>
      <c r="J259" t="str">
        <v>14:01:01</v>
      </c>
      <c r="K259">
        <v>-12.172138</v>
      </c>
      <c r="L259">
        <v>-76.9814</v>
      </c>
      <c r="M259">
        <f>HYPERLINK("https://www.google.com/maps/search/?api=1&amp;query=-12.172138,-76.9814","Avenida Alipio Ponce, Chorrillos, Lima")</f>
      </c>
      <c r="N259">
        <v>10.6</v>
      </c>
      <c r="O259">
        <v>100</v>
      </c>
      <c r="P259">
        <v>22654.6</v>
      </c>
      <c r="Q259" t="str">
        <v>122.58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CKL-718</v>
      </c>
      <c r="D260" t="str">
        <v>CKL-718</v>
      </c>
      <c r="E260" t="str">
        <v/>
      </c>
      <c r="F260" t="str">
        <v>867162029820636</v>
      </c>
      <c r="G260" t="str">
        <v>TBD</v>
      </c>
      <c r="H260" t="str">
        <v/>
      </c>
      <c r="I260" t="str">
        <v>28/09/2026</v>
      </c>
      <c r="J260" t="str">
        <v>14:01:07</v>
      </c>
      <c r="K260">
        <v>-12.171944</v>
      </c>
      <c r="L260">
        <v>-76.98112</v>
      </c>
      <c r="M260">
        <f>HYPERLINK("https://www.google.com/maps/search/?api=1&amp;query=-12.171944,-76.98112","Avenida Alipio Ponce, Chorrillos, Lima")</f>
      </c>
      <c r="N260">
        <v>29.6</v>
      </c>
      <c r="O260">
        <v>100</v>
      </c>
      <c r="P260">
        <v>22654.6</v>
      </c>
      <c r="Q260" t="str">
        <v>122.58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CKL-718</v>
      </c>
      <c r="D261" t="str">
        <v>CKL-718</v>
      </c>
      <c r="E261" t="str">
        <v/>
      </c>
      <c r="F261" t="str">
        <v>867162029820636</v>
      </c>
      <c r="G261" t="str">
        <v>TBD</v>
      </c>
      <c r="H261" t="str">
        <v/>
      </c>
      <c r="I261" t="str">
        <v>28/09/2026</v>
      </c>
      <c r="J261" t="str">
        <v>14:01:25</v>
      </c>
      <c r="K261">
        <v>-12.170417</v>
      </c>
      <c r="L261">
        <v>-76.980194</v>
      </c>
      <c r="M261">
        <f>HYPERLINK("https://www.google.com/maps/search/?api=1&amp;query=-12.170417,-76.980194","Avenida El Triunfo, San Juan de Miraflores, Lima")</f>
      </c>
      <c r="N261">
        <v>28.7</v>
      </c>
      <c r="O261">
        <v>100</v>
      </c>
      <c r="P261">
        <v>22654.8</v>
      </c>
      <c r="Q261" t="str">
        <v>122.58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CKL-718</v>
      </c>
      <c r="D262" t="str">
        <v>CKL-718</v>
      </c>
      <c r="E262" t="str">
        <v/>
      </c>
      <c r="F262" t="str">
        <v>867162029820636</v>
      </c>
      <c r="G262" t="str">
        <v>TBD</v>
      </c>
      <c r="H262" t="str">
        <v/>
      </c>
      <c r="I262" t="str">
        <v>28/09/2026</v>
      </c>
      <c r="J262" t="str">
        <v>14:01:28</v>
      </c>
      <c r="K262">
        <v>-12.170441</v>
      </c>
      <c r="L262">
        <v>-76.98</v>
      </c>
      <c r="M262">
        <f>HYPERLINK("https://www.google.com/maps/search/?api=1&amp;query=-12.170441,-76.98","Avenida El Triunfo, San Juan de Miraflores, Lima")</f>
      </c>
      <c r="N262">
        <v>24</v>
      </c>
      <c r="O262">
        <v>100</v>
      </c>
      <c r="P262">
        <v>22654.8</v>
      </c>
      <c r="Q262" t="str">
        <v>122.58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CKL-718</v>
      </c>
      <c r="D263" t="str">
        <v>CKL-718</v>
      </c>
      <c r="E263" t="str">
        <v/>
      </c>
      <c r="F263" t="str">
        <v>867162029820636</v>
      </c>
      <c r="G263" t="str">
        <v>TBD</v>
      </c>
      <c r="H263" t="str">
        <v/>
      </c>
      <c r="I263" t="str">
        <v>28/09/2026</v>
      </c>
      <c r="J263" t="str">
        <v>14:01:34</v>
      </c>
      <c r="K263">
        <v>-12.170785</v>
      </c>
      <c r="L263">
        <v>-76.97982</v>
      </c>
      <c r="M263">
        <f>HYPERLINK("https://www.google.com/maps/search/?api=1&amp;query=-12.170785,-76.97982","Avenida El Triunfo, San Juan de Miraflores, Lima")</f>
      </c>
      <c r="N263">
        <v>26.7</v>
      </c>
      <c r="O263">
        <v>100</v>
      </c>
      <c r="P263">
        <v>22654.9</v>
      </c>
      <c r="Q263" t="str">
        <v>122.58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CKL-718</v>
      </c>
      <c r="D264" t="str">
        <v>CKL-718</v>
      </c>
      <c r="E264" t="str">
        <v/>
      </c>
      <c r="F264" t="str">
        <v>867162029820636</v>
      </c>
      <c r="G264" t="str">
        <v>TBD</v>
      </c>
      <c r="H264" t="str">
        <v/>
      </c>
      <c r="I264" t="str">
        <v>28/09/2026</v>
      </c>
      <c r="J264" t="str">
        <v>14:01:56</v>
      </c>
      <c r="K264">
        <v>-12.170785</v>
      </c>
      <c r="L264">
        <v>-76.97982</v>
      </c>
      <c r="M264">
        <f>HYPERLINK("https://www.google.com/maps/search/?api=1&amp;query=-12.170785,-76.97982","Avenida El Triunfo, San Juan de Miraflores, Lima")</f>
      </c>
      <c r="N264">
        <v>26.7</v>
      </c>
      <c r="O264">
        <v>100</v>
      </c>
      <c r="P264">
        <v>22654.9</v>
      </c>
      <c r="Q264" t="str">
        <v>122.58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CKL-718</v>
      </c>
      <c r="D265" t="str">
        <v>CKL-718</v>
      </c>
      <c r="E265" t="str">
        <v/>
      </c>
      <c r="F265" t="str">
        <v>867162029820636</v>
      </c>
      <c r="G265" t="str">
        <v>TBD</v>
      </c>
      <c r="H265" t="str">
        <v/>
      </c>
      <c r="I265" t="str">
        <v>28/09/2026</v>
      </c>
      <c r="J265" t="str">
        <v>14:02:56</v>
      </c>
      <c r="K265">
        <v>-12.171986</v>
      </c>
      <c r="L265">
        <v>-76.97918</v>
      </c>
      <c r="M265">
        <f>HYPERLINK("https://www.google.com/maps/search/?api=1&amp;query=-12.171986,-76.97918","Avenida El Triunfo, San Juan de Miraflores, Lima")</f>
      </c>
      <c r="N265">
        <v>14.4</v>
      </c>
      <c r="O265">
        <v>100</v>
      </c>
      <c r="P265">
        <v>22655.4</v>
      </c>
      <c r="Q265" t="str">
        <v>122.58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CKL-718</v>
      </c>
      <c r="D266" t="str">
        <v>CKL-718</v>
      </c>
      <c r="E266" t="str">
        <v/>
      </c>
      <c r="F266" t="str">
        <v>867162029820636</v>
      </c>
      <c r="G266" t="str">
        <v>TBD</v>
      </c>
      <c r="H266" t="str">
        <v/>
      </c>
      <c r="I266" t="str">
        <v>28/09/2026</v>
      </c>
      <c r="J266" t="str">
        <v>14:03:56</v>
      </c>
      <c r="K266">
        <v>-12.175474</v>
      </c>
      <c r="L266">
        <v>-76.97807</v>
      </c>
      <c r="M266">
        <f>HYPERLINK("https://www.google.com/maps/search/?api=1&amp;query=-12.175474,-76.97807","Avenida El Triunfo, San Juan de Miraflores, Lima")</f>
      </c>
      <c r="N266">
        <v>19.1</v>
      </c>
      <c r="O266">
        <v>100</v>
      </c>
      <c r="P266">
        <v>22655.8</v>
      </c>
      <c r="Q266" t="str">
        <v>122.58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CKL-718</v>
      </c>
      <c r="D267" t="str">
        <v>CKL-718</v>
      </c>
      <c r="E267" t="str">
        <v/>
      </c>
      <c r="F267" t="str">
        <v>867162029820636</v>
      </c>
      <c r="G267" t="str">
        <v>TBD</v>
      </c>
      <c r="H267" t="str">
        <v/>
      </c>
      <c r="I267" t="str">
        <v>28/09/2026</v>
      </c>
      <c r="J267" t="str">
        <v>14:04:56</v>
      </c>
      <c r="K267">
        <v>-12.179043</v>
      </c>
      <c r="L267">
        <v>-76.97692</v>
      </c>
      <c r="M267">
        <f>HYPERLINK("https://www.google.com/maps/search/?api=1&amp;query=-12.179043,-76.97692","Avenida El Triunfo, San Juan de Miraflores, Lima")</f>
      </c>
      <c r="N267">
        <v>37.5</v>
      </c>
      <c r="O267">
        <v>100</v>
      </c>
      <c r="P267">
        <v>22656.4</v>
      </c>
      <c r="Q267" t="str">
        <v>122.58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CKL-718</v>
      </c>
      <c r="D268" t="str">
        <v>CKL-718</v>
      </c>
      <c r="E268" t="str">
        <v/>
      </c>
      <c r="F268" t="str">
        <v>867162029820636</v>
      </c>
      <c r="G268" t="str">
        <v>TBD</v>
      </c>
      <c r="H268" t="str">
        <v/>
      </c>
      <c r="I268" t="str">
        <v>28/09/2026</v>
      </c>
      <c r="J268" t="str">
        <v>14:05:56</v>
      </c>
      <c r="K268">
        <v>-12.184094</v>
      </c>
      <c r="L268">
        <v>-76.975296</v>
      </c>
      <c r="M268">
        <f>HYPERLINK("https://www.google.com/maps/search/?api=1&amp;query=-12.184094,-76.975296","Avenida El Triunfo, San Juan de Miraflores, Lima")</f>
      </c>
      <c r="N268">
        <v>23.6</v>
      </c>
      <c r="O268">
        <v>100</v>
      </c>
      <c r="P268">
        <v>22657</v>
      </c>
      <c r="Q268" t="str">
        <v>122.58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CKL-718</v>
      </c>
      <c r="D269" t="str">
        <v>CKL-718</v>
      </c>
      <c r="E269" t="str">
        <v/>
      </c>
      <c r="F269" t="str">
        <v>867162029820636</v>
      </c>
      <c r="G269" t="str">
        <v>TBD</v>
      </c>
      <c r="H269" t="str">
        <v/>
      </c>
      <c r="I269" t="str">
        <v>28/09/2026</v>
      </c>
      <c r="J269" t="str">
        <v>14:06:22</v>
      </c>
      <c r="K269">
        <v>-12.189229</v>
      </c>
      <c r="L269">
        <v>-76.973404</v>
      </c>
      <c r="M269">
        <f>HYPERLINK("https://www.google.com/maps/search/?api=1&amp;query=-12.189229,-76.973404","Carretera Panamericana Sur, San Juan de Miraflores, Lima")</f>
      </c>
      <c r="N269">
        <v>64.9</v>
      </c>
      <c r="O269">
        <v>100</v>
      </c>
      <c r="P269">
        <v>22657.5</v>
      </c>
      <c r="Q269" t="str">
        <v>122.58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CKL-718</v>
      </c>
      <c r="D270" t="str">
        <v>CKL-718</v>
      </c>
      <c r="E270" t="str">
        <v/>
      </c>
      <c r="F270" t="str">
        <v>867162029820636</v>
      </c>
      <c r="G270" t="str">
        <v>TBD</v>
      </c>
      <c r="H270" t="str">
        <v/>
      </c>
      <c r="I270" t="str">
        <v>28/09/2026</v>
      </c>
      <c r="J270" t="str">
        <v>14:06:22</v>
      </c>
      <c r="K270">
        <v>-12.1933</v>
      </c>
      <c r="L270">
        <v>-76.97265</v>
      </c>
      <c r="M270">
        <f>HYPERLINK("https://www.google.com/maps/search/?api=1&amp;query=-12.1933,-76.97265","Carretera Panamericana Sur, Villa El Salvador, Lima")</f>
      </c>
      <c r="N270">
        <v>81.4</v>
      </c>
      <c r="O270">
        <v>100</v>
      </c>
      <c r="P270">
        <v>22657.5</v>
      </c>
      <c r="Q270" t="str">
        <v>122.58</v>
      </c>
      <c r="R270" t="str">
        <v>Exceso de velocidad en segmento vial</v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CKL-718</v>
      </c>
      <c r="D271" t="str">
        <v>CKL-718</v>
      </c>
      <c r="E271" t="str">
        <v/>
      </c>
      <c r="F271" t="str">
        <v>867162029820636</v>
      </c>
      <c r="G271" t="str">
        <v>TBD</v>
      </c>
      <c r="H271" t="str">
        <v/>
      </c>
      <c r="I271" t="str">
        <v>28/09/2026</v>
      </c>
      <c r="J271" t="str">
        <v>14:07:21</v>
      </c>
      <c r="K271">
        <v>-12.19954</v>
      </c>
      <c r="L271">
        <v>-76.97372</v>
      </c>
      <c r="M271">
        <f>HYPERLINK("https://www.google.com/maps/search/?api=1&amp;query=-12.19954,-76.97372","Carretera Panamericana Sur, Chorrillos, Lima")</f>
      </c>
      <c r="N271">
        <v>68</v>
      </c>
      <c r="O271">
        <v>100</v>
      </c>
      <c r="P271">
        <v>22658.6</v>
      </c>
      <c r="Q271" t="str">
        <v>122.58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CKL-718</v>
      </c>
      <c r="D272" t="str">
        <v>CKL-718</v>
      </c>
      <c r="E272" t="str">
        <v/>
      </c>
      <c r="F272" t="str">
        <v>867162029820636</v>
      </c>
      <c r="G272" t="str">
        <v>TBD</v>
      </c>
      <c r="H272" t="str">
        <v/>
      </c>
      <c r="I272" t="str">
        <v>28/09/2026</v>
      </c>
      <c r="J272" t="str">
        <v>14:07:55</v>
      </c>
      <c r="K272">
        <v>-12.209425</v>
      </c>
      <c r="L272">
        <v>-76.97553</v>
      </c>
      <c r="M272">
        <f>HYPERLINK("https://www.google.com/maps/search/?api=1&amp;query=-12.209425,-76.97553","Carretera Panamericana Sur, Chorrillos, Lima")</f>
      </c>
      <c r="N272">
        <v>92.2</v>
      </c>
      <c r="O272">
        <v>100</v>
      </c>
      <c r="P272">
        <v>22659.3</v>
      </c>
      <c r="Q272" t="str">
        <v>122.58</v>
      </c>
      <c r="R272" t="str">
        <v>Excedió el límite de velocidad</v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CKL-718</v>
      </c>
      <c r="D273" t="str">
        <v>CKL-718</v>
      </c>
      <c r="E273" t="str">
        <v/>
      </c>
      <c r="F273" t="str">
        <v>867162029820636</v>
      </c>
      <c r="G273" t="str">
        <v>TBD</v>
      </c>
      <c r="H273" t="str">
        <v/>
      </c>
      <c r="I273" t="str">
        <v>28/09/2026</v>
      </c>
      <c r="J273" t="str">
        <v>14:08:21</v>
      </c>
      <c r="K273">
        <v>-12.210117</v>
      </c>
      <c r="L273">
        <v>-76.975655</v>
      </c>
      <c r="M273">
        <f>HYPERLINK("https://www.google.com/maps/search/?api=1&amp;query=-12.210117,-76.975655","Carretera Panamericana Sur, Chorrillos, Lima")</f>
      </c>
      <c r="N273">
        <v>93</v>
      </c>
      <c r="O273">
        <v>100</v>
      </c>
      <c r="P273">
        <v>22659.9</v>
      </c>
      <c r="Q273" t="str">
        <v>122.58</v>
      </c>
      <c r="R273" t="str">
        <v>Exceso de velocidad en segmento vial</v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CKL-718</v>
      </c>
      <c r="D274" t="str">
        <v>CKL-718</v>
      </c>
      <c r="E274" t="str">
        <v/>
      </c>
      <c r="F274" t="str">
        <v>867162029820636</v>
      </c>
      <c r="G274" t="str">
        <v>TBD</v>
      </c>
      <c r="H274" t="str">
        <v/>
      </c>
      <c r="I274" t="str">
        <v>28/09/2026</v>
      </c>
      <c r="J274" t="str">
        <v>14:08:49</v>
      </c>
      <c r="K274">
        <v>-12.220724</v>
      </c>
      <c r="L274">
        <v>-76.97626</v>
      </c>
      <c r="M274">
        <f>HYPERLINK("https://www.google.com/maps/search/?api=1&amp;query=-12.220724,-76.97626","Carretera Panamericana Sur, Chorrillos, Lima")</f>
      </c>
      <c r="N274">
        <v>81.1</v>
      </c>
      <c r="O274">
        <v>100</v>
      </c>
      <c r="P274">
        <v>22660.6</v>
      </c>
      <c r="Q274" t="str">
        <v>122.58</v>
      </c>
      <c r="R274" t="str">
        <v>Excedió el límite de velocidad</v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CKL-718</v>
      </c>
      <c r="D275" t="str">
        <v>CKL-718</v>
      </c>
      <c r="E275" t="str">
        <v/>
      </c>
      <c r="F275" t="str">
        <v>867162029820636</v>
      </c>
      <c r="G275" t="str">
        <v>TBD</v>
      </c>
      <c r="H275" t="str">
        <v/>
      </c>
      <c r="I275" t="str">
        <v>28/09/2026</v>
      </c>
      <c r="J275" t="str">
        <v>14:08:49</v>
      </c>
      <c r="K275">
        <v>-12.220724</v>
      </c>
      <c r="L275">
        <v>-76.97626</v>
      </c>
      <c r="M275">
        <f>HYPERLINK("https://www.google.com/maps/search/?api=1&amp;query=-12.220724,-76.97626","Carretera Panamericana Sur, Chorrillos, Lima")</f>
      </c>
      <c r="N275">
        <v>81.1</v>
      </c>
      <c r="O275">
        <v>100</v>
      </c>
      <c r="P275">
        <v>22660.6</v>
      </c>
      <c r="Q275" t="str">
        <v>122.58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CKL-718</v>
      </c>
      <c r="D276" t="str">
        <v>CKL-718</v>
      </c>
      <c r="E276" t="str">
        <v/>
      </c>
      <c r="F276" t="str">
        <v>867162029820636</v>
      </c>
      <c r="G276" t="str">
        <v>TBD</v>
      </c>
      <c r="H276" t="str">
        <v/>
      </c>
      <c r="I276" t="str">
        <v>28/09/2026</v>
      </c>
      <c r="J276" t="str">
        <v>14:09:16</v>
      </c>
      <c r="K276">
        <v>-12.224543</v>
      </c>
      <c r="L276">
        <v>-76.972664</v>
      </c>
      <c r="M276">
        <f>HYPERLINK("https://www.google.com/maps/search/?api=1&amp;query=-12.224543,-76.972664","Carretera Panamericana Sur, Chorrillos, Lima")</f>
      </c>
      <c r="N276">
        <v>81.8</v>
      </c>
      <c r="O276">
        <v>100</v>
      </c>
      <c r="P276">
        <v>22661.2</v>
      </c>
      <c r="Q276" t="str">
        <v>122.58</v>
      </c>
      <c r="R276" t="str">
        <v>Excedió el límite de velocidad</v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CKL-718</v>
      </c>
      <c r="D277" t="str">
        <v>CKL-718</v>
      </c>
      <c r="E277" t="str">
        <v/>
      </c>
      <c r="F277" t="str">
        <v>867162029820636</v>
      </c>
      <c r="G277" t="str">
        <v>TBD</v>
      </c>
      <c r="H277" t="str">
        <v/>
      </c>
      <c r="I277" t="str">
        <v>28/09/2026</v>
      </c>
      <c r="J277" t="str">
        <v>14:09:21</v>
      </c>
      <c r="K277">
        <v>-12.221961</v>
      </c>
      <c r="L277">
        <v>-76.975136</v>
      </c>
      <c r="M277">
        <f>HYPERLINK("https://www.google.com/maps/search/?api=1&amp;query=-12.221961,-76.975136","Carretera Panamericana Sur, Chorrillos, Lima")</f>
      </c>
      <c r="N277">
        <v>69.3</v>
      </c>
      <c r="O277">
        <v>100</v>
      </c>
      <c r="P277">
        <v>22661.3</v>
      </c>
      <c r="Q277" t="str">
        <v>122.58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CKL-718</v>
      </c>
      <c r="D278" t="str">
        <v>CKL-718</v>
      </c>
      <c r="E278" t="str">
        <v/>
      </c>
      <c r="F278" t="str">
        <v>867162029820636</v>
      </c>
      <c r="G278" t="str">
        <v>TBD</v>
      </c>
      <c r="H278" t="str">
        <v/>
      </c>
      <c r="I278" t="str">
        <v>28/09/2026</v>
      </c>
      <c r="J278" t="str">
        <v>14:10:10</v>
      </c>
      <c r="K278">
        <v>-12.230251</v>
      </c>
      <c r="L278">
        <v>-76.967026</v>
      </c>
      <c r="M278">
        <f>HYPERLINK("https://www.google.com/maps/search/?api=1&amp;query=-12.230251,-76.967026","Carretera Panamericana Sur, Villa El Salvador, Lima")</f>
      </c>
      <c r="N278">
        <v>90.8</v>
      </c>
      <c r="O278">
        <v>100</v>
      </c>
      <c r="P278">
        <v>22662.1</v>
      </c>
      <c r="Q278" t="str">
        <v>122.58</v>
      </c>
      <c r="R278" t="str">
        <v>Excedió el límite de velocidad</v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CKL-718</v>
      </c>
      <c r="D279" t="str">
        <v>CKL-718</v>
      </c>
      <c r="E279" t="str">
        <v/>
      </c>
      <c r="F279" t="str">
        <v>867162029820636</v>
      </c>
      <c r="G279" t="str">
        <v>TBD</v>
      </c>
      <c r="H279" t="str">
        <v/>
      </c>
      <c r="I279" t="str">
        <v>28/09/2026</v>
      </c>
      <c r="J279" t="str">
        <v>14:10:21</v>
      </c>
      <c r="K279">
        <v>-12.228474</v>
      </c>
      <c r="L279">
        <v>-76.96875</v>
      </c>
      <c r="M279">
        <f>HYPERLINK("https://www.google.com/maps/search/?api=1&amp;query=-12.228474,-76.96875","Carretera Panamericana Sur, Villa El Salvador, Lima")</f>
      </c>
      <c r="N279">
        <v>70.7</v>
      </c>
      <c r="O279">
        <v>100</v>
      </c>
      <c r="P279">
        <v>22662.3</v>
      </c>
      <c r="Q279" t="str">
        <v>122.58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CKL-718</v>
      </c>
      <c r="D280" t="str">
        <v>CKL-718</v>
      </c>
      <c r="E280" t="str">
        <v/>
      </c>
      <c r="F280" t="str">
        <v>867162029820636</v>
      </c>
      <c r="G280" t="str">
        <v>TBD</v>
      </c>
      <c r="H280" t="str">
        <v/>
      </c>
      <c r="I280" t="str">
        <v>28/09/2026</v>
      </c>
      <c r="J280" t="str">
        <v>14:11:21</v>
      </c>
      <c r="K280">
        <v>-12.235761</v>
      </c>
      <c r="L280">
        <v>-76.956894</v>
      </c>
      <c r="M280">
        <f>HYPERLINK("https://www.google.com/maps/search/?api=1&amp;query=-12.235761,-76.956894","Carretera Panamericana Sur, Villa El Salvador, Lima")</f>
      </c>
      <c r="N280">
        <v>99.7</v>
      </c>
      <c r="O280">
        <v>100</v>
      </c>
      <c r="P280">
        <v>22663.9</v>
      </c>
      <c r="Q280" t="str">
        <v>122.58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CKL-718</v>
      </c>
      <c r="D281" t="str">
        <v>CKL-718</v>
      </c>
      <c r="E281" t="str">
        <v/>
      </c>
      <c r="F281" t="str">
        <v>867162029820636</v>
      </c>
      <c r="G281" t="str">
        <v>TBD</v>
      </c>
      <c r="H281" t="str">
        <v/>
      </c>
      <c r="I281" t="str">
        <v>28/09/2026</v>
      </c>
      <c r="J281" t="str">
        <v>14:12:22</v>
      </c>
      <c r="K281">
        <v>-12.242432</v>
      </c>
      <c r="L281">
        <v>-76.9441</v>
      </c>
      <c r="M281">
        <f>HYPERLINK("https://www.google.com/maps/search/?api=1&amp;query=-12.242432,-76.9441","Carretera Panamericana Sur, Villa El Salvador, Lima")</f>
      </c>
      <c r="N281">
        <v>92.3</v>
      </c>
      <c r="O281">
        <v>100</v>
      </c>
      <c r="P281">
        <v>22665.4</v>
      </c>
      <c r="Q281" t="str">
        <v>122.58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CKL-718</v>
      </c>
      <c r="D282" t="str">
        <v>CKL-718</v>
      </c>
      <c r="E282" t="str">
        <v/>
      </c>
      <c r="F282" t="str">
        <v>867162029820636</v>
      </c>
      <c r="G282" t="str">
        <v>TBD</v>
      </c>
      <c r="H282" t="str">
        <v/>
      </c>
      <c r="I282" t="str">
        <v>28/09/2026</v>
      </c>
      <c r="J282" t="str">
        <v>14:13:22</v>
      </c>
      <c r="K282">
        <v>-12.249288</v>
      </c>
      <c r="L282">
        <v>-76.93209</v>
      </c>
      <c r="M282">
        <f>HYPERLINK("https://www.google.com/maps/search/?api=1&amp;query=-12.249288,-76.93209","Carretera Panamericana Sur, Lurín, Lima")</f>
      </c>
      <c r="N282">
        <v>89.1</v>
      </c>
      <c r="O282">
        <v>100</v>
      </c>
      <c r="P282">
        <v>22666.9</v>
      </c>
      <c r="Q282" t="str">
        <v>122.58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CKL-718</v>
      </c>
      <c r="D283" t="str">
        <v>CKL-718</v>
      </c>
      <c r="E283" t="str">
        <v/>
      </c>
      <c r="F283" t="str">
        <v>867162029820636</v>
      </c>
      <c r="G283" t="str">
        <v>TBD</v>
      </c>
      <c r="H283" t="str">
        <v/>
      </c>
      <c r="I283" t="str">
        <v>28/09/2026</v>
      </c>
      <c r="J283" t="str">
        <v>14:13:28</v>
      </c>
      <c r="K283">
        <v>-12.252819</v>
      </c>
      <c r="L283">
        <v>-76.92737</v>
      </c>
      <c r="M283">
        <f>HYPERLINK("https://www.google.com/maps/search/?api=1&amp;query=-12.252819,-76.92737","Carretera Panamericana Sur, Lurín, Lima")</f>
      </c>
      <c r="N283">
        <v>86.3</v>
      </c>
      <c r="O283">
        <v>100</v>
      </c>
      <c r="P283">
        <v>22667.1</v>
      </c>
      <c r="Q283" t="str">
        <v>122.58</v>
      </c>
      <c r="R283" t="str">
        <v>Excedió el límite de velocidad</v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CKL-718</v>
      </c>
      <c r="D284" t="str">
        <v>CKL-718</v>
      </c>
      <c r="E284" t="str">
        <v/>
      </c>
      <c r="F284" t="str">
        <v>867162029820636</v>
      </c>
      <c r="G284" t="str">
        <v>TBD</v>
      </c>
      <c r="H284" t="str">
        <v/>
      </c>
      <c r="I284" t="str">
        <v>28/09/2026</v>
      </c>
      <c r="J284" t="str">
        <v>14:14:22</v>
      </c>
      <c r="K284">
        <v>-12.25608</v>
      </c>
      <c r="L284">
        <v>-76.92172</v>
      </c>
      <c r="M284">
        <f>HYPERLINK("https://www.google.com/maps/search/?api=1&amp;query=-12.25608,-76.92172","Carretera Panamericana Sur, Lurín, Lima")</f>
      </c>
      <c r="N284">
        <v>85.2</v>
      </c>
      <c r="O284">
        <v>100</v>
      </c>
      <c r="P284">
        <v>22668.3</v>
      </c>
      <c r="Q284" t="str">
        <v>122.58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CKL-718</v>
      </c>
      <c r="D285" t="str">
        <v>CKL-718</v>
      </c>
      <c r="E285" t="str">
        <v/>
      </c>
      <c r="F285" t="str">
        <v>867162029820636</v>
      </c>
      <c r="G285" t="str">
        <v>TBD</v>
      </c>
      <c r="H285" t="str">
        <v/>
      </c>
      <c r="I285" t="str">
        <v>28/09/2026</v>
      </c>
      <c r="J285" t="str">
        <v>14:14:34</v>
      </c>
      <c r="K285">
        <v>-12.260087</v>
      </c>
      <c r="L285">
        <v>-76.91534</v>
      </c>
      <c r="M285">
        <f>HYPERLINK("https://www.google.com/maps/search/?api=1&amp;query=-12.260087,-76.91534","Carretera Panamericana Sur, Lurín, Lima")</f>
      </c>
      <c r="N285">
        <v>84.7</v>
      </c>
      <c r="O285">
        <v>100</v>
      </c>
      <c r="P285">
        <v>22668.6</v>
      </c>
      <c r="Q285" t="str">
        <v>122.58</v>
      </c>
      <c r="R285" t="str">
        <v>Excedió el límite de velocidad</v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CKL-718</v>
      </c>
      <c r="D286" t="str">
        <v>CKL-718</v>
      </c>
      <c r="E286" t="str">
        <v/>
      </c>
      <c r="F286" t="str">
        <v>867162029820636</v>
      </c>
      <c r="G286" t="str">
        <v>TBD</v>
      </c>
      <c r="H286" t="str">
        <v/>
      </c>
      <c r="I286" t="str">
        <v>28/09/2026</v>
      </c>
      <c r="J286" t="str">
        <v>14:15:22</v>
      </c>
      <c r="K286">
        <v>-12.263137</v>
      </c>
      <c r="L286">
        <v>-76.91058</v>
      </c>
      <c r="M286">
        <f>HYPERLINK("https://www.google.com/maps/search/?api=1&amp;query=-12.263137,-76.91058","Carretera Panamericana Sur, Lurín, Lima")</f>
      </c>
      <c r="N286">
        <v>96.2</v>
      </c>
      <c r="O286">
        <v>100</v>
      </c>
      <c r="P286">
        <v>22669.7</v>
      </c>
      <c r="Q286" t="str">
        <v>122.58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CKL-718</v>
      </c>
      <c r="D287" t="str">
        <v>CKL-718</v>
      </c>
      <c r="E287" t="str">
        <v/>
      </c>
      <c r="F287" t="str">
        <v>867162029820636</v>
      </c>
      <c r="G287" t="str">
        <v>TBD</v>
      </c>
      <c r="H287" t="str">
        <v/>
      </c>
      <c r="I287" t="str">
        <v>28/09/2026</v>
      </c>
      <c r="J287" t="str">
        <v>14:15:46</v>
      </c>
      <c r="K287">
        <v>-12.268191</v>
      </c>
      <c r="L287">
        <v>-76.90248</v>
      </c>
      <c r="M287">
        <f>HYPERLINK("https://www.google.com/maps/search/?api=1&amp;query=-12.268191,-76.90248","Carretera Panamericana Sur, Lurín, Lima")</f>
      </c>
      <c r="N287">
        <v>83.7</v>
      </c>
      <c r="O287">
        <v>100</v>
      </c>
      <c r="P287">
        <v>22670.3</v>
      </c>
      <c r="Q287" t="str">
        <v>122.58</v>
      </c>
      <c r="R287" t="str">
        <v>Excedió el límite de velocidad</v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CKL-718</v>
      </c>
      <c r="D288" t="str">
        <v>CKL-718</v>
      </c>
      <c r="E288" t="str">
        <v/>
      </c>
      <c r="F288" t="str">
        <v>867162029820636</v>
      </c>
      <c r="G288" t="str">
        <v>TBD</v>
      </c>
      <c r="H288" t="str">
        <v/>
      </c>
      <c r="I288" t="str">
        <v>28/09/2026</v>
      </c>
      <c r="J288" t="str">
        <v>14:16:13</v>
      </c>
      <c r="K288">
        <v>-12.271171</v>
      </c>
      <c r="L288">
        <v>-76.89778</v>
      </c>
      <c r="M288">
        <f>HYPERLINK("https://www.google.com/maps/search/?api=1&amp;query=-12.271171,-76.89778","Carretera Panamericana Sur, Lurín, Lima")</f>
      </c>
      <c r="N288">
        <v>89</v>
      </c>
      <c r="O288">
        <v>100</v>
      </c>
      <c r="P288">
        <v>22670.9</v>
      </c>
      <c r="Q288" t="str">
        <v>122.58</v>
      </c>
      <c r="R288" t="str">
        <v>Excedió el límite de velocidad</v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CKL-718</v>
      </c>
      <c r="D289" t="str">
        <v>CKL-718</v>
      </c>
      <c r="E289" t="str">
        <v/>
      </c>
      <c r="F289" t="str">
        <v>867162029820636</v>
      </c>
      <c r="G289" t="str">
        <v>TBD</v>
      </c>
      <c r="H289" t="str">
        <v/>
      </c>
      <c r="I289" t="str">
        <v>28/09/2026</v>
      </c>
      <c r="J289" t="str">
        <v>14:16:22</v>
      </c>
      <c r="K289">
        <v>-12.26951</v>
      </c>
      <c r="L289">
        <v>-76.90037</v>
      </c>
      <c r="M289">
        <f>HYPERLINK("https://www.google.com/maps/search/?api=1&amp;query=-12.26951,-76.90037","Carretera Panamericana Sur, Lurín, Lima")</f>
      </c>
      <c r="N289">
        <v>79.7</v>
      </c>
      <c r="O289">
        <v>100</v>
      </c>
      <c r="P289">
        <v>22671.1</v>
      </c>
      <c r="Q289" t="str">
        <v>122.58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CKL-718</v>
      </c>
      <c r="D290" t="str">
        <v>CKL-718</v>
      </c>
      <c r="E290" t="str">
        <v/>
      </c>
      <c r="F290" t="str">
        <v>867162029820636</v>
      </c>
      <c r="G290" t="str">
        <v>TBD</v>
      </c>
      <c r="H290" t="str">
        <v/>
      </c>
      <c r="I290" t="str">
        <v>28/09/2026</v>
      </c>
      <c r="J290" t="str">
        <v>14:17:22</v>
      </c>
      <c r="K290">
        <v>-12.277076</v>
      </c>
      <c r="L290">
        <v>-76.888466</v>
      </c>
      <c r="M290">
        <f>HYPERLINK("https://www.google.com/maps/search/?api=1&amp;query=-12.277076,-76.888466","Carretera Panamericana Sur, Lurín, Lima")</f>
      </c>
      <c r="N290">
        <v>98.5</v>
      </c>
      <c r="O290">
        <v>100</v>
      </c>
      <c r="P290">
        <v>22672.7</v>
      </c>
      <c r="Q290" t="str">
        <v>122.58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CKL-718</v>
      </c>
      <c r="D291" t="str">
        <v>CKL-718</v>
      </c>
      <c r="E291" t="str">
        <v/>
      </c>
      <c r="F291" t="str">
        <v>867162029820636</v>
      </c>
      <c r="G291" t="str">
        <v>TBD</v>
      </c>
      <c r="H291" t="str">
        <v/>
      </c>
      <c r="I291" t="str">
        <v>28/09/2026</v>
      </c>
      <c r="J291" t="str">
        <v>14:18:22</v>
      </c>
      <c r="K291">
        <v>-12.2849</v>
      </c>
      <c r="L291">
        <v>-76.87585</v>
      </c>
      <c r="M291">
        <f>HYPERLINK("https://www.google.com/maps/search/?api=1&amp;query=-12.2849,-76.87585","Carretera Panamericana Sur, Lurín, Lima")</f>
      </c>
      <c r="N291">
        <v>91.4</v>
      </c>
      <c r="O291">
        <v>100</v>
      </c>
      <c r="P291">
        <v>22674.3</v>
      </c>
      <c r="Q291" t="str">
        <v>122.58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CKL-718</v>
      </c>
      <c r="D292" t="str">
        <v>CKL-718</v>
      </c>
      <c r="E292" t="str">
        <v/>
      </c>
      <c r="F292" t="str">
        <v>867162029820636</v>
      </c>
      <c r="G292" t="str">
        <v>TBD</v>
      </c>
      <c r="H292" t="str">
        <v/>
      </c>
      <c r="I292" t="str">
        <v>28/09/2026</v>
      </c>
      <c r="J292" t="str">
        <v>14:18:49</v>
      </c>
      <c r="K292">
        <v>-12.290735</v>
      </c>
      <c r="L292">
        <v>-76.866554</v>
      </c>
      <c r="M292">
        <f>HYPERLINK("https://www.google.com/maps/search/?api=1&amp;query=-12.290735,-76.866554","Carretera Panamericana Sur, Lurín, Lima")</f>
      </c>
      <c r="N292">
        <v>81</v>
      </c>
      <c r="O292">
        <v>100</v>
      </c>
      <c r="P292">
        <v>22674.9</v>
      </c>
      <c r="Q292" t="str">
        <v>122.58</v>
      </c>
      <c r="R292" t="str">
        <v>Excedió el límite de velocidad</v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CKL-718</v>
      </c>
      <c r="D293" t="str">
        <v>CKL-718</v>
      </c>
      <c r="E293" t="str">
        <v/>
      </c>
      <c r="F293" t="str">
        <v>867162029820636</v>
      </c>
      <c r="G293" t="str">
        <v>TBD</v>
      </c>
      <c r="H293" t="str">
        <v/>
      </c>
      <c r="I293" t="str">
        <v>28/09/2026</v>
      </c>
      <c r="J293" t="str">
        <v>14:19:13</v>
      </c>
      <c r="K293">
        <v>-12.293389</v>
      </c>
      <c r="L293">
        <v>-76.86236</v>
      </c>
      <c r="M293">
        <f>HYPERLINK("https://www.google.com/maps/search/?api=1&amp;query=-12.293389,-76.86236","Carretera Panamericana Sur, Lurín, Lima")</f>
      </c>
      <c r="N293">
        <v>85.8</v>
      </c>
      <c r="O293">
        <v>100</v>
      </c>
      <c r="P293">
        <v>22675.5</v>
      </c>
      <c r="Q293" t="str">
        <v>122.58</v>
      </c>
      <c r="R293" t="str">
        <v>Excedió el límite de velocidad</v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CKL-718</v>
      </c>
      <c r="D294" t="str">
        <v>CKL-718</v>
      </c>
      <c r="E294" t="str">
        <v/>
      </c>
      <c r="F294" t="str">
        <v>867162029820636</v>
      </c>
      <c r="G294" t="str">
        <v>TBD</v>
      </c>
      <c r="H294" t="str">
        <v/>
      </c>
      <c r="I294" t="str">
        <v>28/09/2026</v>
      </c>
      <c r="J294" t="str">
        <v>14:19:22</v>
      </c>
      <c r="K294">
        <v>-12.291754</v>
      </c>
      <c r="L294">
        <v>-76.86494</v>
      </c>
      <c r="M294">
        <f>HYPERLINK("https://www.google.com/maps/search/?api=1&amp;query=-12.291754,-76.86494","Carretera Panamericana Sur, Lurín, Lima")</f>
      </c>
      <c r="N294">
        <v>84.9</v>
      </c>
      <c r="O294">
        <v>100</v>
      </c>
      <c r="P294">
        <v>22675.7</v>
      </c>
      <c r="Q294" t="str">
        <v>122.58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CKL-718</v>
      </c>
      <c r="D295" t="str">
        <v>CKL-718</v>
      </c>
      <c r="E295" t="str">
        <v/>
      </c>
      <c r="F295" t="str">
        <v>867162029820636</v>
      </c>
      <c r="G295" t="str">
        <v>TBD</v>
      </c>
      <c r="H295" t="str">
        <v/>
      </c>
      <c r="I295" t="str">
        <v>28/09/2026</v>
      </c>
      <c r="J295" t="str">
        <v>14:20:22</v>
      </c>
      <c r="K295">
        <v>-12.2981</v>
      </c>
      <c r="L295">
        <v>-76.85345</v>
      </c>
      <c r="M295">
        <f>HYPERLINK("https://www.google.com/maps/search/?api=1&amp;query=-12.2981,-76.85345","Carretera Panamericana Sur, Lurín, Lima")</f>
      </c>
      <c r="N295">
        <v>80.7</v>
      </c>
      <c r="O295">
        <v>100</v>
      </c>
      <c r="P295">
        <v>22677.1</v>
      </c>
      <c r="Q295" t="str">
        <v>122.58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CKL-718</v>
      </c>
      <c r="D296" t="str">
        <v>CKL-718</v>
      </c>
      <c r="E296" t="str">
        <v/>
      </c>
      <c r="F296" t="str">
        <v>867162029820636</v>
      </c>
      <c r="G296" t="str">
        <v>TBD</v>
      </c>
      <c r="H296" t="str">
        <v/>
      </c>
      <c r="I296" t="str">
        <v>28/09/2026</v>
      </c>
      <c r="J296" t="str">
        <v>14:21:22</v>
      </c>
      <c r="K296">
        <v>-12.303873</v>
      </c>
      <c r="L296">
        <v>-76.84124</v>
      </c>
      <c r="M296">
        <f>HYPERLINK("https://www.google.com/maps/search/?api=1&amp;query=-12.303873,-76.84124","Carretera Panamericana Sur, Lurín, Lima")</f>
      </c>
      <c r="N296">
        <v>89.5</v>
      </c>
      <c r="O296">
        <v>100</v>
      </c>
      <c r="P296">
        <v>22678.6</v>
      </c>
      <c r="Q296" t="str">
        <v>122.58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CKL-718</v>
      </c>
      <c r="D297" t="str">
        <v>CKL-718</v>
      </c>
      <c r="E297" t="str">
        <v/>
      </c>
      <c r="F297" t="str">
        <v>867162029820636</v>
      </c>
      <c r="G297" t="str">
        <v>TBD</v>
      </c>
      <c r="H297" t="str">
        <v/>
      </c>
      <c r="I297" t="str">
        <v>28/09/2026</v>
      </c>
      <c r="J297" t="str">
        <v>14:21:55</v>
      </c>
      <c r="K297">
        <v>-12.312898</v>
      </c>
      <c r="L297">
        <v>-76.833664</v>
      </c>
      <c r="M297">
        <f>HYPERLINK("https://www.google.com/maps/search/?api=1&amp;query=-12.312898,-76.833664","Carretera Panamericana Sur, Punta Hermosa, Lima")</f>
      </c>
      <c r="N297">
        <v>88.9</v>
      </c>
      <c r="O297">
        <v>100</v>
      </c>
      <c r="P297">
        <v>22679.4</v>
      </c>
      <c r="Q297" t="str">
        <v>122.58</v>
      </c>
      <c r="R297" t="str">
        <v>Excedió el límite de velocidad</v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CKL-718</v>
      </c>
      <c r="D298" t="str">
        <v>CKL-718</v>
      </c>
      <c r="E298" t="str">
        <v/>
      </c>
      <c r="F298" t="str">
        <v>867162029820636</v>
      </c>
      <c r="G298" t="str">
        <v>TBD</v>
      </c>
      <c r="H298" t="str">
        <v/>
      </c>
      <c r="I298" t="str">
        <v>28/09/2026</v>
      </c>
      <c r="J298" t="str">
        <v>14:22:22</v>
      </c>
      <c r="K298">
        <v>-12.313457</v>
      </c>
      <c r="L298">
        <v>-76.83329</v>
      </c>
      <c r="M298">
        <f>HYPERLINK("https://www.google.com/maps/search/?api=1&amp;query=-12.313457,-76.83329","Carretera Panamericana Sur, Punta Hermosa, Lima")</f>
      </c>
      <c r="N298">
        <v>87</v>
      </c>
      <c r="O298">
        <v>100</v>
      </c>
      <c r="P298">
        <v>22680</v>
      </c>
      <c r="Q298" t="str">
        <v>122.58</v>
      </c>
      <c r="R298" t="str">
        <v>Exceso de velocidad en segmento vial</v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CKL-718</v>
      </c>
      <c r="D299" t="str">
        <v>CKL-718</v>
      </c>
      <c r="E299" t="str">
        <v/>
      </c>
      <c r="F299" t="str">
        <v>867162029820636</v>
      </c>
      <c r="G299" t="str">
        <v>TBD</v>
      </c>
      <c r="H299" t="str">
        <v/>
      </c>
      <c r="I299" t="str">
        <v>28/09/2026</v>
      </c>
      <c r="J299" t="str">
        <v>14:23:22</v>
      </c>
      <c r="K299">
        <v>-12.3245</v>
      </c>
      <c r="L299">
        <v>-76.82593</v>
      </c>
      <c r="M299">
        <f>HYPERLINK("https://www.google.com/maps/search/?api=1&amp;query=-12.3245,-76.82593","Carretera Panamericana Sur, Punta Hermosa, Lima")</f>
      </c>
      <c r="N299">
        <v>96.6</v>
      </c>
      <c r="O299">
        <v>100</v>
      </c>
      <c r="P299">
        <v>22681.6</v>
      </c>
      <c r="Q299" t="str">
        <v>122.58</v>
      </c>
      <c r="R299" t="str">
        <v>Exceso de velocidad en segmento vial</v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CKL-718</v>
      </c>
      <c r="D300" t="str">
        <v>CKL-718</v>
      </c>
      <c r="E300" t="str">
        <v/>
      </c>
      <c r="F300" t="str">
        <v>867162029820636</v>
      </c>
      <c r="G300" t="str">
        <v>TBD</v>
      </c>
      <c r="H300" t="str">
        <v/>
      </c>
      <c r="I300" t="str">
        <v>28/09/2026</v>
      </c>
      <c r="J300" t="str">
        <v>14:24:04</v>
      </c>
      <c r="K300">
        <v>-12.335271</v>
      </c>
      <c r="L300">
        <v>-76.81888</v>
      </c>
      <c r="M300">
        <f>HYPERLINK("https://www.google.com/maps/search/?api=1&amp;query=-12.335271,-76.81888","Carretera Panamericana Sur, Punta Hermosa, Lima")</f>
      </c>
      <c r="N300">
        <v>38.4</v>
      </c>
      <c r="O300">
        <v>100</v>
      </c>
      <c r="P300">
        <v>22682.4</v>
      </c>
      <c r="Q300" t="str">
        <v>122.58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CKL-718</v>
      </c>
      <c r="D301" t="str">
        <v>CKL-718</v>
      </c>
      <c r="E301" t="str">
        <v/>
      </c>
      <c r="F301" t="str">
        <v>867162029820636</v>
      </c>
      <c r="G301" t="str">
        <v>TBD</v>
      </c>
      <c r="H301" t="str">
        <v/>
      </c>
      <c r="I301" t="str">
        <v>28/09/2026</v>
      </c>
      <c r="J301" t="str">
        <v>14:24:04</v>
      </c>
      <c r="K301">
        <v>-12.335731</v>
      </c>
      <c r="L301">
        <v>-76.81885</v>
      </c>
      <c r="M301">
        <f>HYPERLINK("https://www.google.com/maps/search/?api=1&amp;query=-12.335731,-76.81885","Punta Hermosa, Lima")</f>
      </c>
      <c r="N301">
        <v>25.7</v>
      </c>
      <c r="O301">
        <v>100</v>
      </c>
      <c r="P301">
        <v>22682.4</v>
      </c>
      <c r="Q301" t="str">
        <v>122.58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CKL-718</v>
      </c>
      <c r="D302" t="str">
        <v>CKL-718</v>
      </c>
      <c r="E302" t="str">
        <v/>
      </c>
      <c r="F302" t="str">
        <v>867162029820636</v>
      </c>
      <c r="G302" t="str">
        <v>TBD</v>
      </c>
      <c r="H302" t="str">
        <v/>
      </c>
      <c r="I302" t="str">
        <v>28/09/2026</v>
      </c>
      <c r="J302" t="str">
        <v>14:24:10</v>
      </c>
      <c r="K302">
        <v>-12.335862</v>
      </c>
      <c r="L302">
        <v>-76.81903</v>
      </c>
      <c r="M302">
        <f>HYPERLINK("https://www.google.com/maps/search/?api=1&amp;query=-12.335862,-76.81903","Antigua Panamericana Sur, Punta Hermosa, Lima")</f>
      </c>
      <c r="N302">
        <v>9.8</v>
      </c>
      <c r="O302">
        <v>100</v>
      </c>
      <c r="P302">
        <v>22682.4</v>
      </c>
      <c r="Q302" t="str">
        <v>122.58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CKL-718</v>
      </c>
      <c r="D303" t="str">
        <v>CKL-718</v>
      </c>
      <c r="E303" t="str">
        <v/>
      </c>
      <c r="F303" t="str">
        <v>867162029820636</v>
      </c>
      <c r="G303" t="str">
        <v>TBD</v>
      </c>
      <c r="H303" t="str">
        <v/>
      </c>
      <c r="I303" t="str">
        <v>28/09/2026</v>
      </c>
      <c r="J303" t="str">
        <v>14:24:16</v>
      </c>
      <c r="K303">
        <v>-12.335768</v>
      </c>
      <c r="L303">
        <v>-76.81919</v>
      </c>
      <c r="M303">
        <f>HYPERLINK("https://www.google.com/maps/search/?api=1&amp;query=-12.335768,-76.81919","Antigua Panamericana Sur, Punta Hermosa, Lima")</f>
      </c>
      <c r="N303">
        <v>14</v>
      </c>
      <c r="O303">
        <v>100</v>
      </c>
      <c r="P303">
        <v>22682.4</v>
      </c>
      <c r="Q303" t="str">
        <v>122.58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CKL-718</v>
      </c>
      <c r="D304" t="str">
        <v>CKL-718</v>
      </c>
      <c r="E304" t="str">
        <v/>
      </c>
      <c r="F304" t="str">
        <v>867162029820636</v>
      </c>
      <c r="G304" t="str">
        <v>TBD</v>
      </c>
      <c r="H304" t="str">
        <v/>
      </c>
      <c r="I304" t="str">
        <v>28/09/2026</v>
      </c>
      <c r="J304" t="str">
        <v>14:24:52</v>
      </c>
      <c r="K304">
        <v>-12.333768</v>
      </c>
      <c r="L304">
        <v>-76.8205</v>
      </c>
      <c r="M304">
        <f>HYPERLINK("https://www.google.com/maps/search/?api=1&amp;query=-12.333768,-76.8205","Antigua Panamericana Sur, Punta Hermosa, Lima")</f>
      </c>
      <c r="N304">
        <v>13.9</v>
      </c>
      <c r="O304">
        <v>100</v>
      </c>
      <c r="P304">
        <v>22682.7</v>
      </c>
      <c r="Q304" t="str">
        <v>122.58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CKL-718</v>
      </c>
      <c r="D305" t="str">
        <v>CKL-718</v>
      </c>
      <c r="E305" t="str">
        <v/>
      </c>
      <c r="F305" t="str">
        <v>867162029820636</v>
      </c>
      <c r="G305" t="str">
        <v>TBD</v>
      </c>
      <c r="H305" t="str">
        <v/>
      </c>
      <c r="I305" t="str">
        <v>28/09/2026</v>
      </c>
      <c r="J305" t="str">
        <v>14:24:55</v>
      </c>
      <c r="K305">
        <v>-12.333721</v>
      </c>
      <c r="L305">
        <v>-76.82043</v>
      </c>
      <c r="M305">
        <f>HYPERLINK("https://www.google.com/maps/search/?api=1&amp;query=-12.333721,-76.82043","Antigua Panamericana Sur, Punta Hermosa, Lima")</f>
      </c>
      <c r="N305">
        <v>12.2</v>
      </c>
      <c r="O305">
        <v>100</v>
      </c>
      <c r="P305">
        <v>22682.7</v>
      </c>
      <c r="Q305" t="str">
        <v>122.58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CKL-718</v>
      </c>
      <c r="D306" t="str">
        <v>CKL-718</v>
      </c>
      <c r="E306" t="str">
        <v/>
      </c>
      <c r="F306" t="str">
        <v>867162029820636</v>
      </c>
      <c r="G306" t="str">
        <v>TBD</v>
      </c>
      <c r="H306" t="str">
        <v/>
      </c>
      <c r="I306" t="str">
        <v>28/09/2026</v>
      </c>
      <c r="J306" t="str">
        <v>14:25:02</v>
      </c>
      <c r="K306">
        <v>-12.333718</v>
      </c>
      <c r="L306">
        <v>-76.82032</v>
      </c>
      <c r="M306">
        <f>HYPERLINK("https://www.google.com/maps/search/?api=1&amp;query=-12.333718,-76.82032","Antigua Panamericana Sur, Punta Hermosa, Lima")</f>
      </c>
      <c r="N306">
        <v>15.7</v>
      </c>
      <c r="O306">
        <v>100</v>
      </c>
      <c r="P306">
        <v>22682.7</v>
      </c>
      <c r="Q306" t="str">
        <v>122.58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CKL-718</v>
      </c>
      <c r="D307" t="str">
        <v>CKL-718</v>
      </c>
      <c r="E307" t="str">
        <v/>
      </c>
      <c r="F307" t="str">
        <v>867162029820636</v>
      </c>
      <c r="G307" t="str">
        <v>TBD</v>
      </c>
      <c r="H307" t="str">
        <v/>
      </c>
      <c r="I307" t="str">
        <v>28/09/2026</v>
      </c>
      <c r="J307" t="str">
        <v>14:25:16</v>
      </c>
      <c r="K307">
        <v>-12.333551</v>
      </c>
      <c r="L307">
        <v>-76.81969</v>
      </c>
      <c r="M307">
        <f>HYPERLINK("https://www.google.com/maps/search/?api=1&amp;query=-12.333551,-76.81969","Carretera Panamericana Sur, Punta Hermosa, Lima")</f>
      </c>
      <c r="N307">
        <v>21</v>
      </c>
      <c r="O307">
        <v>100</v>
      </c>
      <c r="P307">
        <v>22682.8</v>
      </c>
      <c r="Q307" t="str">
        <v>122.58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CKL-718</v>
      </c>
      <c r="D308" t="str">
        <v>CKL-718</v>
      </c>
      <c r="E308" t="str">
        <v/>
      </c>
      <c r="F308" t="str">
        <v>867162029820636</v>
      </c>
      <c r="G308" t="str">
        <v>TBD</v>
      </c>
      <c r="H308" t="str">
        <v/>
      </c>
      <c r="I308" t="str">
        <v>28/09/2026</v>
      </c>
      <c r="J308" t="str">
        <v>14:25:19</v>
      </c>
      <c r="K308">
        <v>-12.333369</v>
      </c>
      <c r="L308">
        <v>-76.81964</v>
      </c>
      <c r="M308">
        <f>HYPERLINK("https://www.google.com/maps/search/?api=1&amp;query=-12.333369,-76.81964","Carretera Panamericana Sur, Punta Hermosa, Lima")</f>
      </c>
      <c r="N308">
        <v>28</v>
      </c>
      <c r="O308">
        <v>100</v>
      </c>
      <c r="P308">
        <v>22682.8</v>
      </c>
      <c r="Q308" t="str">
        <v>122.58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CKL-718</v>
      </c>
      <c r="D309" t="str">
        <v>CKL-718</v>
      </c>
      <c r="E309" t="str">
        <v/>
      </c>
      <c r="F309" t="str">
        <v>867162029820636</v>
      </c>
      <c r="G309" t="str">
        <v>TBD</v>
      </c>
      <c r="H309" t="str">
        <v/>
      </c>
      <c r="I309" t="str">
        <v>28/09/2026</v>
      </c>
      <c r="J309" t="str">
        <v>14:26:02</v>
      </c>
      <c r="K309">
        <v>-12.329909</v>
      </c>
      <c r="L309">
        <v>-76.82218</v>
      </c>
      <c r="M309">
        <f>HYPERLINK("https://www.google.com/maps/search/?api=1&amp;query=-12.329909,-76.82218","Carretera Panamericana Sur, Punta Hermosa, Lima")</f>
      </c>
      <c r="N309">
        <v>74.8</v>
      </c>
      <c r="O309">
        <v>100</v>
      </c>
      <c r="P309">
        <v>22683.4</v>
      </c>
      <c r="Q309" t="str">
        <v>122.58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CKL-718</v>
      </c>
      <c r="D310" t="str">
        <v>CKL-718</v>
      </c>
      <c r="E310" t="str">
        <v/>
      </c>
      <c r="F310" t="str">
        <v>867162029820636</v>
      </c>
      <c r="G310" t="str">
        <v>TBD</v>
      </c>
      <c r="H310" t="str">
        <v/>
      </c>
      <c r="I310" t="str">
        <v>28/09/2026</v>
      </c>
      <c r="J310" t="str">
        <v>14:26:55</v>
      </c>
      <c r="K310">
        <v>-12.320729</v>
      </c>
      <c r="L310">
        <v>-76.82833</v>
      </c>
      <c r="M310">
        <f>HYPERLINK("https://www.google.com/maps/search/?api=1&amp;query=-12.320729,-76.82833","Carretera Panamericana Sur, Punta Hermosa, Lima")</f>
      </c>
      <c r="N310">
        <v>82.2</v>
      </c>
      <c r="O310">
        <v>100</v>
      </c>
      <c r="P310">
        <v>22684.5</v>
      </c>
      <c r="Q310" t="str">
        <v>122.58</v>
      </c>
      <c r="R310" t="str">
        <v>Excedió el límite de velocidad</v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CKL-718</v>
      </c>
      <c r="D311" t="str">
        <v>CKL-718</v>
      </c>
      <c r="E311" t="str">
        <v/>
      </c>
      <c r="F311" t="str">
        <v>867162029820636</v>
      </c>
      <c r="G311" t="str">
        <v>TBD</v>
      </c>
      <c r="H311" t="str">
        <v/>
      </c>
      <c r="I311" t="str">
        <v>28/09/2026</v>
      </c>
      <c r="J311" t="str">
        <v>14:27:02</v>
      </c>
      <c r="K311">
        <v>-12.320213</v>
      </c>
      <c r="L311">
        <v>-76.82866</v>
      </c>
      <c r="M311">
        <f>HYPERLINK("https://www.google.com/maps/search/?api=1&amp;query=-12.320213,-76.82866","Carretera Panamericana Sur, Punta Hermosa, Lima")</f>
      </c>
      <c r="N311">
        <v>78.4</v>
      </c>
      <c r="O311">
        <v>100</v>
      </c>
      <c r="P311">
        <v>22684.6</v>
      </c>
      <c r="Q311" t="str">
        <v>122.58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CKL-718</v>
      </c>
      <c r="D312" t="str">
        <v>CKL-718</v>
      </c>
      <c r="E312" t="str">
        <v/>
      </c>
      <c r="F312" t="str">
        <v>867162029820636</v>
      </c>
      <c r="G312" t="str">
        <v>TBD</v>
      </c>
      <c r="H312" t="str">
        <v/>
      </c>
      <c r="I312" t="str">
        <v>28/09/2026</v>
      </c>
      <c r="J312" t="str">
        <v>14:27:16</v>
      </c>
      <c r="K312">
        <v>-12.318067</v>
      </c>
      <c r="L312">
        <v>-76.82982</v>
      </c>
      <c r="M312">
        <f>HYPERLINK("https://www.google.com/maps/search/?api=1&amp;query=-12.318067,-76.82982","Carretera Panamericana Sur, Punta Hermosa, Lima")</f>
      </c>
      <c r="N312">
        <v>22.6</v>
      </c>
      <c r="O312">
        <v>100</v>
      </c>
      <c r="P312">
        <v>22684.8</v>
      </c>
      <c r="Q312" t="str">
        <v>122.58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CKL-718</v>
      </c>
      <c r="D313" t="str">
        <v>CKL-718</v>
      </c>
      <c r="E313" t="str">
        <v/>
      </c>
      <c r="F313" t="str">
        <v>867162029820636</v>
      </c>
      <c r="G313" t="str">
        <v>TBD</v>
      </c>
      <c r="H313" t="str">
        <v/>
      </c>
      <c r="I313" t="str">
        <v>28/09/2026</v>
      </c>
      <c r="J313" t="str">
        <v>14:27:28</v>
      </c>
      <c r="K313">
        <v>-12.317606</v>
      </c>
      <c r="L313">
        <v>-76.82964</v>
      </c>
      <c r="M313">
        <f>HYPERLINK("https://www.google.com/maps/search/?api=1&amp;query=-12.317606,-76.82964","Punta Hermosa, Lima")</f>
      </c>
      <c r="N313">
        <v>11.2</v>
      </c>
      <c r="O313">
        <v>100</v>
      </c>
      <c r="P313">
        <v>22684.9</v>
      </c>
      <c r="Q313" t="str">
        <v>122.58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CKL-718</v>
      </c>
      <c r="D314" t="str">
        <v>CKL-718</v>
      </c>
      <c r="E314" t="str">
        <v/>
      </c>
      <c r="F314" t="str">
        <v>867162029820636</v>
      </c>
      <c r="G314" t="str">
        <v>TBD</v>
      </c>
      <c r="H314" t="str">
        <v/>
      </c>
      <c r="I314" t="str">
        <v>28/09/2026</v>
      </c>
      <c r="J314" t="str">
        <v>14:27:28</v>
      </c>
      <c r="K314">
        <v>-12.317606</v>
      </c>
      <c r="L314">
        <v>-76.82964</v>
      </c>
      <c r="M314">
        <f>HYPERLINK("https://www.google.com/maps/search/?api=1&amp;query=-12.317606,-76.82964","Punta Hermosa, Lima")</f>
      </c>
      <c r="N314">
        <v>11.2</v>
      </c>
      <c r="O314">
        <v>100</v>
      </c>
      <c r="P314">
        <v>22684.6</v>
      </c>
      <c r="Q314" t="str">
        <v>122.58</v>
      </c>
      <c r="R314" t="str">
        <v>Llegó a la zona</v>
      </c>
      <c r="S314" t="str">
        <v>MASS BSF 1</v>
      </c>
      <c r="T314" t="str">
        <v xml:space="preserve"> </v>
      </c>
      <c r="U314" t="str">
        <v/>
      </c>
    </row>
    <row r="315">
      <c r="A315" t="str">
        <v>314</v>
      </c>
      <c r="B315" t="str">
        <v>MASS BSF</v>
      </c>
      <c r="C315" t="str">
        <v>CKL-718</v>
      </c>
      <c r="D315" t="str">
        <v>CKL-718</v>
      </c>
      <c r="E315" t="str">
        <v/>
      </c>
      <c r="F315" t="str">
        <v>867162029820636</v>
      </c>
      <c r="G315" t="str">
        <v>TBD</v>
      </c>
      <c r="H315" t="str">
        <v/>
      </c>
      <c r="I315" t="str">
        <v>28/09/2026</v>
      </c>
      <c r="J315" t="str">
        <v>14:28:02</v>
      </c>
      <c r="K315">
        <v>-12.317491</v>
      </c>
      <c r="L315">
        <v>-76.82955</v>
      </c>
      <c r="M315">
        <f>HYPERLINK("https://www.google.com/maps/search/?api=1&amp;query=-12.317491,-76.82955","Punta Hermosa, Lima")</f>
      </c>
      <c r="N315">
        <v>0</v>
      </c>
      <c r="O315">
        <v>100</v>
      </c>
      <c r="P315">
        <v>22684.9</v>
      </c>
      <c r="Q315" t="str">
        <v>122.58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CKL-718</v>
      </c>
      <c r="D316" t="str">
        <v>CKL-718</v>
      </c>
      <c r="E316" t="str">
        <v/>
      </c>
      <c r="F316" t="str">
        <v>867162029820636</v>
      </c>
      <c r="G316" t="str">
        <v>TBD</v>
      </c>
      <c r="H316" t="str">
        <v/>
      </c>
      <c r="I316" t="str">
        <v>28/09/2026</v>
      </c>
      <c r="J316" t="str">
        <v>14:29:02</v>
      </c>
      <c r="K316">
        <v>-12.317464</v>
      </c>
      <c r="L316">
        <v>-76.82951</v>
      </c>
      <c r="M316">
        <f>HYPERLINK("https://www.google.com/maps/search/?api=1&amp;query=-12.317464,-76.82951","Punta Hermosa, Lima")</f>
      </c>
      <c r="N316">
        <v>0</v>
      </c>
      <c r="O316">
        <v>100</v>
      </c>
      <c r="P316">
        <v>22684.9</v>
      </c>
      <c r="Q316" t="str">
        <v>122.58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CKL-718</v>
      </c>
      <c r="D317" t="str">
        <v>CKL-718</v>
      </c>
      <c r="E317" t="str">
        <v/>
      </c>
      <c r="F317" t="str">
        <v>867162029820636</v>
      </c>
      <c r="G317" t="str">
        <v>TBD</v>
      </c>
      <c r="H317" t="str">
        <v/>
      </c>
      <c r="I317" t="str">
        <v>28/09/2026</v>
      </c>
      <c r="J317" t="str">
        <v>14:30:02</v>
      </c>
      <c r="K317">
        <v>-12.316533</v>
      </c>
      <c r="L317">
        <v>-76.827866</v>
      </c>
      <c r="M317">
        <f>HYPERLINK("https://www.google.com/maps/search/?api=1&amp;query=-12.316533,-76.827866","Punta Hermosa, Lima")</f>
      </c>
      <c r="N317">
        <v>13.7</v>
      </c>
      <c r="O317">
        <v>100</v>
      </c>
      <c r="P317">
        <v>22685.1</v>
      </c>
      <c r="Q317" t="str">
        <v>122.58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CKL-718</v>
      </c>
      <c r="D318" t="str">
        <v>CKL-718</v>
      </c>
      <c r="E318" t="str">
        <v/>
      </c>
      <c r="F318" t="str">
        <v>867162029820636</v>
      </c>
      <c r="G318" t="str">
        <v>TBD</v>
      </c>
      <c r="H318" t="str">
        <v/>
      </c>
      <c r="I318" t="str">
        <v>28/09/2026</v>
      </c>
      <c r="J318" t="str">
        <v>14:30:19</v>
      </c>
      <c r="K318">
        <v>-12.316167</v>
      </c>
      <c r="L318">
        <v>-76.82721</v>
      </c>
      <c r="M318">
        <f>HYPERLINK("https://www.google.com/maps/search/?api=1&amp;query=-12.316167,-76.82721","Punta Hermosa, Lima")</f>
      </c>
      <c r="N318">
        <v>15.7</v>
      </c>
      <c r="O318">
        <v>100</v>
      </c>
      <c r="P318">
        <v>22685.2</v>
      </c>
      <c r="Q318" t="str">
        <v>122.58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CKL-718</v>
      </c>
      <c r="D319" t="str">
        <v>CKL-718</v>
      </c>
      <c r="E319" t="str">
        <v/>
      </c>
      <c r="F319" t="str">
        <v>867162029820636</v>
      </c>
      <c r="G319" t="str">
        <v>TBD</v>
      </c>
      <c r="H319" t="str">
        <v/>
      </c>
      <c r="I319" t="str">
        <v>28/09/2026</v>
      </c>
      <c r="J319" t="str">
        <v>14:30:22</v>
      </c>
      <c r="K319">
        <v>-12.316186</v>
      </c>
      <c r="L319">
        <v>-76.8271</v>
      </c>
      <c r="M319">
        <f>HYPERLINK("https://www.google.com/maps/search/?api=1&amp;query=-12.316186,-76.8271","Punta Hermosa, Lima")</f>
      </c>
      <c r="N319">
        <v>15.7</v>
      </c>
      <c r="O319">
        <v>100</v>
      </c>
      <c r="P319">
        <v>22685.2</v>
      </c>
      <c r="Q319" t="str">
        <v>122.58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CKL-718</v>
      </c>
      <c r="D320" t="str">
        <v>CKL-718</v>
      </c>
      <c r="E320" t="str">
        <v/>
      </c>
      <c r="F320" t="str">
        <v>867162029820636</v>
      </c>
      <c r="G320" t="str">
        <v>TBD</v>
      </c>
      <c r="H320" t="str">
        <v/>
      </c>
      <c r="I320" t="str">
        <v>28/09/2026</v>
      </c>
      <c r="J320" t="str">
        <v>14:30:46</v>
      </c>
      <c r="K320">
        <v>-12.317262</v>
      </c>
      <c r="L320">
        <v>-76.8261</v>
      </c>
      <c r="M320">
        <f>HYPERLINK("https://www.google.com/maps/search/?api=1&amp;query=-12.317262,-76.8261","Punta Hermosa, Lima")</f>
      </c>
      <c r="N320">
        <v>20.3</v>
      </c>
      <c r="O320">
        <v>100</v>
      </c>
      <c r="P320">
        <v>22685.4</v>
      </c>
      <c r="Q320" t="str">
        <v>122.58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CKL-718</v>
      </c>
      <c r="D321" t="str">
        <v>CKL-718</v>
      </c>
      <c r="E321" t="str">
        <v/>
      </c>
      <c r="F321" t="str">
        <v>867162029820636</v>
      </c>
      <c r="G321" t="str">
        <v>TBD</v>
      </c>
      <c r="H321" t="str">
        <v/>
      </c>
      <c r="I321" t="str">
        <v>28/09/2026</v>
      </c>
      <c r="J321" t="str">
        <v>14:31:02</v>
      </c>
      <c r="K321">
        <v>-12.316865</v>
      </c>
      <c r="L321">
        <v>-76.82537</v>
      </c>
      <c r="M321">
        <f>HYPERLINK("https://www.google.com/maps/search/?api=1&amp;query=-12.316865,-76.82537","Punta Hermosa, Lima")</f>
      </c>
      <c r="N321">
        <v>25.1</v>
      </c>
      <c r="O321">
        <v>100</v>
      </c>
      <c r="P321">
        <v>22685.5</v>
      </c>
      <c r="Q321" t="str">
        <v>122.58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CKL-718</v>
      </c>
      <c r="D322" t="str">
        <v>CKL-718</v>
      </c>
      <c r="E322" t="str">
        <v/>
      </c>
      <c r="F322" t="str">
        <v>867162029820636</v>
      </c>
      <c r="G322" t="str">
        <v>TBD</v>
      </c>
      <c r="H322" t="str">
        <v/>
      </c>
      <c r="I322" t="str">
        <v>28/09/2026</v>
      </c>
      <c r="J322" t="str">
        <v>14:31:04</v>
      </c>
      <c r="K322">
        <v>-12.316788</v>
      </c>
      <c r="L322">
        <v>-76.82507</v>
      </c>
      <c r="M322">
        <f>HYPERLINK("https://www.google.com/maps/search/?api=1&amp;query=-12.316788,-76.82507","Punta Hermosa, Lima")</f>
      </c>
      <c r="N322">
        <v>17.8</v>
      </c>
      <c r="O322">
        <v>100</v>
      </c>
      <c r="P322">
        <v>22685.5</v>
      </c>
      <c r="Q322" t="str">
        <v>122.58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CKL-718</v>
      </c>
      <c r="D323" t="str">
        <v>CKL-718</v>
      </c>
      <c r="E323" t="str">
        <v/>
      </c>
      <c r="F323" t="str">
        <v>867162029820636</v>
      </c>
      <c r="G323" t="str">
        <v>TBD</v>
      </c>
      <c r="H323" t="str">
        <v/>
      </c>
      <c r="I323" t="str">
        <v>28/09/2026</v>
      </c>
      <c r="J323" t="str">
        <v>14:32:02</v>
      </c>
      <c r="K323">
        <v>-12.317901</v>
      </c>
      <c r="L323">
        <v>-76.8242</v>
      </c>
      <c r="M323">
        <f>HYPERLINK("https://www.google.com/maps/search/?api=1&amp;query=-12.317901,-76.8242","Punta Hermosa, Lima")</f>
      </c>
      <c r="N323">
        <v>0</v>
      </c>
      <c r="O323">
        <v>100</v>
      </c>
      <c r="P323">
        <v>22685.7</v>
      </c>
      <c r="Q323" t="str">
        <v>122.58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CKL-718</v>
      </c>
      <c r="D324" t="str">
        <v>CKL-718</v>
      </c>
      <c r="E324" t="str">
        <v/>
      </c>
      <c r="F324" t="str">
        <v>867162029820636</v>
      </c>
      <c r="G324" t="str">
        <v>TBD</v>
      </c>
      <c r="H324" t="str">
        <v/>
      </c>
      <c r="I324" t="str">
        <v>28/09/2026</v>
      </c>
      <c r="J324" t="str">
        <v>14:32:10</v>
      </c>
      <c r="K324">
        <v>-12.317931</v>
      </c>
      <c r="L324">
        <v>-76.82418</v>
      </c>
      <c r="M324">
        <f>HYPERLINK("https://www.google.com/maps/search/?api=1&amp;query=-12.317931,-76.82418","Punta Hermosa, Lima")</f>
      </c>
      <c r="N324">
        <v>11.5</v>
      </c>
      <c r="O324">
        <v>100</v>
      </c>
      <c r="P324">
        <v>22685.7</v>
      </c>
      <c r="Q324" t="str">
        <v>122.58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CKL-718</v>
      </c>
      <c r="D325" t="str">
        <v>CKL-718</v>
      </c>
      <c r="E325" t="str">
        <v/>
      </c>
      <c r="F325" t="str">
        <v>867162029820636</v>
      </c>
      <c r="G325" t="str">
        <v>TBD</v>
      </c>
      <c r="H325" t="str">
        <v/>
      </c>
      <c r="I325" t="str">
        <v>28/09/2026</v>
      </c>
      <c r="J325" t="str">
        <v>14:32:25</v>
      </c>
      <c r="K325">
        <v>-12.318467</v>
      </c>
      <c r="L325">
        <v>-76.82385</v>
      </c>
      <c r="M325">
        <f>HYPERLINK("https://www.google.com/maps/search/?api=1&amp;query=-12.318467,-76.82385","Punta Hermosa, Lima")</f>
      </c>
      <c r="N325">
        <v>14.4</v>
      </c>
      <c r="O325">
        <v>100</v>
      </c>
      <c r="P325">
        <v>22685.7</v>
      </c>
      <c r="Q325" t="str">
        <v>122.58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CKL-718</v>
      </c>
      <c r="D326" t="str">
        <v>CKL-718</v>
      </c>
      <c r="E326" t="str">
        <v/>
      </c>
      <c r="F326" t="str">
        <v>867162029820636</v>
      </c>
      <c r="G326" t="str">
        <v>TBD</v>
      </c>
      <c r="H326" t="str">
        <v/>
      </c>
      <c r="I326" t="str">
        <v>28/09/2026</v>
      </c>
      <c r="J326" t="str">
        <v>14:32:31</v>
      </c>
      <c r="K326">
        <v>-12.31844</v>
      </c>
      <c r="L326">
        <v>-76.82364</v>
      </c>
      <c r="M326">
        <f>HYPERLINK("https://www.google.com/maps/search/?api=1&amp;query=-12.31844,-76.82364","Punta Hermosa, Lima")</f>
      </c>
      <c r="N326">
        <v>17.1</v>
      </c>
      <c r="O326">
        <v>100</v>
      </c>
      <c r="P326">
        <v>22685.8</v>
      </c>
      <c r="Q326" t="str">
        <v>122.58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CKL-718</v>
      </c>
      <c r="D327" t="str">
        <v>CKL-718</v>
      </c>
      <c r="E327" t="str">
        <v/>
      </c>
      <c r="F327" t="str">
        <v>867162029820636</v>
      </c>
      <c r="G327" t="str">
        <v>TBD</v>
      </c>
      <c r="H327" t="str">
        <v/>
      </c>
      <c r="I327" t="str">
        <v>28/09/2026</v>
      </c>
      <c r="J327" t="str">
        <v>14:32:52</v>
      </c>
      <c r="K327">
        <v>-12.317878</v>
      </c>
      <c r="L327">
        <v>-76.82293</v>
      </c>
      <c r="M327">
        <f>HYPERLINK("https://www.google.com/maps/search/?api=1&amp;query=-12.317878,-76.82293","Punta Hermosa, Lima")</f>
      </c>
      <c r="N327">
        <v>17.9</v>
      </c>
      <c r="O327">
        <v>100</v>
      </c>
      <c r="P327">
        <v>22685.9</v>
      </c>
      <c r="Q327" t="str">
        <v>122.58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CKL-718</v>
      </c>
      <c r="D328" t="str">
        <v>CKL-718</v>
      </c>
      <c r="E328" t="str">
        <v/>
      </c>
      <c r="F328" t="str">
        <v>867162029820636</v>
      </c>
      <c r="G328" t="str">
        <v>TBD</v>
      </c>
      <c r="H328" t="str">
        <v/>
      </c>
      <c r="I328" t="str">
        <v>28/09/2026</v>
      </c>
      <c r="J328" t="str">
        <v>14:33:02</v>
      </c>
      <c r="K328">
        <v>-12.317647</v>
      </c>
      <c r="L328">
        <v>-76.82288</v>
      </c>
      <c r="M328">
        <f>HYPERLINK("https://www.google.com/maps/search/?api=1&amp;query=-12.317647,-76.82288","Punta Hermosa, Lima")</f>
      </c>
      <c r="N328">
        <v>12.5</v>
      </c>
      <c r="O328">
        <v>100</v>
      </c>
      <c r="P328">
        <v>22685.9</v>
      </c>
      <c r="Q328" t="str">
        <v>122.58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CKL-718</v>
      </c>
      <c r="D329" t="str">
        <v>CKL-718</v>
      </c>
      <c r="E329" t="str">
        <v/>
      </c>
      <c r="F329" t="str">
        <v>867162029820636</v>
      </c>
      <c r="G329" t="str">
        <v>TBD</v>
      </c>
      <c r="H329" t="str">
        <v/>
      </c>
      <c r="I329" t="str">
        <v>28/09/2026</v>
      </c>
      <c r="J329" t="str">
        <v>14:33:10</v>
      </c>
      <c r="K329">
        <v>-12.31737</v>
      </c>
      <c r="L329">
        <v>-76.82289</v>
      </c>
      <c r="M329">
        <f>HYPERLINK("https://www.google.com/maps/search/?api=1&amp;query=-12.31737,-76.82289","Punta Hermosa, Lima")</f>
      </c>
      <c r="N329">
        <v>5.6</v>
      </c>
      <c r="O329">
        <v>100</v>
      </c>
      <c r="P329">
        <v>22685.9</v>
      </c>
      <c r="Q329" t="str">
        <v>122.58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CKL-718</v>
      </c>
      <c r="D330" t="str">
        <v>CKL-718</v>
      </c>
      <c r="E330" t="str">
        <v/>
      </c>
      <c r="F330" t="str">
        <v>867162029820636</v>
      </c>
      <c r="G330" t="str">
        <v>TBD</v>
      </c>
      <c r="H330" t="str">
        <v/>
      </c>
      <c r="I330" t="str">
        <v>28/09/2026</v>
      </c>
      <c r="J330" t="str">
        <v>14:33:16</v>
      </c>
      <c r="K330">
        <v>-12.317371</v>
      </c>
      <c r="L330">
        <v>-76.8229</v>
      </c>
      <c r="M330">
        <f>HYPERLINK("https://www.google.com/maps/search/?api=1&amp;query=-12.317371,-76.8229","Punta Hermosa, Lima")</f>
      </c>
      <c r="N330">
        <v>4.9</v>
      </c>
      <c r="O330">
        <v>100</v>
      </c>
      <c r="P330">
        <v>22685.9</v>
      </c>
      <c r="Q330" t="str">
        <v>122.58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CKL-718</v>
      </c>
      <c r="D331" t="str">
        <v>CKL-718</v>
      </c>
      <c r="E331" t="str">
        <v/>
      </c>
      <c r="F331" t="str">
        <v>867162029820636</v>
      </c>
      <c r="G331" t="str">
        <v>TBD</v>
      </c>
      <c r="H331" t="str">
        <v/>
      </c>
      <c r="I331" t="str">
        <v>28/09/2026</v>
      </c>
      <c r="J331" t="str">
        <v>14:33:36</v>
      </c>
      <c r="K331">
        <v>-12.317387</v>
      </c>
      <c r="L331">
        <v>-76.822914</v>
      </c>
      <c r="M331">
        <f>HYPERLINK("https://www.google.com/maps/search/?api=1&amp;query=-12.317387,-76.822914","Punta Hermosa, Lima")</f>
      </c>
      <c r="N331">
        <v>0</v>
      </c>
      <c r="O331">
        <v>100</v>
      </c>
      <c r="P331">
        <v>22685.9</v>
      </c>
      <c r="Q331" t="str">
        <v>123.30</v>
      </c>
      <c r="R331" t="str">
        <v>Vehículo apagado</v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CKL-718</v>
      </c>
      <c r="D332" t="str">
        <v>CKL-718</v>
      </c>
      <c r="E332" t="str">
        <v/>
      </c>
      <c r="F332" t="str">
        <v>867162029820636</v>
      </c>
      <c r="G332" t="str">
        <v>TBD</v>
      </c>
      <c r="H332" t="str">
        <v/>
      </c>
      <c r="I332" t="str">
        <v>28/09/2026</v>
      </c>
      <c r="J332" t="str">
        <v>14:33:39</v>
      </c>
      <c r="K332">
        <v>-12.317387</v>
      </c>
      <c r="L332">
        <v>-76.822914</v>
      </c>
      <c r="M332">
        <f>HYPERLINK("https://www.google.com/maps/search/?api=1&amp;query=-12.317387,-76.822914","Punta Hermosa, Lima")</f>
      </c>
      <c r="N332">
        <v>0</v>
      </c>
      <c r="O332">
        <v>100</v>
      </c>
      <c r="P332">
        <v>22685.9</v>
      </c>
      <c r="Q332" t="str">
        <v>122.58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CKL-718</v>
      </c>
      <c r="D333" t="str">
        <v>CKL-718</v>
      </c>
      <c r="E333" t="str">
        <v/>
      </c>
      <c r="F333" t="str">
        <v>867162029820636</v>
      </c>
      <c r="G333" t="str">
        <v>TBD</v>
      </c>
      <c r="H333" t="str">
        <v/>
      </c>
      <c r="I333" t="str">
        <v>28/09/2026</v>
      </c>
      <c r="J333" t="str">
        <v>14:45:52</v>
      </c>
      <c r="K333">
        <v>-12.317387</v>
      </c>
      <c r="L333">
        <v>-76.822914</v>
      </c>
      <c r="M333">
        <f>HYPERLINK("https://www.google.com/maps/search/?api=1&amp;query=-12.317387,-76.822914","Punta Hermosa, Lima")</f>
      </c>
      <c r="N333">
        <v>0</v>
      </c>
      <c r="O333">
        <v>100</v>
      </c>
      <c r="P333">
        <v>22685.9</v>
      </c>
      <c r="Q333" t="str">
        <v>123.30</v>
      </c>
      <c r="R333" t="str">
        <v>Vehículo encendido</v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CKL-718</v>
      </c>
      <c r="D334" t="str">
        <v>CKL-718</v>
      </c>
      <c r="E334" t="str">
        <v/>
      </c>
      <c r="F334" t="str">
        <v>867162029820636</v>
      </c>
      <c r="G334" t="str">
        <v>TBD</v>
      </c>
      <c r="H334" t="str">
        <v/>
      </c>
      <c r="I334" t="str">
        <v>28/09/2026</v>
      </c>
      <c r="J334" t="str">
        <v>14:45:58</v>
      </c>
      <c r="K334">
        <v>-12.317381</v>
      </c>
      <c r="L334">
        <v>-76.82288</v>
      </c>
      <c r="M334">
        <f>HYPERLINK("https://www.google.com/maps/search/?api=1&amp;query=-12.317381,-76.82288","Punta Hermosa, Lima")</f>
      </c>
      <c r="N334">
        <v>8.4</v>
      </c>
      <c r="O334">
        <v>100</v>
      </c>
      <c r="P334">
        <v>22685.9</v>
      </c>
      <c r="Q334" t="str">
        <v>123.30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CKL-718</v>
      </c>
      <c r="D335" t="str">
        <v>CKL-718</v>
      </c>
      <c r="E335" t="str">
        <v/>
      </c>
      <c r="F335" t="str">
        <v>867162029820636</v>
      </c>
      <c r="G335" t="str">
        <v>TBD</v>
      </c>
      <c r="H335" t="str">
        <v/>
      </c>
      <c r="I335" t="str">
        <v>28/09/2026</v>
      </c>
      <c r="J335" t="str">
        <v>14:46:01</v>
      </c>
      <c r="K335">
        <v>-12.317424</v>
      </c>
      <c r="L335">
        <v>-76.82284</v>
      </c>
      <c r="M335">
        <f>HYPERLINK("https://www.google.com/maps/search/?api=1&amp;query=-12.317424,-76.82284","Punta Hermosa, Lima")</f>
      </c>
      <c r="N335">
        <v>8.6</v>
      </c>
      <c r="O335">
        <v>100</v>
      </c>
      <c r="P335">
        <v>22685.9</v>
      </c>
      <c r="Q335" t="str">
        <v>123.30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CKL-718</v>
      </c>
      <c r="D336" t="str">
        <v>CKL-718</v>
      </c>
      <c r="E336" t="str">
        <v/>
      </c>
      <c r="F336" t="str">
        <v>867162029820636</v>
      </c>
      <c r="G336" t="str">
        <v>TBD</v>
      </c>
      <c r="H336" t="str">
        <v/>
      </c>
      <c r="I336" t="str">
        <v>28/09/2026</v>
      </c>
      <c r="J336" t="str">
        <v>14:46:07</v>
      </c>
      <c r="K336">
        <v>-12.317588</v>
      </c>
      <c r="L336">
        <v>-76.82283</v>
      </c>
      <c r="M336">
        <f>HYPERLINK("https://www.google.com/maps/search/?api=1&amp;query=-12.317588,-76.82283","Punta Hermosa, Lima")</f>
      </c>
      <c r="N336">
        <v>13.8</v>
      </c>
      <c r="O336">
        <v>100</v>
      </c>
      <c r="P336">
        <v>22685.9</v>
      </c>
      <c r="Q336" t="str">
        <v>123.30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CKL-718</v>
      </c>
      <c r="D337" t="str">
        <v>CKL-718</v>
      </c>
      <c r="E337" t="str">
        <v/>
      </c>
      <c r="F337" t="str">
        <v>867162029820636</v>
      </c>
      <c r="G337" t="str">
        <v>TBD</v>
      </c>
      <c r="H337" t="str">
        <v/>
      </c>
      <c r="I337" t="str">
        <v>28/09/2026</v>
      </c>
      <c r="J337" t="str">
        <v>14:46:22</v>
      </c>
      <c r="K337">
        <v>-12.31805</v>
      </c>
      <c r="L337">
        <v>-76.82304</v>
      </c>
      <c r="M337">
        <f>HYPERLINK("https://www.google.com/maps/search/?api=1&amp;query=-12.31805,-76.82304","Punta Hermosa, Lima")</f>
      </c>
      <c r="N337">
        <v>15</v>
      </c>
      <c r="O337">
        <v>100</v>
      </c>
      <c r="P337">
        <v>22686</v>
      </c>
      <c r="Q337" t="str">
        <v>123.30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CKL-718</v>
      </c>
      <c r="D338" t="str">
        <v>CKL-718</v>
      </c>
      <c r="E338" t="str">
        <v/>
      </c>
      <c r="F338" t="str">
        <v>867162029820636</v>
      </c>
      <c r="G338" t="str">
        <v>TBD</v>
      </c>
      <c r="H338" t="str">
        <v/>
      </c>
      <c r="I338" t="str">
        <v>28/09/2026</v>
      </c>
      <c r="J338" t="str">
        <v>14:46:46</v>
      </c>
      <c r="K338">
        <v>-12.318431</v>
      </c>
      <c r="L338">
        <v>-76.82373</v>
      </c>
      <c r="M338">
        <f>HYPERLINK("https://www.google.com/maps/search/?api=1&amp;query=-12.318431,-76.82373","Punta Hermosa, Lima")</f>
      </c>
      <c r="N338">
        <v>7.9</v>
      </c>
      <c r="O338">
        <v>100</v>
      </c>
      <c r="P338">
        <v>22686.1</v>
      </c>
      <c r="Q338" t="str">
        <v>123.30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CKL-718</v>
      </c>
      <c r="D339" t="str">
        <v>CKL-718</v>
      </c>
      <c r="E339" t="str">
        <v/>
      </c>
      <c r="F339" t="str">
        <v>867162029820636</v>
      </c>
      <c r="G339" t="str">
        <v>TBD</v>
      </c>
      <c r="H339" t="str">
        <v/>
      </c>
      <c r="I339" t="str">
        <v>28/09/2026</v>
      </c>
      <c r="J339" t="str">
        <v>14:46:54</v>
      </c>
      <c r="K339">
        <v>-12.318417</v>
      </c>
      <c r="L339">
        <v>-76.82381</v>
      </c>
      <c r="M339">
        <f>HYPERLINK("https://www.google.com/maps/search/?api=1&amp;query=-12.318417,-76.82381","Punta Hermosa, Lima")</f>
      </c>
      <c r="N339">
        <v>10.8</v>
      </c>
      <c r="O339">
        <v>100</v>
      </c>
      <c r="P339">
        <v>22686.1</v>
      </c>
      <c r="Q339" t="str">
        <v>123.30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CKL-718</v>
      </c>
      <c r="D340" t="str">
        <v>CKL-718</v>
      </c>
      <c r="E340" t="str">
        <v/>
      </c>
      <c r="F340" t="str">
        <v>867162029820636</v>
      </c>
      <c r="G340" t="str">
        <v>TBD</v>
      </c>
      <c r="H340" t="str">
        <v/>
      </c>
      <c r="I340" t="str">
        <v>28/09/2026</v>
      </c>
      <c r="J340" t="str">
        <v>14:46:56</v>
      </c>
      <c r="K340">
        <v>-12.318474</v>
      </c>
      <c r="L340">
        <v>-76.82393</v>
      </c>
      <c r="M340">
        <f>HYPERLINK("https://www.google.com/maps/search/?api=1&amp;query=-12.318474,-76.82393","Punta Hermosa, Lima")</f>
      </c>
      <c r="N340">
        <v>8.4</v>
      </c>
      <c r="O340">
        <v>100</v>
      </c>
      <c r="P340">
        <v>22686.1</v>
      </c>
      <c r="Q340" t="str">
        <v>123.30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CKL-718</v>
      </c>
      <c r="D341" t="str">
        <v>CKL-718</v>
      </c>
      <c r="E341" t="str">
        <v/>
      </c>
      <c r="F341" t="str">
        <v>867162029820636</v>
      </c>
      <c r="G341" t="str">
        <v>TBD</v>
      </c>
      <c r="H341" t="str">
        <v/>
      </c>
      <c r="I341" t="str">
        <v>28/09/2026</v>
      </c>
      <c r="J341" t="str">
        <v>14:46:58</v>
      </c>
      <c r="K341">
        <v>-12.31849</v>
      </c>
      <c r="L341">
        <v>-76.823975</v>
      </c>
      <c r="M341">
        <f>HYPERLINK("https://www.google.com/maps/search/?api=1&amp;query=-12.31849,-76.823975","Punta Hermosa, Lima")</f>
      </c>
      <c r="N341">
        <v>4</v>
      </c>
      <c r="O341">
        <v>100</v>
      </c>
      <c r="P341">
        <v>22686.1</v>
      </c>
      <c r="Q341" t="str">
        <v>123.32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CKL-718</v>
      </c>
      <c r="D342" t="str">
        <v>CKL-718</v>
      </c>
      <c r="E342" t="str">
        <v/>
      </c>
      <c r="F342" t="str">
        <v>867162029820636</v>
      </c>
      <c r="G342" t="str">
        <v>TBD</v>
      </c>
      <c r="H342" t="str">
        <v/>
      </c>
      <c r="I342" t="str">
        <v>28/09/2026</v>
      </c>
      <c r="J342" t="str">
        <v>14:47:01</v>
      </c>
      <c r="K342">
        <v>-12.318454</v>
      </c>
      <c r="L342">
        <v>-76.82401</v>
      </c>
      <c r="M342">
        <f>HYPERLINK("https://www.google.com/maps/search/?api=1&amp;query=-12.318454,-76.82401","Punta Hermosa, Lima")</f>
      </c>
      <c r="N342">
        <v>8.3</v>
      </c>
      <c r="O342">
        <v>100</v>
      </c>
      <c r="P342">
        <v>22686.1</v>
      </c>
      <c r="Q342" t="str">
        <v>123.30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CKL-718</v>
      </c>
      <c r="D343" t="str">
        <v>CKL-718</v>
      </c>
      <c r="E343" t="str">
        <v/>
      </c>
      <c r="F343" t="str">
        <v>867162029820636</v>
      </c>
      <c r="G343" t="str">
        <v>TBD</v>
      </c>
      <c r="H343" t="str">
        <v/>
      </c>
      <c r="I343" t="str">
        <v>28/09/2026</v>
      </c>
      <c r="J343" t="str">
        <v>14:47:14</v>
      </c>
      <c r="K343">
        <v>-12.318433</v>
      </c>
      <c r="L343">
        <v>-76.82405</v>
      </c>
      <c r="M343">
        <f>HYPERLINK("https://www.google.com/maps/search/?api=1&amp;query=-12.318433,-76.82405","Punta Hermosa, Lima")</f>
      </c>
      <c r="N343">
        <v>0</v>
      </c>
      <c r="O343">
        <v>100</v>
      </c>
      <c r="P343">
        <v>22686.1</v>
      </c>
      <c r="Q343" t="str">
        <v>123.32</v>
      </c>
      <c r="R343" t="str">
        <v>Vehículo apagado</v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CKL-718</v>
      </c>
      <c r="D344" t="str">
        <v>CKL-718</v>
      </c>
      <c r="E344" t="str">
        <v/>
      </c>
      <c r="F344" t="str">
        <v>867162029820636</v>
      </c>
      <c r="G344" t="str">
        <v>TBD</v>
      </c>
      <c r="H344" t="str">
        <v/>
      </c>
      <c r="I344" t="str">
        <v>28/09/2026</v>
      </c>
      <c r="J344" t="str">
        <v>14:47:19</v>
      </c>
      <c r="K344">
        <v>-12.318433</v>
      </c>
      <c r="L344">
        <v>-76.82405</v>
      </c>
      <c r="M344">
        <f>HYPERLINK("https://www.google.com/maps/search/?api=1&amp;query=-12.318433,-76.82405","Punta Hermosa, Lima")</f>
      </c>
      <c r="N344">
        <v>0</v>
      </c>
      <c r="O344">
        <v>100</v>
      </c>
      <c r="P344">
        <v>22686.1</v>
      </c>
      <c r="Q344" t="str">
        <v>123.30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CKL-718</v>
      </c>
      <c r="D345" t="str">
        <v>CKL-718</v>
      </c>
      <c r="E345" t="str">
        <v/>
      </c>
      <c r="F345" t="str">
        <v>867162029820636</v>
      </c>
      <c r="G345" t="str">
        <v>TBD</v>
      </c>
      <c r="H345" t="str">
        <v/>
      </c>
      <c r="I345" t="str">
        <v>28/09/2026</v>
      </c>
      <c r="J345" t="str">
        <v>15:17:17</v>
      </c>
      <c r="K345">
        <v>-12.318433</v>
      </c>
      <c r="L345">
        <v>-76.82405</v>
      </c>
      <c r="M345">
        <f>HYPERLINK("https://www.google.com/maps/search/?api=1&amp;query=-12.318433,-76.82405","Punta Hermosa, Lima")</f>
      </c>
      <c r="N345">
        <v>0</v>
      </c>
      <c r="O345">
        <v>100</v>
      </c>
      <c r="P345">
        <v>22686.1</v>
      </c>
      <c r="Q345" t="str">
        <v>123.32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CKL-718</v>
      </c>
      <c r="D346" t="str">
        <v>CKL-718</v>
      </c>
      <c r="E346" t="str">
        <v/>
      </c>
      <c r="F346" t="str">
        <v>867162029820636</v>
      </c>
      <c r="G346" t="str">
        <v>TBD</v>
      </c>
      <c r="H346" t="str">
        <v/>
      </c>
      <c r="I346" t="str">
        <v>28/09/2026</v>
      </c>
      <c r="J346" t="str">
        <v>15:41:34</v>
      </c>
      <c r="K346">
        <v>-12.318433</v>
      </c>
      <c r="L346">
        <v>-76.82405</v>
      </c>
      <c r="M346">
        <f>HYPERLINK("https://www.google.com/maps/search/?api=1&amp;query=-12.318433,-76.82405","Punta Hermosa, Lima")</f>
      </c>
      <c r="N346">
        <v>0</v>
      </c>
      <c r="O346">
        <v>100</v>
      </c>
      <c r="P346">
        <v>22686.1</v>
      </c>
      <c r="Q346" t="str">
        <v>123.32</v>
      </c>
      <c r="R346" t="str">
        <v>Vehículo encendido</v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CKL-718</v>
      </c>
      <c r="D347" t="str">
        <v>CKL-718</v>
      </c>
      <c r="E347" t="str">
        <v/>
      </c>
      <c r="F347" t="str">
        <v>867162029820636</v>
      </c>
      <c r="G347" t="str">
        <v>TBD</v>
      </c>
      <c r="H347" t="str">
        <v/>
      </c>
      <c r="I347" t="str">
        <v>28/09/2026</v>
      </c>
      <c r="J347" t="str">
        <v>15:41:52</v>
      </c>
      <c r="K347">
        <v>-12.318152</v>
      </c>
      <c r="L347">
        <v>-76.82412</v>
      </c>
      <c r="M347">
        <f>HYPERLINK("https://www.google.com/maps/search/?api=1&amp;query=-12.318152,-76.82412","Punta Hermosa, Lima")</f>
      </c>
      <c r="N347">
        <v>11.5</v>
      </c>
      <c r="O347">
        <v>100</v>
      </c>
      <c r="P347">
        <v>22686.1</v>
      </c>
      <c r="Q347" t="str">
        <v>123.32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CKL-718</v>
      </c>
      <c r="D348" t="str">
        <v>CKL-718</v>
      </c>
      <c r="E348" t="str">
        <v/>
      </c>
      <c r="F348" t="str">
        <v>867162029820636</v>
      </c>
      <c r="G348" t="str">
        <v>TBD</v>
      </c>
      <c r="H348" t="str">
        <v/>
      </c>
      <c r="I348" t="str">
        <v>28/09/2026</v>
      </c>
      <c r="J348" t="str">
        <v>15:42:12</v>
      </c>
      <c r="K348">
        <v>-12.317974</v>
      </c>
      <c r="L348">
        <v>-76.82423</v>
      </c>
      <c r="M348">
        <f>HYPERLINK("https://www.google.com/maps/search/?api=1&amp;query=-12.317974,-76.82423","Punta Hermosa, Lima")</f>
      </c>
      <c r="N348">
        <v>4.4</v>
      </c>
      <c r="O348">
        <v>100</v>
      </c>
      <c r="P348">
        <v>22686.2</v>
      </c>
      <c r="Q348" t="str">
        <v>123.32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CKL-718</v>
      </c>
      <c r="D349" t="str">
        <v>CKL-718</v>
      </c>
      <c r="E349" t="str">
        <v/>
      </c>
      <c r="F349" t="str">
        <v>867162029820636</v>
      </c>
      <c r="G349" t="str">
        <v>TBD</v>
      </c>
      <c r="H349" t="str">
        <v/>
      </c>
      <c r="I349" t="str">
        <v>28/09/2026</v>
      </c>
      <c r="J349" t="str">
        <v>15:42:18</v>
      </c>
      <c r="K349">
        <v>-12.317977</v>
      </c>
      <c r="L349">
        <v>-76.82426</v>
      </c>
      <c r="M349">
        <f>HYPERLINK("https://www.google.com/maps/search/?api=1&amp;query=-12.317977,-76.82426","Punta Hermosa, Lima")</f>
      </c>
      <c r="N349">
        <v>3.4</v>
      </c>
      <c r="O349">
        <v>100</v>
      </c>
      <c r="P349">
        <v>22686.2</v>
      </c>
      <c r="Q349" t="str">
        <v>123.32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CKL-718</v>
      </c>
      <c r="D350" t="str">
        <v>CKL-718</v>
      </c>
      <c r="E350" t="str">
        <v/>
      </c>
      <c r="F350" t="str">
        <v>867162029820636</v>
      </c>
      <c r="G350" t="str">
        <v>TBD</v>
      </c>
      <c r="H350" t="str">
        <v/>
      </c>
      <c r="I350" t="str">
        <v>28/09/2026</v>
      </c>
      <c r="J350" t="str">
        <v>15:42:51</v>
      </c>
      <c r="K350">
        <v>-12.317977</v>
      </c>
      <c r="L350">
        <v>-76.82426</v>
      </c>
      <c r="M350">
        <f>HYPERLINK("https://www.google.com/maps/search/?api=1&amp;query=-12.317977,-76.82426","Punta Hermosa, Lima")</f>
      </c>
      <c r="N350">
        <v>0</v>
      </c>
      <c r="O350">
        <v>100</v>
      </c>
      <c r="P350">
        <v>22686.2</v>
      </c>
      <c r="Q350" t="str">
        <v>123.32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CKL-718</v>
      </c>
      <c r="D351" t="str">
        <v>CKL-718</v>
      </c>
      <c r="E351" t="str">
        <v/>
      </c>
      <c r="F351" t="str">
        <v>867162029820636</v>
      </c>
      <c r="G351" t="str">
        <v>TBD</v>
      </c>
      <c r="H351" t="str">
        <v/>
      </c>
      <c r="I351" t="str">
        <v>28/09/2026</v>
      </c>
      <c r="J351" t="str">
        <v>15:43:32</v>
      </c>
      <c r="K351">
        <v>-12.317977</v>
      </c>
      <c r="L351">
        <v>-76.82426</v>
      </c>
      <c r="M351">
        <f>HYPERLINK("https://www.google.com/maps/search/?api=1&amp;query=-12.317977,-76.82426","Punta Hermosa, Lima")</f>
      </c>
      <c r="N351">
        <v>0</v>
      </c>
      <c r="O351">
        <v>100</v>
      </c>
      <c r="P351">
        <v>22686.2</v>
      </c>
      <c r="Q351" t="str">
        <v>123.35</v>
      </c>
      <c r="R351" t="str">
        <v>Vehículo apagado</v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CKL-718</v>
      </c>
      <c r="D352" t="str">
        <v>CKL-718</v>
      </c>
      <c r="E352" t="str">
        <v/>
      </c>
      <c r="F352" t="str">
        <v>867162029820636</v>
      </c>
      <c r="G352" t="str">
        <v>TBD</v>
      </c>
      <c r="H352" t="str">
        <v/>
      </c>
      <c r="I352" t="str">
        <v>28/09/2026</v>
      </c>
      <c r="J352" t="str">
        <v>15:43:35</v>
      </c>
      <c r="K352">
        <v>-12.317977</v>
      </c>
      <c r="L352">
        <v>-76.82426</v>
      </c>
      <c r="M352">
        <f>HYPERLINK("https://www.google.com/maps/search/?api=1&amp;query=-12.317977,-76.82426","Punta Hermosa, Lima")</f>
      </c>
      <c r="N352">
        <v>0</v>
      </c>
      <c r="O352">
        <v>100</v>
      </c>
      <c r="P352">
        <v>22686.2</v>
      </c>
      <c r="Q352" t="str">
        <v>123.35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CKL-718</v>
      </c>
      <c r="D353" t="str">
        <v>CKL-718</v>
      </c>
      <c r="E353" t="str">
        <v/>
      </c>
      <c r="F353" t="str">
        <v>867162029820636</v>
      </c>
      <c r="G353" t="str">
        <v>TBD</v>
      </c>
      <c r="H353" t="str">
        <v/>
      </c>
      <c r="I353" t="str">
        <v>28/09/2026</v>
      </c>
      <c r="J353" t="str">
        <v>16:06:55</v>
      </c>
      <c r="K353">
        <v>-12.317977</v>
      </c>
      <c r="L353">
        <v>-76.82426</v>
      </c>
      <c r="M353">
        <f>HYPERLINK("https://www.google.com/maps/search/?api=1&amp;query=-12.317977,-76.82426","Punta Hermosa, Lima")</f>
      </c>
      <c r="N353">
        <v>0</v>
      </c>
      <c r="O353">
        <v>100</v>
      </c>
      <c r="P353">
        <v>22686.2</v>
      </c>
      <c r="Q353" t="str">
        <v>123.35</v>
      </c>
      <c r="R353" t="str">
        <v>Vehículo encendido</v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CKL-718</v>
      </c>
      <c r="D354" t="str">
        <v>CKL-718</v>
      </c>
      <c r="E354" t="str">
        <v/>
      </c>
      <c r="F354" t="str">
        <v>867162029820636</v>
      </c>
      <c r="G354" t="str">
        <v>TBD</v>
      </c>
      <c r="H354" t="str">
        <v/>
      </c>
      <c r="I354" t="str">
        <v>28/09/2026</v>
      </c>
      <c r="J354" t="str">
        <v>16:07:01</v>
      </c>
      <c r="K354">
        <v>-12.317957</v>
      </c>
      <c r="L354">
        <v>-76.824165</v>
      </c>
      <c r="M354">
        <f>HYPERLINK("https://www.google.com/maps/search/?api=1&amp;query=-12.317957,-76.824165","Punta Hermosa, Lima")</f>
      </c>
      <c r="N354">
        <v>5.5</v>
      </c>
      <c r="O354">
        <v>100</v>
      </c>
      <c r="P354">
        <v>22686.2</v>
      </c>
      <c r="Q354" t="str">
        <v>123.35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CKL-718</v>
      </c>
      <c r="D355" t="str">
        <v>CKL-718</v>
      </c>
      <c r="E355" t="str">
        <v/>
      </c>
      <c r="F355" t="str">
        <v>867162029820636</v>
      </c>
      <c r="G355" t="str">
        <v>TBD</v>
      </c>
      <c r="H355" t="str">
        <v/>
      </c>
      <c r="I355" t="str">
        <v>28/09/2026</v>
      </c>
      <c r="J355" t="str">
        <v>16:07:07</v>
      </c>
      <c r="K355">
        <v>-12.317915</v>
      </c>
      <c r="L355">
        <v>-76.824295</v>
      </c>
      <c r="M355">
        <f>HYPERLINK("https://www.google.com/maps/search/?api=1&amp;query=-12.317915,-76.824295","Punta Hermosa, Lima")</f>
      </c>
      <c r="N355">
        <v>8.5</v>
      </c>
      <c r="O355">
        <v>100</v>
      </c>
      <c r="P355">
        <v>22686.2</v>
      </c>
      <c r="Q355" t="str">
        <v>123.35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CKL-718</v>
      </c>
      <c r="D356" t="str">
        <v>CKL-718</v>
      </c>
      <c r="E356" t="str">
        <v/>
      </c>
      <c r="F356" t="str">
        <v>867162029820636</v>
      </c>
      <c r="G356" t="str">
        <v>TBD</v>
      </c>
      <c r="H356" t="str">
        <v/>
      </c>
      <c r="I356" t="str">
        <v>28/09/2026</v>
      </c>
      <c r="J356" t="str">
        <v>16:07:17</v>
      </c>
      <c r="K356">
        <v>-12.317796</v>
      </c>
      <c r="L356">
        <v>-76.8244</v>
      </c>
      <c r="M356">
        <f>HYPERLINK("https://www.google.com/maps/search/?api=1&amp;query=-12.317796,-76.8244","Punta Hermosa, Lima")</f>
      </c>
      <c r="N356">
        <v>5.3</v>
      </c>
      <c r="O356">
        <v>100</v>
      </c>
      <c r="P356">
        <v>22686.2</v>
      </c>
      <c r="Q356" t="str">
        <v>123.35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CKL-718</v>
      </c>
      <c r="D357" t="str">
        <v>CKL-718</v>
      </c>
      <c r="E357" t="str">
        <v/>
      </c>
      <c r="F357" t="str">
        <v>867162029820636</v>
      </c>
      <c r="G357" t="str">
        <v>TBD</v>
      </c>
      <c r="H357" t="str">
        <v/>
      </c>
      <c r="I357" t="str">
        <v>28/09/2026</v>
      </c>
      <c r="J357" t="str">
        <v>16:07:19</v>
      </c>
      <c r="K357">
        <v>-12.317822</v>
      </c>
      <c r="L357">
        <v>-76.82444</v>
      </c>
      <c r="M357">
        <f>HYPERLINK("https://www.google.com/maps/search/?api=1&amp;query=-12.317822,-76.82444","Punta Hermosa, Lima")</f>
      </c>
      <c r="N357">
        <v>5.4</v>
      </c>
      <c r="O357">
        <v>100</v>
      </c>
      <c r="P357">
        <v>22686.2</v>
      </c>
      <c r="Q357" t="str">
        <v>123.35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CKL-718</v>
      </c>
      <c r="D358" t="str">
        <v>CKL-718</v>
      </c>
      <c r="E358" t="str">
        <v/>
      </c>
      <c r="F358" t="str">
        <v>867162029820636</v>
      </c>
      <c r="G358" t="str">
        <v>TBD</v>
      </c>
      <c r="H358" t="str">
        <v/>
      </c>
      <c r="I358" t="str">
        <v>28/09/2026</v>
      </c>
      <c r="J358" t="str">
        <v>16:07:25</v>
      </c>
      <c r="K358">
        <v>-12.317891</v>
      </c>
      <c r="L358">
        <v>-76.824425</v>
      </c>
      <c r="M358">
        <f>HYPERLINK("https://www.google.com/maps/search/?api=1&amp;query=-12.317891,-76.824425","Punta Hermosa, Lima")</f>
      </c>
      <c r="N358">
        <v>5.1</v>
      </c>
      <c r="O358">
        <v>100</v>
      </c>
      <c r="P358">
        <v>22686.2</v>
      </c>
      <c r="Q358" t="str">
        <v>123.35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CKL-718</v>
      </c>
      <c r="D359" t="str">
        <v>CKL-718</v>
      </c>
      <c r="E359" t="str">
        <v/>
      </c>
      <c r="F359" t="str">
        <v>867162029820636</v>
      </c>
      <c r="G359" t="str">
        <v>TBD</v>
      </c>
      <c r="H359" t="str">
        <v/>
      </c>
      <c r="I359" t="str">
        <v>28/09/2026</v>
      </c>
      <c r="J359" t="str">
        <v>16:07:58</v>
      </c>
      <c r="K359">
        <v>-12.317958</v>
      </c>
      <c r="L359">
        <v>-76.82431</v>
      </c>
      <c r="M359">
        <f>HYPERLINK("https://www.google.com/maps/search/?api=1&amp;query=-12.317958,-76.82431","Punta Hermosa, Lima")</f>
      </c>
      <c r="N359">
        <v>0</v>
      </c>
      <c r="O359">
        <v>100</v>
      </c>
      <c r="P359">
        <v>22686.2</v>
      </c>
      <c r="Q359" t="str">
        <v>123.35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CKL-718</v>
      </c>
      <c r="D360" t="str">
        <v>CKL-718</v>
      </c>
      <c r="E360" t="str">
        <v/>
      </c>
      <c r="F360" t="str">
        <v>867162029820636</v>
      </c>
      <c r="G360" t="str">
        <v>TBD</v>
      </c>
      <c r="H360" t="str">
        <v/>
      </c>
      <c r="I360" t="str">
        <v>28/09/2026</v>
      </c>
      <c r="J360" t="str">
        <v>16:08:22</v>
      </c>
      <c r="K360">
        <v>-12.318019</v>
      </c>
      <c r="L360">
        <v>-76.824265</v>
      </c>
      <c r="M360">
        <f>HYPERLINK("https://www.google.com/maps/search/?api=1&amp;query=-12.318019,-76.824265","Punta Hermosa, Lima")</f>
      </c>
      <c r="N360">
        <v>5.1</v>
      </c>
      <c r="O360">
        <v>100</v>
      </c>
      <c r="P360">
        <v>22686.2</v>
      </c>
      <c r="Q360" t="str">
        <v>123.35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CKL-718</v>
      </c>
      <c r="D361" t="str">
        <v>CKL-718</v>
      </c>
      <c r="E361" t="str">
        <v/>
      </c>
      <c r="F361" t="str">
        <v>867162029820636</v>
      </c>
      <c r="G361" t="str">
        <v>TBD</v>
      </c>
      <c r="H361" t="str">
        <v/>
      </c>
      <c r="I361" t="str">
        <v>28/09/2026</v>
      </c>
      <c r="J361" t="str">
        <v>16:08:58</v>
      </c>
      <c r="K361">
        <v>-12.318105</v>
      </c>
      <c r="L361">
        <v>-76.82422</v>
      </c>
      <c r="M361">
        <f>HYPERLINK("https://www.google.com/maps/search/?api=1&amp;query=-12.318105,-76.82422","Punta Hermosa, Lima")</f>
      </c>
      <c r="N361">
        <v>0</v>
      </c>
      <c r="O361">
        <v>100</v>
      </c>
      <c r="P361">
        <v>22686.2</v>
      </c>
      <c r="Q361" t="str">
        <v>123.35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CKL-718</v>
      </c>
      <c r="D362" t="str">
        <v>CKL-718</v>
      </c>
      <c r="E362" t="str">
        <v/>
      </c>
      <c r="F362" t="str">
        <v>867162029820636</v>
      </c>
      <c r="G362" t="str">
        <v>TBD</v>
      </c>
      <c r="H362" t="str">
        <v/>
      </c>
      <c r="I362" t="str">
        <v>28/09/2026</v>
      </c>
      <c r="J362" t="str">
        <v>16:09:58</v>
      </c>
      <c r="K362">
        <v>-12.318105</v>
      </c>
      <c r="L362">
        <v>-76.82422</v>
      </c>
      <c r="M362">
        <f>HYPERLINK("https://www.google.com/maps/search/?api=1&amp;query=-12.318105,-76.82422","Punta Hermosa, Lima")</f>
      </c>
      <c r="N362">
        <v>0</v>
      </c>
      <c r="O362">
        <v>100</v>
      </c>
      <c r="P362">
        <v>22686.2</v>
      </c>
      <c r="Q362" t="str">
        <v>123.35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CKL-718</v>
      </c>
      <c r="D363" t="str">
        <v>CKL-718</v>
      </c>
      <c r="E363" t="str">
        <v/>
      </c>
      <c r="F363" t="str">
        <v>867162029820636</v>
      </c>
      <c r="G363" t="str">
        <v>TBD</v>
      </c>
      <c r="H363" t="str">
        <v/>
      </c>
      <c r="I363" t="str">
        <v>28/09/2026</v>
      </c>
      <c r="J363" t="str">
        <v>16:10:58</v>
      </c>
      <c r="K363">
        <v>-12.318105</v>
      </c>
      <c r="L363">
        <v>-76.82422</v>
      </c>
      <c r="M363">
        <f>HYPERLINK("https://www.google.com/maps/search/?api=1&amp;query=-12.318105,-76.82422","Punta Hermosa, Lima")</f>
      </c>
      <c r="N363">
        <v>0</v>
      </c>
      <c r="O363">
        <v>100</v>
      </c>
      <c r="P363">
        <v>22686.2</v>
      </c>
      <c r="Q363" t="str">
        <v>123.35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CKL-718</v>
      </c>
      <c r="D364" t="str">
        <v>CKL-718</v>
      </c>
      <c r="E364" t="str">
        <v/>
      </c>
      <c r="F364" t="str">
        <v>867162029820636</v>
      </c>
      <c r="G364" t="str">
        <v>TBD</v>
      </c>
      <c r="H364" t="str">
        <v/>
      </c>
      <c r="I364" t="str">
        <v>28/09/2026</v>
      </c>
      <c r="J364" t="str">
        <v>16:11:58</v>
      </c>
      <c r="K364">
        <v>-12.318105</v>
      </c>
      <c r="L364">
        <v>-76.82422</v>
      </c>
      <c r="M364">
        <f>HYPERLINK("https://www.google.com/maps/search/?api=1&amp;query=-12.318105,-76.82422","Punta Hermosa, Lima")</f>
      </c>
      <c r="N364">
        <v>0</v>
      </c>
      <c r="O364">
        <v>100</v>
      </c>
      <c r="P364">
        <v>22686.2</v>
      </c>
      <c r="Q364" t="str">
        <v>123.35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CKL-718</v>
      </c>
      <c r="D365" t="str">
        <v>CKL-718</v>
      </c>
      <c r="E365" t="str">
        <v/>
      </c>
      <c r="F365" t="str">
        <v>867162029820636</v>
      </c>
      <c r="G365" t="str">
        <v>TBD</v>
      </c>
      <c r="H365" t="str">
        <v/>
      </c>
      <c r="I365" t="str">
        <v>28/09/2026</v>
      </c>
      <c r="J365" t="str">
        <v>16:12:40</v>
      </c>
      <c r="K365">
        <v>-12.318105</v>
      </c>
      <c r="L365">
        <v>-76.82422</v>
      </c>
      <c r="M365">
        <f>HYPERLINK("https://www.google.com/maps/search/?api=1&amp;query=-12.318105,-76.82422","Punta Hermosa, Lima")</f>
      </c>
      <c r="N365">
        <v>0</v>
      </c>
      <c r="O365">
        <v>100</v>
      </c>
      <c r="P365">
        <v>22686.2</v>
      </c>
      <c r="Q365" t="str">
        <v>123.35</v>
      </c>
      <c r="R365" t="str">
        <v>Inicio de ralentí</v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CKL-718</v>
      </c>
      <c r="D366" t="str">
        <v>CKL-718</v>
      </c>
      <c r="E366" t="str">
        <v/>
      </c>
      <c r="F366" t="str">
        <v>867162029820636</v>
      </c>
      <c r="G366" t="str">
        <v>TBD</v>
      </c>
      <c r="H366" t="str">
        <v/>
      </c>
      <c r="I366" t="str">
        <v>28/09/2026</v>
      </c>
      <c r="J366" t="str">
        <v>16:12:58</v>
      </c>
      <c r="K366">
        <v>-12.318105</v>
      </c>
      <c r="L366">
        <v>-76.82422</v>
      </c>
      <c r="M366">
        <f>HYPERLINK("https://www.google.com/maps/search/?api=1&amp;query=-12.318105,-76.82422","Punta Hermosa, Lima")</f>
      </c>
      <c r="N366">
        <v>0</v>
      </c>
      <c r="O366">
        <v>100</v>
      </c>
      <c r="P366">
        <v>22686.2</v>
      </c>
      <c r="Q366" t="str">
        <v>123.35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CKL-718</v>
      </c>
      <c r="D367" t="str">
        <v>CKL-718</v>
      </c>
      <c r="E367" t="str">
        <v/>
      </c>
      <c r="F367" t="str">
        <v>867162029820636</v>
      </c>
      <c r="G367" t="str">
        <v>TBD</v>
      </c>
      <c r="H367" t="str">
        <v/>
      </c>
      <c r="I367" t="str">
        <v>28/09/2026</v>
      </c>
      <c r="J367" t="str">
        <v>16:13:58</v>
      </c>
      <c r="K367">
        <v>-12.318105</v>
      </c>
      <c r="L367">
        <v>-76.82422</v>
      </c>
      <c r="M367">
        <f>HYPERLINK("https://www.google.com/maps/search/?api=1&amp;query=-12.318105,-76.82422","Punta Hermosa, Lima")</f>
      </c>
      <c r="N367">
        <v>0</v>
      </c>
      <c r="O367">
        <v>100</v>
      </c>
      <c r="P367">
        <v>22686.2</v>
      </c>
      <c r="Q367" t="str">
        <v>123.35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CKL-718</v>
      </c>
      <c r="D368" t="str">
        <v>CKL-718</v>
      </c>
      <c r="E368" t="str">
        <v/>
      </c>
      <c r="F368" t="str">
        <v>867162029820636</v>
      </c>
      <c r="G368" t="str">
        <v>TBD</v>
      </c>
      <c r="H368" t="str">
        <v/>
      </c>
      <c r="I368" t="str">
        <v>28/09/2026</v>
      </c>
      <c r="J368" t="str">
        <v>16:14:58</v>
      </c>
      <c r="K368">
        <v>-12.318105</v>
      </c>
      <c r="L368">
        <v>-76.82422</v>
      </c>
      <c r="M368">
        <f>HYPERLINK("https://www.google.com/maps/search/?api=1&amp;query=-12.318105,-76.82422","Punta Hermosa, Lima")</f>
      </c>
      <c r="N368">
        <v>0</v>
      </c>
      <c r="O368">
        <v>100</v>
      </c>
      <c r="P368">
        <v>22686.2</v>
      </c>
      <c r="Q368" t="str">
        <v>123.35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CKL-718</v>
      </c>
      <c r="D369" t="str">
        <v>CKL-718</v>
      </c>
      <c r="E369" t="str">
        <v/>
      </c>
      <c r="F369" t="str">
        <v>867162029820636</v>
      </c>
      <c r="G369" t="str">
        <v>TBD</v>
      </c>
      <c r="H369" t="str">
        <v/>
      </c>
      <c r="I369" t="str">
        <v>28/09/2026</v>
      </c>
      <c r="J369" t="str">
        <v>16:15:58</v>
      </c>
      <c r="K369">
        <v>-12.318105</v>
      </c>
      <c r="L369">
        <v>-76.82422</v>
      </c>
      <c r="M369">
        <f>HYPERLINK("https://www.google.com/maps/search/?api=1&amp;query=-12.318105,-76.82422","Punta Hermosa, Lima")</f>
      </c>
      <c r="N369">
        <v>0</v>
      </c>
      <c r="O369">
        <v>100</v>
      </c>
      <c r="P369">
        <v>22686.2</v>
      </c>
      <c r="Q369" t="str">
        <v>123.35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CKL-718</v>
      </c>
      <c r="D370" t="str">
        <v>CKL-718</v>
      </c>
      <c r="E370" t="str">
        <v/>
      </c>
      <c r="F370" t="str">
        <v>867162029820636</v>
      </c>
      <c r="G370" t="str">
        <v>TBD</v>
      </c>
      <c r="H370" t="str">
        <v/>
      </c>
      <c r="I370" t="str">
        <v>28/09/2026</v>
      </c>
      <c r="J370" t="str">
        <v>16:16:58</v>
      </c>
      <c r="K370">
        <v>-12.318105</v>
      </c>
      <c r="L370">
        <v>-76.82422</v>
      </c>
      <c r="M370">
        <f>HYPERLINK("https://www.google.com/maps/search/?api=1&amp;query=-12.318105,-76.82422","Punta Hermosa, Lima")</f>
      </c>
      <c r="N370">
        <v>0</v>
      </c>
      <c r="O370">
        <v>100</v>
      </c>
      <c r="P370">
        <v>22686.2</v>
      </c>
      <c r="Q370" t="str">
        <v>123.35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CKL-718</v>
      </c>
      <c r="D371" t="str">
        <v>CKL-718</v>
      </c>
      <c r="E371" t="str">
        <v/>
      </c>
      <c r="F371" t="str">
        <v>867162029820636</v>
      </c>
      <c r="G371" t="str">
        <v>TBD</v>
      </c>
      <c r="H371" t="str">
        <v/>
      </c>
      <c r="I371" t="str">
        <v>28/09/2026</v>
      </c>
      <c r="J371" t="str">
        <v>16:17:58</v>
      </c>
      <c r="K371">
        <v>-12.318105</v>
      </c>
      <c r="L371">
        <v>-76.82422</v>
      </c>
      <c r="M371">
        <f>HYPERLINK("https://www.google.com/maps/search/?api=1&amp;query=-12.318105,-76.82422","Punta Hermosa, Lima")</f>
      </c>
      <c r="N371">
        <v>0</v>
      </c>
      <c r="O371">
        <v>100</v>
      </c>
      <c r="P371">
        <v>22686.2</v>
      </c>
      <c r="Q371" t="str">
        <v>123.35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CKL-718</v>
      </c>
      <c r="D372" t="str">
        <v>CKL-718</v>
      </c>
      <c r="E372" t="str">
        <v/>
      </c>
      <c r="F372" t="str">
        <v>867162029820636</v>
      </c>
      <c r="G372" t="str">
        <v>TBD</v>
      </c>
      <c r="H372" t="str">
        <v/>
      </c>
      <c r="I372" t="str">
        <v>28/09/2026</v>
      </c>
      <c r="J372" t="str">
        <v>16:18:58</v>
      </c>
      <c r="K372">
        <v>-12.318105</v>
      </c>
      <c r="L372">
        <v>-76.82422</v>
      </c>
      <c r="M372">
        <f>HYPERLINK("https://www.google.com/maps/search/?api=1&amp;query=-12.318105,-76.82422","Punta Hermosa, Lima")</f>
      </c>
      <c r="N372">
        <v>0</v>
      </c>
      <c r="O372">
        <v>100</v>
      </c>
      <c r="P372">
        <v>22686.2</v>
      </c>
      <c r="Q372" t="str">
        <v>123.35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CKL-718</v>
      </c>
      <c r="D373" t="str">
        <v>CKL-718</v>
      </c>
      <c r="E373" t="str">
        <v/>
      </c>
      <c r="F373" t="str">
        <v>867162029820636</v>
      </c>
      <c r="G373" t="str">
        <v>TBD</v>
      </c>
      <c r="H373" t="str">
        <v/>
      </c>
      <c r="I373" t="str">
        <v>28/09/2026</v>
      </c>
      <c r="J373" t="str">
        <v>16:19:57</v>
      </c>
      <c r="K373">
        <v>-12.318105</v>
      </c>
      <c r="L373">
        <v>-76.82422</v>
      </c>
      <c r="M373">
        <f>HYPERLINK("https://www.google.com/maps/search/?api=1&amp;query=-12.318105,-76.82422","Punta Hermosa, Lima")</f>
      </c>
      <c r="N373">
        <v>0</v>
      </c>
      <c r="O373">
        <v>100</v>
      </c>
      <c r="P373">
        <v>22686.2</v>
      </c>
      <c r="Q373" t="str">
        <v>123.57</v>
      </c>
      <c r="R373" t="str">
        <v>Vehículo apagado</v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CKL-718</v>
      </c>
      <c r="D374" t="str">
        <v>CKL-718</v>
      </c>
      <c r="E374" t="str">
        <v/>
      </c>
      <c r="F374" t="str">
        <v>867162029820636</v>
      </c>
      <c r="G374" t="str">
        <v>TBD</v>
      </c>
      <c r="H374" t="str">
        <v/>
      </c>
      <c r="I374" t="str">
        <v>28/09/2026</v>
      </c>
      <c r="J374" t="str">
        <v>16:20:01</v>
      </c>
      <c r="K374">
        <v>-12.318105</v>
      </c>
      <c r="L374">
        <v>-76.82422</v>
      </c>
      <c r="M374">
        <f>HYPERLINK("https://www.google.com/maps/search/?api=1&amp;query=-12.318105,-76.82422","Punta Hermosa, Lima")</f>
      </c>
      <c r="N374">
        <v>0</v>
      </c>
      <c r="O374">
        <v>100</v>
      </c>
      <c r="P374">
        <v>22686.2</v>
      </c>
      <c r="Q374" t="str">
        <v>123.35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CKL-718</v>
      </c>
      <c r="D375" t="str">
        <v>CKL-718</v>
      </c>
      <c r="E375" t="str">
        <v/>
      </c>
      <c r="F375" t="str">
        <v>867162029820636</v>
      </c>
      <c r="G375" t="str">
        <v>TBD</v>
      </c>
      <c r="H375" t="str">
        <v/>
      </c>
      <c r="I375" t="str">
        <v>28/09/2026</v>
      </c>
      <c r="J375" t="str">
        <v>16:20:56</v>
      </c>
      <c r="K375">
        <v>-12.318105</v>
      </c>
      <c r="L375">
        <v>-76.82422</v>
      </c>
      <c r="M375">
        <f>HYPERLINK("https://www.google.com/maps/search/?api=1&amp;query=-12.318105,-76.82422","Punta Hermosa, Lima")</f>
      </c>
      <c r="N375">
        <v>0</v>
      </c>
      <c r="O375">
        <v>100</v>
      </c>
      <c r="P375">
        <v>22686.2</v>
      </c>
      <c r="Q375" t="str">
        <v>123.57</v>
      </c>
      <c r="R375" t="str">
        <v>Fin de ralentí</v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CKL-718</v>
      </c>
      <c r="D376" t="str">
        <v>CKL-718</v>
      </c>
      <c r="E376" t="str">
        <v/>
      </c>
      <c r="F376" t="str">
        <v>867162029820636</v>
      </c>
      <c r="G376" t="str">
        <v>TBD</v>
      </c>
      <c r="H376" t="str">
        <v/>
      </c>
      <c r="I376" t="str">
        <v>28/09/2026</v>
      </c>
      <c r="J376" t="str">
        <v>16:29:55</v>
      </c>
      <c r="K376">
        <v>-12.318105</v>
      </c>
      <c r="L376">
        <v>-76.82422</v>
      </c>
      <c r="M376">
        <f>HYPERLINK("https://www.google.com/maps/search/?api=1&amp;query=-12.318105,-76.82422","Punta Hermosa, Lima")</f>
      </c>
      <c r="N376">
        <v>0</v>
      </c>
      <c r="O376">
        <v>100</v>
      </c>
      <c r="P376">
        <v>22686.2</v>
      </c>
      <c r="Q376" t="str">
        <v>123.57</v>
      </c>
      <c r="R376" t="str">
        <v>Vehículo encendido</v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CKL-718</v>
      </c>
      <c r="D377" t="str">
        <v>CKL-718</v>
      </c>
      <c r="E377" t="str">
        <v/>
      </c>
      <c r="F377" t="str">
        <v>867162029820636</v>
      </c>
      <c r="G377" t="str">
        <v>TBD</v>
      </c>
      <c r="H377" t="str">
        <v/>
      </c>
      <c r="I377" t="str">
        <v>28/09/2026</v>
      </c>
      <c r="J377" t="str">
        <v>16:30:01</v>
      </c>
      <c r="K377">
        <v>-12.318145</v>
      </c>
      <c r="L377">
        <v>-76.82419</v>
      </c>
      <c r="M377">
        <f>HYPERLINK("https://www.google.com/maps/search/?api=1&amp;query=-12.318145,-76.82419","Punta Hermosa, Lima")</f>
      </c>
      <c r="N377">
        <v>0.1</v>
      </c>
      <c r="O377">
        <v>100</v>
      </c>
      <c r="P377">
        <v>22686.2</v>
      </c>
      <c r="Q377" t="str">
        <v>123.57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CKL-718</v>
      </c>
      <c r="D378" t="str">
        <v>CKL-718</v>
      </c>
      <c r="E378" t="str">
        <v/>
      </c>
      <c r="F378" t="str">
        <v>867162029820636</v>
      </c>
      <c r="G378" t="str">
        <v>TBD</v>
      </c>
      <c r="H378" t="str">
        <v/>
      </c>
      <c r="I378" t="str">
        <v>28/09/2026</v>
      </c>
      <c r="J378" t="str">
        <v>16:30:03</v>
      </c>
      <c r="K378">
        <v>-12.318145</v>
      </c>
      <c r="L378">
        <v>-76.82419</v>
      </c>
      <c r="M378">
        <f>HYPERLINK("https://www.google.com/maps/search/?api=1&amp;query=-12.318145,-76.82419","Punta Hermosa, Lima")</f>
      </c>
      <c r="N378">
        <v>0</v>
      </c>
      <c r="O378">
        <v>100</v>
      </c>
      <c r="P378">
        <v>22686.2</v>
      </c>
      <c r="Q378" t="str">
        <v>123.57</v>
      </c>
      <c r="R378" t="str">
        <v>Vehículo apagado</v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CKL-718</v>
      </c>
      <c r="D379" t="str">
        <v>CKL-718</v>
      </c>
      <c r="E379" t="str">
        <v/>
      </c>
      <c r="F379" t="str">
        <v>867162029820636</v>
      </c>
      <c r="G379" t="str">
        <v>TBD</v>
      </c>
      <c r="H379" t="str">
        <v/>
      </c>
      <c r="I379" t="str">
        <v>28/09/2026</v>
      </c>
      <c r="J379" t="str">
        <v>16:30:06</v>
      </c>
      <c r="K379">
        <v>-12.318145</v>
      </c>
      <c r="L379">
        <v>-76.82419</v>
      </c>
      <c r="M379">
        <f>HYPERLINK("https://www.google.com/maps/search/?api=1&amp;query=-12.318145,-76.82419","Punta Hermosa, Lima")</f>
      </c>
      <c r="N379">
        <v>0</v>
      </c>
      <c r="O379">
        <v>100</v>
      </c>
      <c r="P379">
        <v>22686.2</v>
      </c>
      <c r="Q379" t="str">
        <v>123.57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CKL-718</v>
      </c>
      <c r="D380" t="str">
        <v>CKL-718</v>
      </c>
      <c r="E380" t="str">
        <v/>
      </c>
      <c r="F380" t="str">
        <v>867162029820636</v>
      </c>
      <c r="G380" t="str">
        <v>TBD</v>
      </c>
      <c r="H380" t="str">
        <v/>
      </c>
      <c r="I380" t="str">
        <v>28/09/2026</v>
      </c>
      <c r="J380" t="str">
        <v>16:39:28</v>
      </c>
      <c r="K380">
        <v>-12.318145</v>
      </c>
      <c r="L380">
        <v>-76.82419</v>
      </c>
      <c r="M380">
        <f>HYPERLINK("https://www.google.com/maps/search/?api=1&amp;query=-12.318145,-76.82419","Punta Hermosa, Lima")</f>
      </c>
      <c r="N380">
        <v>0</v>
      </c>
      <c r="O380">
        <v>100</v>
      </c>
      <c r="P380">
        <v>22686.2</v>
      </c>
      <c r="Q380" t="str">
        <v>123.57</v>
      </c>
      <c r="R380" t="str">
        <v>Vehículo encendido</v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CKL-718</v>
      </c>
      <c r="D381" t="str">
        <v>CKL-718</v>
      </c>
      <c r="E381" t="str">
        <v/>
      </c>
      <c r="F381" t="str">
        <v>867162029820636</v>
      </c>
      <c r="G381" t="str">
        <v>TBD</v>
      </c>
      <c r="H381" t="str">
        <v/>
      </c>
      <c r="I381" t="str">
        <v>28/09/2026</v>
      </c>
      <c r="J381" t="str">
        <v>16:39:35</v>
      </c>
      <c r="K381">
        <v>-12.318174</v>
      </c>
      <c r="L381">
        <v>-76.82425</v>
      </c>
      <c r="M381">
        <f>HYPERLINK("https://www.google.com/maps/search/?api=1&amp;query=-12.318174,-76.82425","Punta Hermosa, Lima")</f>
      </c>
      <c r="N381">
        <v>0.5</v>
      </c>
      <c r="O381">
        <v>100</v>
      </c>
      <c r="P381">
        <v>22686.2</v>
      </c>
      <c r="Q381" t="str">
        <v>123.57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CKL-718</v>
      </c>
      <c r="D382" t="str">
        <v>CKL-718</v>
      </c>
      <c r="E382" t="str">
        <v/>
      </c>
      <c r="F382" t="str">
        <v>867162029820636</v>
      </c>
      <c r="G382" t="str">
        <v>TBD</v>
      </c>
      <c r="H382" t="str">
        <v/>
      </c>
      <c r="I382" t="str">
        <v>28/09/2026</v>
      </c>
      <c r="J382" t="str">
        <v>16:40:17</v>
      </c>
      <c r="K382">
        <v>-12.317962</v>
      </c>
      <c r="L382">
        <v>-76.824295</v>
      </c>
      <c r="M382">
        <f>HYPERLINK("https://www.google.com/maps/search/?api=1&amp;query=-12.317962,-76.824295","Punta Hermosa, Lima")</f>
      </c>
      <c r="N382">
        <v>6.9</v>
      </c>
      <c r="O382">
        <v>100</v>
      </c>
      <c r="P382">
        <v>22686.2</v>
      </c>
      <c r="Q382" t="str">
        <v>123.57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CKL-718</v>
      </c>
      <c r="D383" t="str">
        <v>CKL-718</v>
      </c>
      <c r="E383" t="str">
        <v/>
      </c>
      <c r="F383" t="str">
        <v>867162029820636</v>
      </c>
      <c r="G383" t="str">
        <v>TBD</v>
      </c>
      <c r="H383" t="str">
        <v/>
      </c>
      <c r="I383" t="str">
        <v>28/09/2026</v>
      </c>
      <c r="J383" t="str">
        <v>16:40:19</v>
      </c>
      <c r="K383">
        <v>-12.317974</v>
      </c>
      <c r="L383">
        <v>-76.82433</v>
      </c>
      <c r="M383">
        <f>HYPERLINK("https://www.google.com/maps/search/?api=1&amp;query=-12.317974,-76.82433","Punta Hermosa, Lima")</f>
      </c>
      <c r="N383">
        <v>5.7</v>
      </c>
      <c r="O383">
        <v>100</v>
      </c>
      <c r="P383">
        <v>22686.2</v>
      </c>
      <c r="Q383" t="str">
        <v>123.57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CKL-718</v>
      </c>
      <c r="D384" t="str">
        <v>CKL-718</v>
      </c>
      <c r="E384" t="str">
        <v/>
      </c>
      <c r="F384" t="str">
        <v>867162029820636</v>
      </c>
      <c r="G384" t="str">
        <v>TBD</v>
      </c>
      <c r="H384" t="str">
        <v/>
      </c>
      <c r="I384" t="str">
        <v>28/09/2026</v>
      </c>
      <c r="J384" t="str">
        <v>16:40:34</v>
      </c>
      <c r="K384">
        <v>-12.317981</v>
      </c>
      <c r="L384">
        <v>-76.8243</v>
      </c>
      <c r="M384">
        <f>HYPERLINK("https://www.google.com/maps/search/?api=1&amp;query=-12.317981,-76.8243","Punta Hermosa, Lima")</f>
      </c>
      <c r="N384">
        <v>1.8</v>
      </c>
      <c r="O384">
        <v>100</v>
      </c>
      <c r="P384">
        <v>22686.2</v>
      </c>
      <c r="Q384" t="str">
        <v>123.57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CKL-718</v>
      </c>
      <c r="D385" t="str">
        <v>CKL-718</v>
      </c>
      <c r="E385" t="str">
        <v/>
      </c>
      <c r="F385" t="str">
        <v>867162029820636</v>
      </c>
      <c r="G385" t="str">
        <v>TBD</v>
      </c>
      <c r="H385" t="str">
        <v/>
      </c>
      <c r="I385" t="str">
        <v>28/09/2026</v>
      </c>
      <c r="J385" t="str">
        <v>16:41:35</v>
      </c>
      <c r="K385">
        <v>-12.317966</v>
      </c>
      <c r="L385">
        <v>-76.82428</v>
      </c>
      <c r="M385">
        <f>HYPERLINK("https://www.google.com/maps/search/?api=1&amp;query=-12.317966,-76.82428","Punta Hermosa, Lima")</f>
      </c>
      <c r="N385">
        <v>0</v>
      </c>
      <c r="O385">
        <v>100</v>
      </c>
      <c r="P385">
        <v>22686.2</v>
      </c>
      <c r="Q385" t="str">
        <v>123.57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CKL-718</v>
      </c>
      <c r="D386" t="str">
        <v>CKL-718</v>
      </c>
      <c r="E386" t="str">
        <v/>
      </c>
      <c r="F386" t="str">
        <v>867162029820636</v>
      </c>
      <c r="G386" t="str">
        <v>TBD</v>
      </c>
      <c r="H386" t="str">
        <v/>
      </c>
      <c r="I386" t="str">
        <v>28/09/2026</v>
      </c>
      <c r="J386" t="str">
        <v>16:42:35</v>
      </c>
      <c r="K386">
        <v>-12.317966</v>
      </c>
      <c r="L386">
        <v>-76.82428</v>
      </c>
      <c r="M386">
        <f>HYPERLINK("https://www.google.com/maps/search/?api=1&amp;query=-12.317966,-76.82428","Punta Hermosa, Lima")</f>
      </c>
      <c r="N386">
        <v>0</v>
      </c>
      <c r="O386">
        <v>100</v>
      </c>
      <c r="P386">
        <v>22686.2</v>
      </c>
      <c r="Q386" t="str">
        <v>123.57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CKL-718</v>
      </c>
      <c r="D387" t="str">
        <v>CKL-718</v>
      </c>
      <c r="E387" t="str">
        <v/>
      </c>
      <c r="F387" t="str">
        <v>867162029820636</v>
      </c>
      <c r="G387" t="str">
        <v>TBD</v>
      </c>
      <c r="H387" t="str">
        <v/>
      </c>
      <c r="I387" t="str">
        <v>28/09/2026</v>
      </c>
      <c r="J387" t="str">
        <v>16:43:35</v>
      </c>
      <c r="K387">
        <v>-12.317966</v>
      </c>
      <c r="L387">
        <v>-76.82428</v>
      </c>
      <c r="M387">
        <f>HYPERLINK("https://www.google.com/maps/search/?api=1&amp;query=-12.317966,-76.82428","Punta Hermosa, Lima")</f>
      </c>
      <c r="N387">
        <v>0</v>
      </c>
      <c r="O387">
        <v>100</v>
      </c>
      <c r="P387">
        <v>22686.2</v>
      </c>
      <c r="Q387" t="str">
        <v>123.57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CKL-718</v>
      </c>
      <c r="D388" t="str">
        <v>CKL-718</v>
      </c>
      <c r="E388" t="str">
        <v/>
      </c>
      <c r="F388" t="str">
        <v>867162029820636</v>
      </c>
      <c r="G388" t="str">
        <v>TBD</v>
      </c>
      <c r="H388" t="str">
        <v/>
      </c>
      <c r="I388" t="str">
        <v>28/09/2026</v>
      </c>
      <c r="J388" t="str">
        <v>16:44:35</v>
      </c>
      <c r="K388">
        <v>-12.317966</v>
      </c>
      <c r="L388">
        <v>-76.82428</v>
      </c>
      <c r="M388">
        <f>HYPERLINK("https://www.google.com/maps/search/?api=1&amp;query=-12.317966,-76.82428","Punta Hermosa, Lima")</f>
      </c>
      <c r="N388">
        <v>0</v>
      </c>
      <c r="O388">
        <v>100</v>
      </c>
      <c r="P388">
        <v>22686.2</v>
      </c>
      <c r="Q388" t="str">
        <v>123.57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CKL-718</v>
      </c>
      <c r="D389" t="str">
        <v>CKL-718</v>
      </c>
      <c r="E389" t="str">
        <v/>
      </c>
      <c r="F389" t="str">
        <v>867162029820636</v>
      </c>
      <c r="G389" t="str">
        <v>TBD</v>
      </c>
      <c r="H389" t="str">
        <v/>
      </c>
      <c r="I389" t="str">
        <v>28/09/2026</v>
      </c>
      <c r="J389" t="str">
        <v>16:45:35</v>
      </c>
      <c r="K389">
        <v>-12.317966</v>
      </c>
      <c r="L389">
        <v>-76.82428</v>
      </c>
      <c r="M389">
        <f>HYPERLINK("https://www.google.com/maps/search/?api=1&amp;query=-12.317966,-76.82428","Punta Hermosa, Lima")</f>
      </c>
      <c r="N389">
        <v>0</v>
      </c>
      <c r="O389">
        <v>100</v>
      </c>
      <c r="P389">
        <v>22686.2</v>
      </c>
      <c r="Q389" t="str">
        <v>123.57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CKL-718</v>
      </c>
      <c r="D390" t="str">
        <v>CKL-718</v>
      </c>
      <c r="E390" t="str">
        <v/>
      </c>
      <c r="F390" t="str">
        <v>867162029820636</v>
      </c>
      <c r="G390" t="str">
        <v>TBD</v>
      </c>
      <c r="H390" t="str">
        <v/>
      </c>
      <c r="I390" t="str">
        <v>28/09/2026</v>
      </c>
      <c r="J390" t="str">
        <v>16:46:35</v>
      </c>
      <c r="K390">
        <v>-12.317966</v>
      </c>
      <c r="L390">
        <v>-76.82428</v>
      </c>
      <c r="M390">
        <f>HYPERLINK("https://www.google.com/maps/search/?api=1&amp;query=-12.317966,-76.82428","Punta Hermosa, Lima")</f>
      </c>
      <c r="N390">
        <v>0</v>
      </c>
      <c r="O390">
        <v>100</v>
      </c>
      <c r="P390">
        <v>22686.2</v>
      </c>
      <c r="Q390" t="str">
        <v>123.57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CKL-718</v>
      </c>
      <c r="D391" t="str">
        <v>CKL-718</v>
      </c>
      <c r="E391" t="str">
        <v/>
      </c>
      <c r="F391" t="str">
        <v>867162029820636</v>
      </c>
      <c r="G391" t="str">
        <v>TBD</v>
      </c>
      <c r="H391" t="str">
        <v/>
      </c>
      <c r="I391" t="str">
        <v>28/09/2026</v>
      </c>
      <c r="J391" t="str">
        <v>16:46:56</v>
      </c>
      <c r="K391">
        <v>-12.317966</v>
      </c>
      <c r="L391">
        <v>-76.82428</v>
      </c>
      <c r="M391">
        <f>HYPERLINK("https://www.google.com/maps/search/?api=1&amp;query=-12.317966,-76.82428","Punta Hermosa, Lima")</f>
      </c>
      <c r="N391">
        <v>0</v>
      </c>
      <c r="O391">
        <v>100</v>
      </c>
      <c r="P391">
        <v>22686.2</v>
      </c>
      <c r="Q391" t="str">
        <v>123.68</v>
      </c>
      <c r="R391" t="str">
        <v>Vehículo apagado</v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CKL-718</v>
      </c>
      <c r="D392" t="str">
        <v>CKL-718</v>
      </c>
      <c r="E392" t="str">
        <v/>
      </c>
      <c r="F392" t="str">
        <v>867162029820636</v>
      </c>
      <c r="G392" t="str">
        <v>TBD</v>
      </c>
      <c r="H392" t="str">
        <v/>
      </c>
      <c r="I392" t="str">
        <v>28/09/2026</v>
      </c>
      <c r="J392" t="str">
        <v>16:47:00</v>
      </c>
      <c r="K392">
        <v>-12.317966</v>
      </c>
      <c r="L392">
        <v>-76.82428</v>
      </c>
      <c r="M392">
        <f>HYPERLINK("https://www.google.com/maps/search/?api=1&amp;query=-12.317966,-76.82428","Punta Hermosa, Lima")</f>
      </c>
      <c r="N392">
        <v>0</v>
      </c>
      <c r="O392">
        <v>100</v>
      </c>
      <c r="P392">
        <v>22686.2</v>
      </c>
      <c r="Q392" t="str">
        <v>123.68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CKL-718</v>
      </c>
      <c r="D393" t="str">
        <v>CKL-718</v>
      </c>
      <c r="E393" t="str">
        <v/>
      </c>
      <c r="F393" t="str">
        <v>867162029820636</v>
      </c>
      <c r="G393" t="str">
        <v>TBD</v>
      </c>
      <c r="H393" t="str">
        <v/>
      </c>
      <c r="I393" t="str">
        <v>28/09/2026</v>
      </c>
      <c r="J393" t="str">
        <v>16:47:38</v>
      </c>
      <c r="K393">
        <v>-12.31789</v>
      </c>
      <c r="L393">
        <v>-76.82416</v>
      </c>
      <c r="M393">
        <f>HYPERLINK("https://www.google.com/maps/search/?api=1&amp;query=-12.31789,-76.82416","Punta Hermosa, Lima")</f>
      </c>
      <c r="N393">
        <v>0</v>
      </c>
      <c r="O393">
        <v>100</v>
      </c>
      <c r="P393">
        <v>22686.2</v>
      </c>
      <c r="Q393" t="str">
        <v>123.68</v>
      </c>
      <c r="R393" t="str">
        <v>Vehículo encendido</v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CKL-718</v>
      </c>
      <c r="D394" t="str">
        <v>CKL-718</v>
      </c>
      <c r="E394" t="str">
        <v/>
      </c>
      <c r="F394" t="str">
        <v>867162029820636</v>
      </c>
      <c r="G394" t="str">
        <v>TBD</v>
      </c>
      <c r="H394" t="str">
        <v/>
      </c>
      <c r="I394" t="str">
        <v>28/09/2026</v>
      </c>
      <c r="J394" t="str">
        <v>16:47:43</v>
      </c>
      <c r="K394">
        <v>-12.31789</v>
      </c>
      <c r="L394">
        <v>-76.82416</v>
      </c>
      <c r="M394">
        <f>HYPERLINK("https://www.google.com/maps/search/?api=1&amp;query=-12.31789,-76.82416","Punta Hermosa, Lima")</f>
      </c>
      <c r="N394">
        <v>0</v>
      </c>
      <c r="O394">
        <v>100</v>
      </c>
      <c r="P394">
        <v>22686.2</v>
      </c>
      <c r="Q394" t="str">
        <v>123.68</v>
      </c>
      <c r="R394" t="str">
        <v>Vehículo apagado</v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CKL-718</v>
      </c>
      <c r="D395" t="str">
        <v>CKL-718</v>
      </c>
      <c r="E395" t="str">
        <v/>
      </c>
      <c r="F395" t="str">
        <v>867162029820636</v>
      </c>
      <c r="G395" t="str">
        <v>TBD</v>
      </c>
      <c r="H395" t="str">
        <v/>
      </c>
      <c r="I395" t="str">
        <v>28/09/2026</v>
      </c>
      <c r="J395" t="str">
        <v>16:47:46</v>
      </c>
      <c r="K395">
        <v>-12.31789</v>
      </c>
      <c r="L395">
        <v>-76.82416</v>
      </c>
      <c r="M395">
        <f>HYPERLINK("https://www.google.com/maps/search/?api=1&amp;query=-12.31789,-76.82416","Punta Hermosa, Lima")</f>
      </c>
      <c r="N395">
        <v>0</v>
      </c>
      <c r="O395">
        <v>100</v>
      </c>
      <c r="P395">
        <v>22686.2</v>
      </c>
      <c r="Q395" t="str">
        <v>123.68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CKL-718</v>
      </c>
      <c r="D396" t="str">
        <v>CKL-718</v>
      </c>
      <c r="E396" t="str">
        <v/>
      </c>
      <c r="F396" t="str">
        <v>867162029820636</v>
      </c>
      <c r="G396" t="str">
        <v>TBD</v>
      </c>
      <c r="H396" t="str">
        <v/>
      </c>
      <c r="I396" t="str">
        <v>28/09/2026</v>
      </c>
      <c r="J396" t="str">
        <v>17:17:45</v>
      </c>
      <c r="K396">
        <v>-12.31789</v>
      </c>
      <c r="L396">
        <v>-76.82416</v>
      </c>
      <c r="M396">
        <f>HYPERLINK("https://www.google.com/maps/search/?api=1&amp;query=-12.31789,-76.82416","Punta Hermosa, Lima")</f>
      </c>
      <c r="N396">
        <v>0</v>
      </c>
      <c r="O396">
        <v>100</v>
      </c>
      <c r="P396">
        <v>22686.2</v>
      </c>
      <c r="Q396" t="str">
        <v>123.68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CKL-718</v>
      </c>
      <c r="D397" t="str">
        <v>CKL-718</v>
      </c>
      <c r="E397" t="str">
        <v/>
      </c>
      <c r="F397" t="str">
        <v>867162029820636</v>
      </c>
      <c r="G397" t="str">
        <v>TBD</v>
      </c>
      <c r="H397" t="str">
        <v/>
      </c>
      <c r="I397" t="str">
        <v>28/09/2026</v>
      </c>
      <c r="J397" t="str">
        <v>17:47:50</v>
      </c>
      <c r="K397">
        <v>-12.31789</v>
      </c>
      <c r="L397">
        <v>-76.82416</v>
      </c>
      <c r="M397">
        <f>HYPERLINK("https://www.google.com/maps/search/?api=1&amp;query=-12.31789,-76.82416","Punta Hermosa, Lima")</f>
      </c>
      <c r="N397">
        <v>0</v>
      </c>
      <c r="O397">
        <v>100</v>
      </c>
      <c r="P397">
        <v>22686.2</v>
      </c>
      <c r="Q397" t="str">
        <v>123.68</v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CKL-718</v>
      </c>
      <c r="D398" t="str">
        <v>CKL-718</v>
      </c>
      <c r="E398" t="str">
        <v/>
      </c>
      <c r="F398" t="str">
        <v>867162029820636</v>
      </c>
      <c r="G398" t="str">
        <v>TBD</v>
      </c>
      <c r="H398" t="str">
        <v/>
      </c>
      <c r="I398" t="str">
        <v>28/09/2026</v>
      </c>
      <c r="J398" t="str">
        <v>17:55:35</v>
      </c>
      <c r="K398">
        <v>-12.31789</v>
      </c>
      <c r="L398">
        <v>-76.82416</v>
      </c>
      <c r="M398">
        <f>HYPERLINK("https://www.google.com/maps/search/?api=1&amp;query=-12.31789,-76.82416","Punta Hermosa, Lima")</f>
      </c>
      <c r="N398">
        <v>0</v>
      </c>
      <c r="O398">
        <v>100</v>
      </c>
      <c r="P398">
        <v>22686.2</v>
      </c>
      <c r="Q398" t="str">
        <v>123.68</v>
      </c>
      <c r="R398" t="str">
        <v>Vehículo encendido</v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CKL-718</v>
      </c>
      <c r="D399" t="str">
        <v>CKL-718</v>
      </c>
      <c r="E399" t="str">
        <v/>
      </c>
      <c r="F399" t="str">
        <v>867162029820636</v>
      </c>
      <c r="G399" t="str">
        <v>TBD</v>
      </c>
      <c r="H399" t="str">
        <v/>
      </c>
      <c r="I399" t="str">
        <v>28/09/2026</v>
      </c>
      <c r="J399" t="str">
        <v>17:55:42</v>
      </c>
      <c r="K399">
        <v>-12.317865</v>
      </c>
      <c r="L399">
        <v>-76.82418</v>
      </c>
      <c r="M399">
        <f>HYPERLINK("https://www.google.com/maps/search/?api=1&amp;query=-12.317865,-76.82418","Punta Hermosa, Lima")</f>
      </c>
      <c r="N399">
        <v>2</v>
      </c>
      <c r="O399">
        <v>100</v>
      </c>
      <c r="P399">
        <v>22686.2</v>
      </c>
      <c r="Q399" t="str">
        <v>123.68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CKL-718</v>
      </c>
      <c r="D400" t="str">
        <v>CKL-718</v>
      </c>
      <c r="E400" t="str">
        <v/>
      </c>
      <c r="F400" t="str">
        <v>867162029820636</v>
      </c>
      <c r="G400" t="str">
        <v>TBD</v>
      </c>
      <c r="H400" t="str">
        <v/>
      </c>
      <c r="I400" t="str">
        <v>28/09/2026</v>
      </c>
      <c r="J400" t="str">
        <v>17:56:41</v>
      </c>
      <c r="K400">
        <v>-12.317865</v>
      </c>
      <c r="L400">
        <v>-76.82412</v>
      </c>
      <c r="M400">
        <f>HYPERLINK("https://www.google.com/maps/search/?api=1&amp;query=-12.317865,-76.82412","Punta Hermosa, Lima")</f>
      </c>
      <c r="N400">
        <v>0</v>
      </c>
      <c r="O400">
        <v>100</v>
      </c>
      <c r="P400">
        <v>22686.2</v>
      </c>
      <c r="Q400" t="str">
        <v>123.68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CKL-718</v>
      </c>
      <c r="D401" t="str">
        <v>CKL-718</v>
      </c>
      <c r="E401" t="str">
        <v/>
      </c>
      <c r="F401" t="str">
        <v>867162029820636</v>
      </c>
      <c r="G401" t="str">
        <v>TBD</v>
      </c>
      <c r="H401" t="str">
        <v/>
      </c>
      <c r="I401" t="str">
        <v>28/09/2026</v>
      </c>
      <c r="J401" t="str">
        <v>17:57:41</v>
      </c>
      <c r="K401">
        <v>-12.317865</v>
      </c>
      <c r="L401">
        <v>-76.82412</v>
      </c>
      <c r="M401">
        <f>HYPERLINK("https://www.google.com/maps/search/?api=1&amp;query=-12.317865,-76.82412","Punta Hermosa, Lima")</f>
      </c>
      <c r="N401">
        <v>0</v>
      </c>
      <c r="O401">
        <v>100</v>
      </c>
      <c r="P401">
        <v>22686.2</v>
      </c>
      <c r="Q401" t="str">
        <v>123.68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CKL-718</v>
      </c>
      <c r="D402" t="str">
        <v>CKL-718</v>
      </c>
      <c r="E402" t="str">
        <v/>
      </c>
      <c r="F402" t="str">
        <v>867162029820636</v>
      </c>
      <c r="G402" t="str">
        <v>TBD</v>
      </c>
      <c r="H402" t="str">
        <v/>
      </c>
      <c r="I402" t="str">
        <v>28/09/2026</v>
      </c>
      <c r="J402" t="str">
        <v>17:58:42</v>
      </c>
      <c r="K402">
        <v>-12.317865</v>
      </c>
      <c r="L402">
        <v>-76.82412</v>
      </c>
      <c r="M402">
        <f>HYPERLINK("https://www.google.com/maps/search/?api=1&amp;query=-12.317865,-76.82412","Punta Hermosa, Lima")</f>
      </c>
      <c r="N402">
        <v>0</v>
      </c>
      <c r="O402">
        <v>100</v>
      </c>
      <c r="P402">
        <v>22686.2</v>
      </c>
      <c r="Q402" t="str">
        <v>123.68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CKL-718</v>
      </c>
      <c r="D403" t="str">
        <v>CKL-718</v>
      </c>
      <c r="E403" t="str">
        <v/>
      </c>
      <c r="F403" t="str">
        <v>867162029820636</v>
      </c>
      <c r="G403" t="str">
        <v>TBD</v>
      </c>
      <c r="H403" t="str">
        <v/>
      </c>
      <c r="I403" t="str">
        <v>28/09/2026</v>
      </c>
      <c r="J403" t="str">
        <v>17:59:42</v>
      </c>
      <c r="K403">
        <v>-12.317865</v>
      </c>
      <c r="L403">
        <v>-76.82412</v>
      </c>
      <c r="M403">
        <f>HYPERLINK("https://www.google.com/maps/search/?api=1&amp;query=-12.317865,-76.82412","Punta Hermosa, Lima")</f>
      </c>
      <c r="N403">
        <v>0</v>
      </c>
      <c r="O403">
        <v>100</v>
      </c>
      <c r="P403">
        <v>22686.2</v>
      </c>
      <c r="Q403" t="str">
        <v>123.68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CKL-718</v>
      </c>
      <c r="D404" t="str">
        <v>CKL-718</v>
      </c>
      <c r="E404" t="str">
        <v/>
      </c>
      <c r="F404" t="str">
        <v>867162029820636</v>
      </c>
      <c r="G404" t="str">
        <v>TBD</v>
      </c>
      <c r="H404" t="str">
        <v/>
      </c>
      <c r="I404" t="str">
        <v>28/09/2026</v>
      </c>
      <c r="J404" t="str">
        <v>18:00:42</v>
      </c>
      <c r="K404">
        <v>-12.317865</v>
      </c>
      <c r="L404">
        <v>-76.82412</v>
      </c>
      <c r="M404">
        <f>HYPERLINK("https://www.google.com/maps/search/?api=1&amp;query=-12.317865,-76.82412","Punta Hermosa, Lima")</f>
      </c>
      <c r="N404">
        <v>0</v>
      </c>
      <c r="O404">
        <v>100</v>
      </c>
      <c r="P404">
        <v>22686.2</v>
      </c>
      <c r="Q404" t="str">
        <v>123.68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CKL-718</v>
      </c>
      <c r="D405" t="str">
        <v>CKL-718</v>
      </c>
      <c r="E405" t="str">
        <v/>
      </c>
      <c r="F405" t="str">
        <v>867162029820636</v>
      </c>
      <c r="G405" t="str">
        <v>TBD</v>
      </c>
      <c r="H405" t="str">
        <v/>
      </c>
      <c r="I405" t="str">
        <v>28/09/2026</v>
      </c>
      <c r="J405" t="str">
        <v>18:01:06</v>
      </c>
      <c r="K405">
        <v>-12.317853</v>
      </c>
      <c r="L405">
        <v>-76.82421</v>
      </c>
      <c r="M405">
        <f>HYPERLINK("https://www.google.com/maps/search/?api=1&amp;query=-12.317853,-76.82421","Punta Hermosa, Lima")</f>
      </c>
      <c r="N405">
        <v>8.1</v>
      </c>
      <c r="O405">
        <v>100</v>
      </c>
      <c r="P405">
        <v>22686.2</v>
      </c>
      <c r="Q405" t="str">
        <v>123.68</v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CKL-718</v>
      </c>
      <c r="D406" t="str">
        <v>CKL-718</v>
      </c>
      <c r="E406" t="str">
        <v/>
      </c>
      <c r="F406" t="str">
        <v>867162029820636</v>
      </c>
      <c r="G406" t="str">
        <v>TBD</v>
      </c>
      <c r="H406" t="str">
        <v/>
      </c>
      <c r="I406" t="str">
        <v>28/09/2026</v>
      </c>
      <c r="J406" t="str">
        <v>18:01:42</v>
      </c>
      <c r="K406">
        <v>-12.317261</v>
      </c>
      <c r="L406">
        <v>-76.82467</v>
      </c>
      <c r="M406">
        <f>HYPERLINK("https://www.google.com/maps/search/?api=1&amp;query=-12.317261,-76.82467","Punta Hermosa, Lima")</f>
      </c>
      <c r="N406">
        <v>12.7</v>
      </c>
      <c r="O406">
        <v>100</v>
      </c>
      <c r="P406">
        <v>22686.3</v>
      </c>
      <c r="Q406" t="str">
        <v>123.68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CKL-718</v>
      </c>
      <c r="D407" t="str">
        <v>CKL-718</v>
      </c>
      <c r="E407" t="str">
        <v/>
      </c>
      <c r="F407" t="str">
        <v>867162029820636</v>
      </c>
      <c r="G407" t="str">
        <v>TBD</v>
      </c>
      <c r="H407" t="str">
        <v/>
      </c>
      <c r="I407" t="str">
        <v>28/09/2026</v>
      </c>
      <c r="J407" t="str">
        <v>18:02:42</v>
      </c>
      <c r="K407">
        <v>-12.315532</v>
      </c>
      <c r="L407">
        <v>-76.825745</v>
      </c>
      <c r="M407">
        <f>HYPERLINK("https://www.google.com/maps/search/?api=1&amp;query=-12.315532,-76.825745","Punta Hermosa, Lima")</f>
      </c>
      <c r="N407">
        <v>12.9</v>
      </c>
      <c r="O407">
        <v>100</v>
      </c>
      <c r="P407">
        <v>22686.6</v>
      </c>
      <c r="Q407" t="str">
        <v>123.68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CKL-718</v>
      </c>
      <c r="D408" t="str">
        <v>CKL-718</v>
      </c>
      <c r="E408" t="str">
        <v/>
      </c>
      <c r="F408" t="str">
        <v>867162029820636</v>
      </c>
      <c r="G408" t="str">
        <v>TBD</v>
      </c>
      <c r="H408" t="str">
        <v/>
      </c>
      <c r="I408" t="str">
        <v>28/09/2026</v>
      </c>
      <c r="J408" t="str">
        <v>18:02:48</v>
      </c>
      <c r="K408">
        <v>-12.31533</v>
      </c>
      <c r="L408">
        <v>-76.82594</v>
      </c>
      <c r="M408">
        <f>HYPERLINK("https://www.google.com/maps/search/?api=1&amp;query=-12.31533,-76.82594","Punta Hermosa, Lima")</f>
      </c>
      <c r="N408">
        <v>4.3</v>
      </c>
      <c r="O408">
        <v>100</v>
      </c>
      <c r="P408">
        <v>22686.6</v>
      </c>
      <c r="Q408" t="str">
        <v>123.68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CKL-718</v>
      </c>
      <c r="D409" t="str">
        <v>CKL-718</v>
      </c>
      <c r="E409" t="str">
        <v/>
      </c>
      <c r="F409" t="str">
        <v>867162029820636</v>
      </c>
      <c r="G409" t="str">
        <v>TBD</v>
      </c>
      <c r="H409" t="str">
        <v/>
      </c>
      <c r="I409" t="str">
        <v>28/09/2026</v>
      </c>
      <c r="J409" t="str">
        <v>18:03:42</v>
      </c>
      <c r="K409">
        <v>-12.315745</v>
      </c>
      <c r="L409">
        <v>-76.82671</v>
      </c>
      <c r="M409">
        <f>HYPERLINK("https://www.google.com/maps/search/?api=1&amp;query=-12.315745,-76.82671","Punta Hermosa, Lima")</f>
      </c>
      <c r="N409">
        <v>5.8</v>
      </c>
      <c r="O409">
        <v>100</v>
      </c>
      <c r="P409">
        <v>22686.7</v>
      </c>
      <c r="Q409" t="str">
        <v>123.68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CKL-718</v>
      </c>
      <c r="D410" t="str">
        <v>CKL-718</v>
      </c>
      <c r="E410" t="str">
        <v/>
      </c>
      <c r="F410" t="str">
        <v>867162029820636</v>
      </c>
      <c r="G410" t="str">
        <v>TBD</v>
      </c>
      <c r="H410" t="str">
        <v/>
      </c>
      <c r="I410" t="str">
        <v>28/09/2026</v>
      </c>
      <c r="J410" t="str">
        <v>18:03:51</v>
      </c>
      <c r="K410">
        <v>-12.315966</v>
      </c>
      <c r="L410">
        <v>-76.82709</v>
      </c>
      <c r="M410">
        <f>HYPERLINK("https://www.google.com/maps/search/?api=1&amp;query=-12.315966,-76.82709","Punta Hermosa, Lima")</f>
      </c>
      <c r="N410">
        <v>11.8</v>
      </c>
      <c r="O410">
        <v>100</v>
      </c>
      <c r="P410">
        <v>22686.7</v>
      </c>
      <c r="Q410" t="str">
        <v>123.68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CKL-718</v>
      </c>
      <c r="D411" t="str">
        <v>CKL-718</v>
      </c>
      <c r="E411" t="str">
        <v/>
      </c>
      <c r="F411" t="str">
        <v>867162029820636</v>
      </c>
      <c r="G411" t="str">
        <v>TBD</v>
      </c>
      <c r="H411" t="str">
        <v/>
      </c>
      <c r="I411" t="str">
        <v>28/09/2026</v>
      </c>
      <c r="J411" t="str">
        <v>18:04:42</v>
      </c>
      <c r="K411">
        <v>-12.316365</v>
      </c>
      <c r="L411">
        <v>-76.8277</v>
      </c>
      <c r="M411">
        <f>HYPERLINK("https://www.google.com/maps/search/?api=1&amp;query=-12.316365,-76.8277","Punta Hermosa, Lima")</f>
      </c>
      <c r="N411">
        <v>10</v>
      </c>
      <c r="O411">
        <v>100</v>
      </c>
      <c r="P411">
        <v>22686.8</v>
      </c>
      <c r="Q411" t="str">
        <v>123.68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CKL-718</v>
      </c>
      <c r="D412" t="str">
        <v>CKL-718</v>
      </c>
      <c r="E412" t="str">
        <v/>
      </c>
      <c r="F412" t="str">
        <v>867162029820636</v>
      </c>
      <c r="G412" t="str">
        <v>TBD</v>
      </c>
      <c r="H412" t="str">
        <v/>
      </c>
      <c r="I412" t="str">
        <v>28/09/2026</v>
      </c>
      <c r="J412" t="str">
        <v>18:05:42</v>
      </c>
      <c r="K412">
        <v>-12.316946</v>
      </c>
      <c r="L412">
        <v>-76.82865</v>
      </c>
      <c r="M412">
        <f>HYPERLINK("https://www.google.com/maps/search/?api=1&amp;query=-12.316946,-76.82865","Punta Hermosa, Lima")</f>
      </c>
      <c r="N412">
        <v>9.5</v>
      </c>
      <c r="O412">
        <v>100</v>
      </c>
      <c r="P412">
        <v>22686.9</v>
      </c>
      <c r="Q412" t="str">
        <v>123.68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CKL-718</v>
      </c>
      <c r="D413" t="str">
        <v>CKL-718</v>
      </c>
      <c r="E413" t="str">
        <v/>
      </c>
      <c r="F413" t="str">
        <v>867162029820636</v>
      </c>
      <c r="G413" t="str">
        <v>TBD</v>
      </c>
      <c r="H413" t="str">
        <v/>
      </c>
      <c r="I413" t="str">
        <v>28/09/2026</v>
      </c>
      <c r="J413" t="str">
        <v>18:06:42</v>
      </c>
      <c r="K413">
        <v>-12.317416</v>
      </c>
      <c r="L413">
        <v>-76.82945</v>
      </c>
      <c r="M413">
        <f>HYPERLINK("https://www.google.com/maps/search/?api=1&amp;query=-12.317416,-76.82945","Punta Hermosa, Lima")</f>
      </c>
      <c r="N413">
        <v>6.4</v>
      </c>
      <c r="O413">
        <v>100</v>
      </c>
      <c r="P413">
        <v>22686.9</v>
      </c>
      <c r="Q413" t="str">
        <v>123.77</v>
      </c>
      <c r="R413" t="str">
        <v>Llegó a la zona</v>
      </c>
      <c r="S413" t="str">
        <v>MASS BSF 1</v>
      </c>
      <c r="T413" t="str">
        <v xml:space="preserve"> </v>
      </c>
      <c r="U413" t="str">
        <v/>
      </c>
    </row>
    <row r="414">
      <c r="A414" t="str">
        <v>413</v>
      </c>
      <c r="B414" t="str">
        <v>MASS BSF</v>
      </c>
      <c r="C414" t="str">
        <v>CKL-718</v>
      </c>
      <c r="D414" t="str">
        <v>CKL-718</v>
      </c>
      <c r="E414" t="str">
        <v/>
      </c>
      <c r="F414" t="str">
        <v>867162029820636</v>
      </c>
      <c r="G414" t="str">
        <v>TBD</v>
      </c>
      <c r="H414" t="str">
        <v/>
      </c>
      <c r="I414" t="str">
        <v>28/09/2026</v>
      </c>
      <c r="J414" t="str">
        <v>18:06:42</v>
      </c>
      <c r="K414">
        <v>-12.317416</v>
      </c>
      <c r="L414">
        <v>-76.82945</v>
      </c>
      <c r="M414">
        <f>HYPERLINK("https://www.google.com/maps/search/?api=1&amp;query=-12.317416,-76.82945","Punta Hermosa, Lima")</f>
      </c>
      <c r="N414">
        <v>6.4</v>
      </c>
      <c r="O414">
        <v>100</v>
      </c>
      <c r="P414">
        <v>22687</v>
      </c>
      <c r="Q414" t="str">
        <v>123.68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CKL-718</v>
      </c>
      <c r="D415" t="str">
        <v>CKL-718</v>
      </c>
      <c r="E415" t="str">
        <v/>
      </c>
      <c r="F415" t="str">
        <v>867162029820636</v>
      </c>
      <c r="G415" t="str">
        <v>TBD</v>
      </c>
      <c r="H415" t="str">
        <v/>
      </c>
      <c r="I415" t="str">
        <v>28/09/2026</v>
      </c>
      <c r="J415" t="str">
        <v>18:06:49</v>
      </c>
      <c r="K415">
        <v>-12.317535</v>
      </c>
      <c r="L415">
        <v>-76.829926</v>
      </c>
      <c r="M415">
        <f>HYPERLINK("https://www.google.com/maps/search/?api=1&amp;query=-12.317535,-76.829926","Punta Hermosa, Lima")</f>
      </c>
      <c r="N415">
        <v>15.9</v>
      </c>
      <c r="O415">
        <v>100</v>
      </c>
      <c r="P415">
        <v>22686.9</v>
      </c>
      <c r="Q415" t="str">
        <v>123.77</v>
      </c>
      <c r="R415" t="str">
        <v>Salió de zona</v>
      </c>
      <c r="S415" t="str">
        <v>MASS BSF 1</v>
      </c>
      <c r="T415" t="str">
        <v xml:space="preserve"> </v>
      </c>
      <c r="U415" t="str">
        <v/>
      </c>
    </row>
    <row r="416">
      <c r="A416" t="str">
        <v>415</v>
      </c>
      <c r="B416" t="str">
        <v>MASS BSF</v>
      </c>
      <c r="C416" t="str">
        <v>CKL-718</v>
      </c>
      <c r="D416" t="str">
        <v>CKL-718</v>
      </c>
      <c r="E416" t="str">
        <v/>
      </c>
      <c r="F416" t="str">
        <v>867162029820636</v>
      </c>
      <c r="G416" t="str">
        <v>TBD</v>
      </c>
      <c r="H416" t="str">
        <v/>
      </c>
      <c r="I416" t="str">
        <v>28/09/2026</v>
      </c>
      <c r="J416" t="str">
        <v>18:06:49</v>
      </c>
      <c r="K416">
        <v>-12.317535</v>
      </c>
      <c r="L416">
        <v>-76.829926</v>
      </c>
      <c r="M416">
        <f>HYPERLINK("https://www.google.com/maps/search/?api=1&amp;query=-12.317535,-76.829926","Punta Hermosa, Lima")</f>
      </c>
      <c r="N416">
        <v>15.9</v>
      </c>
      <c r="O416">
        <v>100</v>
      </c>
      <c r="P416">
        <v>22687.1</v>
      </c>
      <c r="Q416" t="str">
        <v>123.68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CKL-718</v>
      </c>
      <c r="D417" t="str">
        <v>CKL-718</v>
      </c>
      <c r="E417" t="str">
        <v/>
      </c>
      <c r="F417" t="str">
        <v>867162029820636</v>
      </c>
      <c r="G417" t="str">
        <v>TBD</v>
      </c>
      <c r="H417" t="str">
        <v/>
      </c>
      <c r="I417" t="str">
        <v>28/09/2026</v>
      </c>
      <c r="J417" t="str">
        <v>18:07:16</v>
      </c>
      <c r="K417">
        <v>-12.316647</v>
      </c>
      <c r="L417">
        <v>-76.83101</v>
      </c>
      <c r="M417">
        <f>HYPERLINK("https://www.google.com/maps/search/?api=1&amp;query=-12.316647,-76.83101","Carretera Panamericana Sur, Punta Hermosa, Lima")</f>
      </c>
      <c r="N417">
        <v>29.4</v>
      </c>
      <c r="O417">
        <v>100</v>
      </c>
      <c r="P417">
        <v>22686.9</v>
      </c>
      <c r="Q417" t="str">
        <v>123.77</v>
      </c>
      <c r="R417" t="str">
        <v>Salió de zona</v>
      </c>
      <c r="S417" t="str">
        <v>MASS BSF 1</v>
      </c>
      <c r="T417" t="str">
        <v xml:space="preserve"> </v>
      </c>
      <c r="U417" t="str">
        <v/>
      </c>
    </row>
    <row r="418">
      <c r="A418" t="str">
        <v>417</v>
      </c>
      <c r="B418" t="str">
        <v>MASS BSF</v>
      </c>
      <c r="C418" t="str">
        <v>CKL-718</v>
      </c>
      <c r="D418" t="str">
        <v>CKL-718</v>
      </c>
      <c r="E418" t="str">
        <v/>
      </c>
      <c r="F418" t="str">
        <v>867162029820636</v>
      </c>
      <c r="G418" t="str">
        <v>TBD</v>
      </c>
      <c r="H418" t="str">
        <v/>
      </c>
      <c r="I418" t="str">
        <v>28/09/2026</v>
      </c>
      <c r="J418" t="str">
        <v>18:07:16</v>
      </c>
      <c r="K418">
        <v>-12.316647</v>
      </c>
      <c r="L418">
        <v>-76.83101</v>
      </c>
      <c r="M418">
        <f>HYPERLINK("https://www.google.com/maps/search/?api=1&amp;query=-12.316647,-76.83101","Carretera Panamericana Sur, Punta Hermosa, Lima")</f>
      </c>
      <c r="N418">
        <v>29.4</v>
      </c>
      <c r="O418">
        <v>100</v>
      </c>
      <c r="P418">
        <v>22687.2</v>
      </c>
      <c r="Q418" t="str">
        <v>123.68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CKL-718</v>
      </c>
      <c r="D419" t="str">
        <v>CKL-718</v>
      </c>
      <c r="E419" t="str">
        <v/>
      </c>
      <c r="F419" t="str">
        <v>867162029820636</v>
      </c>
      <c r="G419" t="str">
        <v>TBD</v>
      </c>
      <c r="H419" t="str">
        <v/>
      </c>
      <c r="I419" t="str">
        <v>28/09/2026</v>
      </c>
      <c r="J419" t="str">
        <v>18:07:42</v>
      </c>
      <c r="K419">
        <v>-12.315094</v>
      </c>
      <c r="L419">
        <v>-76.83202</v>
      </c>
      <c r="M419">
        <f>HYPERLINK("https://www.google.com/maps/search/?api=1&amp;query=-12.315094,-76.83202","Carretera Panamericana Sur, Punta Hermosa, Lima")</f>
      </c>
      <c r="N419">
        <v>47.7</v>
      </c>
      <c r="O419">
        <v>100</v>
      </c>
      <c r="P419">
        <v>22687.5</v>
      </c>
      <c r="Q419" t="str">
        <v>123.68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CKL-718</v>
      </c>
      <c r="D420" t="str">
        <v>CKL-718</v>
      </c>
      <c r="E420" t="str">
        <v/>
      </c>
      <c r="F420" t="str">
        <v>867162029820636</v>
      </c>
      <c r="G420" t="str">
        <v>TBD</v>
      </c>
      <c r="H420" t="str">
        <v/>
      </c>
      <c r="I420" t="str">
        <v>28/09/2026</v>
      </c>
      <c r="J420" t="str">
        <v>18:08:42</v>
      </c>
      <c r="K420">
        <v>-12.307809</v>
      </c>
      <c r="L420">
        <v>-76.83694</v>
      </c>
      <c r="M420">
        <f>HYPERLINK("https://www.google.com/maps/search/?api=1&amp;query=-12.307809,-76.83694","Carretera Panamericana Sur, Punta Hermosa, Lima")</f>
      </c>
      <c r="N420">
        <v>67.4</v>
      </c>
      <c r="O420">
        <v>100</v>
      </c>
      <c r="P420">
        <v>22688.5</v>
      </c>
      <c r="Q420" t="str">
        <v>123.68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CKL-718</v>
      </c>
      <c r="D421" t="str">
        <v>CKL-718</v>
      </c>
      <c r="E421" t="str">
        <v/>
      </c>
      <c r="F421" t="str">
        <v>867162029820636</v>
      </c>
      <c r="G421" t="str">
        <v>TBD</v>
      </c>
      <c r="H421" t="str">
        <v/>
      </c>
      <c r="I421" t="str">
        <v>28/09/2026</v>
      </c>
      <c r="J421" t="str">
        <v>18:09:42</v>
      </c>
      <c r="K421">
        <v>-12.301562</v>
      </c>
      <c r="L421">
        <v>-76.84537</v>
      </c>
      <c r="M421">
        <f>HYPERLINK("https://www.google.com/maps/search/?api=1&amp;query=-12.301562,-76.84537","Carretera Panamericana Sur, Lurín, Lima")</f>
      </c>
      <c r="N421">
        <v>72.9</v>
      </c>
      <c r="O421">
        <v>100</v>
      </c>
      <c r="P421">
        <v>22689.7</v>
      </c>
      <c r="Q421" t="str">
        <v>123.68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CKL-718</v>
      </c>
      <c r="D422" t="str">
        <v>CKL-718</v>
      </c>
      <c r="E422" t="str">
        <v/>
      </c>
      <c r="F422" t="str">
        <v>867162029820636</v>
      </c>
      <c r="G422" t="str">
        <v>TBD</v>
      </c>
      <c r="H422" t="str">
        <v/>
      </c>
      <c r="I422" t="str">
        <v>28/09/2026</v>
      </c>
      <c r="J422" t="str">
        <v>18:10:42</v>
      </c>
      <c r="K422">
        <v>-12.297204</v>
      </c>
      <c r="L422">
        <v>-76.85527</v>
      </c>
      <c r="M422">
        <f>HYPERLINK("https://www.google.com/maps/search/?api=1&amp;query=-12.297204,-76.85527","Carretera Panamericana Sur, Lurín, Lima")</f>
      </c>
      <c r="N422">
        <v>70.2</v>
      </c>
      <c r="O422">
        <v>100</v>
      </c>
      <c r="P422">
        <v>22690.9</v>
      </c>
      <c r="Q422" t="str">
        <v>123.68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CKL-718</v>
      </c>
      <c r="D423" t="str">
        <v>CKL-718</v>
      </c>
      <c r="E423" t="str">
        <v/>
      </c>
      <c r="F423" t="str">
        <v>867162029820636</v>
      </c>
      <c r="G423" t="str">
        <v>TBD</v>
      </c>
      <c r="H423" t="str">
        <v/>
      </c>
      <c r="I423" t="str">
        <v>28/09/2026</v>
      </c>
      <c r="J423" t="str">
        <v>18:11:42</v>
      </c>
      <c r="K423">
        <v>-12.292329</v>
      </c>
      <c r="L423">
        <v>-76.86386</v>
      </c>
      <c r="M423">
        <f>HYPERLINK("https://www.google.com/maps/search/?api=1&amp;query=-12.292329,-76.86386","Carretera Panamericana Sur, Lurín, Lima")</f>
      </c>
      <c r="N423">
        <v>63.5</v>
      </c>
      <c r="O423">
        <v>100</v>
      </c>
      <c r="P423">
        <v>22691.9</v>
      </c>
      <c r="Q423" t="str">
        <v>123.68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CKL-718</v>
      </c>
      <c r="D424" t="str">
        <v>CKL-718</v>
      </c>
      <c r="E424" t="str">
        <v/>
      </c>
      <c r="F424" t="str">
        <v>867162029820636</v>
      </c>
      <c r="G424" t="str">
        <v>TBD</v>
      </c>
      <c r="H424" t="str">
        <v/>
      </c>
      <c r="I424" t="str">
        <v>28/09/2026</v>
      </c>
      <c r="J424" t="str">
        <v>18:12:42</v>
      </c>
      <c r="K424">
        <v>-12.287072</v>
      </c>
      <c r="L424">
        <v>-76.87217</v>
      </c>
      <c r="M424">
        <f>HYPERLINK("https://www.google.com/maps/search/?api=1&amp;query=-12.287072,-76.87217","Carretera Panamericana Sur, Lurín, Lima")</f>
      </c>
      <c r="N424">
        <v>61</v>
      </c>
      <c r="O424">
        <v>100</v>
      </c>
      <c r="P424">
        <v>22693</v>
      </c>
      <c r="Q424" t="str">
        <v>123.68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CKL-718</v>
      </c>
      <c r="D425" t="str">
        <v>CKL-718</v>
      </c>
      <c r="E425" t="str">
        <v/>
      </c>
      <c r="F425" t="str">
        <v>867162029820636</v>
      </c>
      <c r="G425" t="str">
        <v>TBD</v>
      </c>
      <c r="H425" t="str">
        <v/>
      </c>
      <c r="I425" t="str">
        <v>28/09/2026</v>
      </c>
      <c r="J425" t="str">
        <v>18:13:42</v>
      </c>
      <c r="K425">
        <v>-12.281833</v>
      </c>
      <c r="L425">
        <v>-76.88051</v>
      </c>
      <c r="M425">
        <f>HYPERLINK("https://www.google.com/maps/search/?api=1&amp;query=-12.281833,-76.88051","Carretera Panamericana Sur, Lurín, Lima")</f>
      </c>
      <c r="N425">
        <v>67.2</v>
      </c>
      <c r="O425">
        <v>100</v>
      </c>
      <c r="P425">
        <v>22694.1</v>
      </c>
      <c r="Q425" t="str">
        <v>123.68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CKL-718</v>
      </c>
      <c r="D426" t="str">
        <v>CKL-718</v>
      </c>
      <c r="E426" t="str">
        <v/>
      </c>
      <c r="F426" t="str">
        <v>867162029820636</v>
      </c>
      <c r="G426" t="str">
        <v>TBD</v>
      </c>
      <c r="H426" t="str">
        <v/>
      </c>
      <c r="I426" t="str">
        <v>28/09/2026</v>
      </c>
      <c r="J426" t="str">
        <v>18:14:42</v>
      </c>
      <c r="K426">
        <v>-12.276277</v>
      </c>
      <c r="L426">
        <v>-76.88938</v>
      </c>
      <c r="M426">
        <f>HYPERLINK("https://www.google.com/maps/search/?api=1&amp;query=-12.276277,-76.88938","Carretera Panamericana Sur, Lurín, Lima")</f>
      </c>
      <c r="N426">
        <v>63.2</v>
      </c>
      <c r="O426">
        <v>100</v>
      </c>
      <c r="P426">
        <v>22695.2</v>
      </c>
      <c r="Q426" t="str">
        <v>123.68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CKL-718</v>
      </c>
      <c r="D427" t="str">
        <v>CKL-718</v>
      </c>
      <c r="E427" t="str">
        <v/>
      </c>
      <c r="F427" t="str">
        <v>867162029820636</v>
      </c>
      <c r="G427" t="str">
        <v>TBD</v>
      </c>
      <c r="H427" t="str">
        <v/>
      </c>
      <c r="I427" t="str">
        <v>28/09/2026</v>
      </c>
      <c r="J427" t="str">
        <v>18:15:42</v>
      </c>
      <c r="K427">
        <v>-12.27109</v>
      </c>
      <c r="L427">
        <v>-76.89764</v>
      </c>
      <c r="M427">
        <f>HYPERLINK("https://www.google.com/maps/search/?api=1&amp;query=-12.27109,-76.89764","Carretera Panamericana Sur, Lurín, Lima")</f>
      </c>
      <c r="N427">
        <v>60.4</v>
      </c>
      <c r="O427">
        <v>100</v>
      </c>
      <c r="P427">
        <v>22696.3</v>
      </c>
      <c r="Q427" t="str">
        <v>123.68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CKL-718</v>
      </c>
      <c r="D428" t="str">
        <v>CKL-718</v>
      </c>
      <c r="E428" t="str">
        <v/>
      </c>
      <c r="F428" t="str">
        <v>867162029820636</v>
      </c>
      <c r="G428" t="str">
        <v>TBD</v>
      </c>
      <c r="H428" t="str">
        <v/>
      </c>
      <c r="I428" t="str">
        <v>28/09/2026</v>
      </c>
      <c r="J428" t="str">
        <v>18:16:42</v>
      </c>
      <c r="K428">
        <v>-12.265822</v>
      </c>
      <c r="L428">
        <v>-76.90601</v>
      </c>
      <c r="M428">
        <f>HYPERLINK("https://www.google.com/maps/search/?api=1&amp;query=-12.265822,-76.90601","Carretera Panamericana Sur, Lurín, Lima")</f>
      </c>
      <c r="N428">
        <v>64</v>
      </c>
      <c r="O428">
        <v>100</v>
      </c>
      <c r="P428">
        <v>22697.4</v>
      </c>
      <c r="Q428" t="str">
        <v>123.68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CKL-718</v>
      </c>
      <c r="D429" t="str">
        <v>CKL-718</v>
      </c>
      <c r="E429" t="str">
        <v/>
      </c>
      <c r="F429" t="str">
        <v>867162029820636</v>
      </c>
      <c r="G429" t="str">
        <v>TBD</v>
      </c>
      <c r="H429" t="str">
        <v/>
      </c>
      <c r="I429" t="str">
        <v>28/09/2026</v>
      </c>
      <c r="J429" t="str">
        <v>18:17:42</v>
      </c>
      <c r="K429">
        <v>-12.260069</v>
      </c>
      <c r="L429">
        <v>-76.91514</v>
      </c>
      <c r="M429">
        <f>HYPERLINK("https://www.google.com/maps/search/?api=1&amp;query=-12.260069,-76.91514","Carretera Panamericana Sur, Lurín, Lima")</f>
      </c>
      <c r="N429">
        <v>76</v>
      </c>
      <c r="O429">
        <v>100</v>
      </c>
      <c r="P429">
        <v>22698.6</v>
      </c>
      <c r="Q429" t="str">
        <v>123.68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CKL-718</v>
      </c>
      <c r="D430" t="str">
        <v>CKL-718</v>
      </c>
      <c r="E430" t="str">
        <v/>
      </c>
      <c r="F430" t="str">
        <v>867162029820636</v>
      </c>
      <c r="G430" t="str">
        <v>TBD</v>
      </c>
      <c r="H430" t="str">
        <v/>
      </c>
      <c r="I430" t="str">
        <v>28/09/2026</v>
      </c>
      <c r="J430" t="str">
        <v>18:18:42</v>
      </c>
      <c r="K430">
        <v>-12.254366</v>
      </c>
      <c r="L430">
        <v>-76.92452</v>
      </c>
      <c r="M430">
        <f>HYPERLINK("https://www.google.com/maps/search/?api=1&amp;query=-12.254366,-76.92452","Carretera Panamericana Sur, Lurín, Lima")</f>
      </c>
      <c r="N430">
        <v>69.2</v>
      </c>
      <c r="O430">
        <v>100</v>
      </c>
      <c r="P430">
        <v>22699.8</v>
      </c>
      <c r="Q430" t="str">
        <v>123.68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CKL-718</v>
      </c>
      <c r="D431" t="str">
        <v>CKL-718</v>
      </c>
      <c r="E431" t="str">
        <v/>
      </c>
      <c r="F431" t="str">
        <v>867162029820636</v>
      </c>
      <c r="G431" t="str">
        <v>TBD</v>
      </c>
      <c r="H431" t="str">
        <v/>
      </c>
      <c r="I431" t="str">
        <v>28/09/2026</v>
      </c>
      <c r="J431" t="str">
        <v>18:19:42</v>
      </c>
      <c r="K431">
        <v>-12.248034</v>
      </c>
      <c r="L431">
        <v>-76.93349</v>
      </c>
      <c r="M431">
        <f>HYPERLINK("https://www.google.com/maps/search/?api=1&amp;query=-12.248034,-76.93349","Carretera Panamericana Sur, Villa El Salvador, Lima")</f>
      </c>
      <c r="N431">
        <v>78.3</v>
      </c>
      <c r="O431">
        <v>100</v>
      </c>
      <c r="P431">
        <v>22701</v>
      </c>
      <c r="Q431" t="str">
        <v>123.68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CKL-718</v>
      </c>
      <c r="D432" t="str">
        <v>CKL-718</v>
      </c>
      <c r="E432" t="str">
        <v/>
      </c>
      <c r="F432" t="str">
        <v>867162029820636</v>
      </c>
      <c r="G432" t="str">
        <v>TBD</v>
      </c>
      <c r="H432" t="str">
        <v/>
      </c>
      <c r="I432" t="str">
        <v>28/09/2026</v>
      </c>
      <c r="J432" t="str">
        <v>18:20:42</v>
      </c>
      <c r="K432">
        <v>-12.242282</v>
      </c>
      <c r="L432">
        <v>-76.94408</v>
      </c>
      <c r="M432">
        <f>HYPERLINK("https://www.google.com/maps/search/?api=1&amp;query=-12.242282,-76.94408","Carretera Panamericana Sur, Villa El Salvador, Lima")</f>
      </c>
      <c r="N432">
        <v>78.9</v>
      </c>
      <c r="O432">
        <v>100</v>
      </c>
      <c r="P432">
        <v>22702.3</v>
      </c>
      <c r="Q432" t="str">
        <v>123.68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CKL-718</v>
      </c>
      <c r="D433" t="str">
        <v>CKL-718</v>
      </c>
      <c r="E433" t="str">
        <v/>
      </c>
      <c r="F433" t="str">
        <v>867162029820636</v>
      </c>
      <c r="G433" t="str">
        <v>TBD</v>
      </c>
      <c r="H433" t="str">
        <v/>
      </c>
      <c r="I433" t="str">
        <v>28/09/2026</v>
      </c>
      <c r="J433" t="str">
        <v>18:20:58</v>
      </c>
      <c r="K433">
        <v>-12.24001</v>
      </c>
      <c r="L433">
        <v>-76.94841</v>
      </c>
      <c r="M433">
        <f>HYPERLINK("https://www.google.com/maps/search/?api=1&amp;query=-12.24001,-76.94841","Carretera Panamericana Sur, Villa El Salvador, Lima")</f>
      </c>
      <c r="N433">
        <v>81.3</v>
      </c>
      <c r="O433">
        <v>100</v>
      </c>
      <c r="P433">
        <v>22702.7</v>
      </c>
      <c r="Q433" t="str">
        <v>123.68</v>
      </c>
      <c r="R433" t="str">
        <v>Excedió el límite de velocidad</v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CKL-718</v>
      </c>
      <c r="D434" t="str">
        <v>CKL-718</v>
      </c>
      <c r="E434" t="str">
        <v/>
      </c>
      <c r="F434" t="str">
        <v>867162029820636</v>
      </c>
      <c r="G434" t="str">
        <v>TBD</v>
      </c>
      <c r="H434" t="str">
        <v/>
      </c>
      <c r="I434" t="str">
        <v>28/09/2026</v>
      </c>
      <c r="J434" t="str">
        <v>18:21:42</v>
      </c>
      <c r="K434">
        <v>-12.236801</v>
      </c>
      <c r="L434">
        <v>-76.95468</v>
      </c>
      <c r="M434">
        <f>HYPERLINK("https://www.google.com/maps/search/?api=1&amp;query=-12.236801,-76.95468","Carretera Panamericana Sur, Villa El Salvador, Lima")</f>
      </c>
      <c r="N434">
        <v>73.7</v>
      </c>
      <c r="O434">
        <v>100</v>
      </c>
      <c r="P434">
        <v>22703.6</v>
      </c>
      <c r="Q434" t="str">
        <v>123.68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CKL-718</v>
      </c>
      <c r="D435" t="str">
        <v>CKL-718</v>
      </c>
      <c r="E435" t="str">
        <v/>
      </c>
      <c r="F435" t="str">
        <v>867162029820636</v>
      </c>
      <c r="G435" t="str">
        <v>TBD</v>
      </c>
      <c r="H435" t="str">
        <v/>
      </c>
      <c r="I435" t="str">
        <v>28/09/2026</v>
      </c>
      <c r="J435" t="str">
        <v>18:22:42</v>
      </c>
      <c r="K435">
        <v>-12.231486</v>
      </c>
      <c r="L435">
        <v>-76.96493</v>
      </c>
      <c r="M435">
        <f>HYPERLINK("https://www.google.com/maps/search/?api=1&amp;query=-12.231486,-76.96493","Carretera Panamericana Sur, Villa El Salvador, Lima")</f>
      </c>
      <c r="N435">
        <v>74.9</v>
      </c>
      <c r="O435">
        <v>100</v>
      </c>
      <c r="P435">
        <v>22704.9</v>
      </c>
      <c r="Q435" t="str">
        <v>123.68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CKL-718</v>
      </c>
      <c r="D436" t="str">
        <v>CKL-718</v>
      </c>
      <c r="E436" t="str">
        <v/>
      </c>
      <c r="F436" t="str">
        <v>867162029820636</v>
      </c>
      <c r="G436" t="str">
        <v>TBD</v>
      </c>
      <c r="H436" t="str">
        <v/>
      </c>
      <c r="I436" t="str">
        <v>28/09/2026</v>
      </c>
      <c r="J436" t="str">
        <v>18:23:42</v>
      </c>
      <c r="K436">
        <v>-12.224547</v>
      </c>
      <c r="L436">
        <v>-76.9724</v>
      </c>
      <c r="M436">
        <f>HYPERLINK("https://www.google.com/maps/search/?api=1&amp;query=-12.224547,-76.9724","Carretera Panamericana Sur, Villa El Salvador, Lima")</f>
      </c>
      <c r="N436">
        <v>68.1</v>
      </c>
      <c r="O436">
        <v>100</v>
      </c>
      <c r="P436">
        <v>22706</v>
      </c>
      <c r="Q436" t="str">
        <v>123.68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CKL-718</v>
      </c>
      <c r="D437" t="str">
        <v>CKL-718</v>
      </c>
      <c r="E437" t="str">
        <v/>
      </c>
      <c r="F437" t="str">
        <v>867162029820636</v>
      </c>
      <c r="G437" t="str">
        <v>TBD</v>
      </c>
      <c r="H437" t="str">
        <v/>
      </c>
      <c r="I437" t="str">
        <v>28/09/2026</v>
      </c>
      <c r="J437" t="str">
        <v>18:24:16</v>
      </c>
      <c r="K437">
        <v>-12.220237</v>
      </c>
      <c r="L437">
        <v>-76.9759</v>
      </c>
      <c r="M437">
        <f>HYPERLINK("https://www.google.com/maps/search/?api=1&amp;query=-12.220237,-76.9759","Antigua Panamericana Sur, Villa El Salvador, Lima")</f>
      </c>
      <c r="N437">
        <v>35.4</v>
      </c>
      <c r="O437">
        <v>100</v>
      </c>
      <c r="P437">
        <v>22706.5</v>
      </c>
      <c r="Q437" t="str">
        <v>123.68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CKL-718</v>
      </c>
      <c r="D438" t="str">
        <v>CKL-718</v>
      </c>
      <c r="E438" t="str">
        <v/>
      </c>
      <c r="F438" t="str">
        <v>867162029820636</v>
      </c>
      <c r="G438" t="str">
        <v>TBD</v>
      </c>
      <c r="H438" t="str">
        <v/>
      </c>
      <c r="I438" t="str">
        <v>28/09/2026</v>
      </c>
      <c r="J438" t="str">
        <v>18:24:31</v>
      </c>
      <c r="K438">
        <v>-12.219599</v>
      </c>
      <c r="L438">
        <v>-76.97575</v>
      </c>
      <c r="M438">
        <f>HYPERLINK("https://www.google.com/maps/search/?api=1&amp;query=-12.219599,-76.97575","Antigua Panamericana Sur, Villa El Salvador, Lima")</f>
      </c>
      <c r="N438">
        <v>8.4</v>
      </c>
      <c r="O438">
        <v>100</v>
      </c>
      <c r="P438">
        <v>22706.6</v>
      </c>
      <c r="Q438" t="str">
        <v>123.68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CKL-718</v>
      </c>
      <c r="D439" t="str">
        <v>CKL-718</v>
      </c>
      <c r="E439" t="str">
        <v/>
      </c>
      <c r="F439" t="str">
        <v>867162029820636</v>
      </c>
      <c r="G439" t="str">
        <v>TBD</v>
      </c>
      <c r="H439" t="str">
        <v/>
      </c>
      <c r="I439" t="str">
        <v>28/09/2026</v>
      </c>
      <c r="J439" t="str">
        <v>18:24:40</v>
      </c>
      <c r="K439">
        <v>-12.219616</v>
      </c>
      <c r="L439">
        <v>-76.97568</v>
      </c>
      <c r="M439">
        <f>HYPERLINK("https://www.google.com/maps/search/?api=1&amp;query=-12.219616,-76.97568","Antigua Panamericana Sur, Villa El Salvador, Lima")</f>
      </c>
      <c r="N439">
        <v>10</v>
      </c>
      <c r="O439">
        <v>100</v>
      </c>
      <c r="P439">
        <v>22706.6</v>
      </c>
      <c r="Q439" t="str">
        <v>123.68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CKL-718</v>
      </c>
      <c r="D440" t="str">
        <v>CKL-718</v>
      </c>
      <c r="E440" t="str">
        <v/>
      </c>
      <c r="F440" t="str">
        <v>867162029820636</v>
      </c>
      <c r="G440" t="str">
        <v>TBD</v>
      </c>
      <c r="H440" t="str">
        <v/>
      </c>
      <c r="I440" t="str">
        <v>28/09/2026</v>
      </c>
      <c r="J440" t="str">
        <v>18:24:40</v>
      </c>
      <c r="K440">
        <v>-12.219643</v>
      </c>
      <c r="L440">
        <v>-76.97561</v>
      </c>
      <c r="M440">
        <f>HYPERLINK("https://www.google.com/maps/search/?api=1&amp;query=-12.219643,-76.97561","Antigua Panamericana Sur, Villa El Salvador, Lima")</f>
      </c>
      <c r="N440">
        <v>8.2</v>
      </c>
      <c r="O440">
        <v>100</v>
      </c>
      <c r="P440">
        <v>22706.6</v>
      </c>
      <c r="Q440" t="str">
        <v>123.68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CKL-718</v>
      </c>
      <c r="D441" t="str">
        <v>CKL-718</v>
      </c>
      <c r="E441" t="str">
        <v/>
      </c>
      <c r="F441" t="str">
        <v>867162029820636</v>
      </c>
      <c r="G441" t="str">
        <v>TBD</v>
      </c>
      <c r="H441" t="str">
        <v/>
      </c>
      <c r="I441" t="str">
        <v>28/09/2026</v>
      </c>
      <c r="J441" t="str">
        <v>18:24:42</v>
      </c>
      <c r="K441">
        <v>-12.219715</v>
      </c>
      <c r="L441">
        <v>-76.97558</v>
      </c>
      <c r="M441">
        <f>HYPERLINK("https://www.google.com/maps/search/?api=1&amp;query=-12.219715,-76.97558","Antigua Panamericana Sur, Villa El Salvador, Lima")</f>
      </c>
      <c r="N441">
        <v>12.4</v>
      </c>
      <c r="O441">
        <v>100</v>
      </c>
      <c r="P441">
        <v>22706.6</v>
      </c>
      <c r="Q441" t="str">
        <v>123.68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CKL-718</v>
      </c>
      <c r="D442" t="str">
        <v>CKL-718</v>
      </c>
      <c r="E442" t="str">
        <v/>
      </c>
      <c r="F442" t="str">
        <v>867162029820636</v>
      </c>
      <c r="G442" t="str">
        <v>TBD</v>
      </c>
      <c r="H442" t="str">
        <v/>
      </c>
      <c r="I442" t="str">
        <v>28/09/2026</v>
      </c>
      <c r="J442" t="str">
        <v>18:24:52</v>
      </c>
      <c r="K442">
        <v>-12.22005</v>
      </c>
      <c r="L442">
        <v>-76.97566</v>
      </c>
      <c r="M442">
        <f>HYPERLINK("https://www.google.com/maps/search/?api=1&amp;query=-12.22005,-76.97566","Antigua Panamericana Sur, Villa El Salvador, Lima")</f>
      </c>
      <c r="N442">
        <v>11.1</v>
      </c>
      <c r="O442">
        <v>100</v>
      </c>
      <c r="P442">
        <v>22706.6</v>
      </c>
      <c r="Q442" t="str">
        <v>123.68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CKL-718</v>
      </c>
      <c r="D443" t="str">
        <v>CKL-718</v>
      </c>
      <c r="E443" t="str">
        <v/>
      </c>
      <c r="F443" t="str">
        <v>867162029820636</v>
      </c>
      <c r="G443" t="str">
        <v>TBD</v>
      </c>
      <c r="H443" t="str">
        <v/>
      </c>
      <c r="I443" t="str">
        <v>28/09/2026</v>
      </c>
      <c r="J443" t="str">
        <v>18:25:13</v>
      </c>
      <c r="K443">
        <v>-12.220125</v>
      </c>
      <c r="L443">
        <v>-76.97564</v>
      </c>
      <c r="M443">
        <f>HYPERLINK("https://www.google.com/maps/search/?api=1&amp;query=-12.220125,-76.97564","Antigua Panamericana Sur, Villa El Salvador, Lima")</f>
      </c>
      <c r="N443">
        <v>5.8</v>
      </c>
      <c r="O443">
        <v>100</v>
      </c>
      <c r="P443">
        <v>22706.7</v>
      </c>
      <c r="Q443" t="str">
        <v>123.68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CKL-718</v>
      </c>
      <c r="D444" t="str">
        <v>CKL-718</v>
      </c>
      <c r="E444" t="str">
        <v/>
      </c>
      <c r="F444" t="str">
        <v>867162029820636</v>
      </c>
      <c r="G444" t="str">
        <v>TBD</v>
      </c>
      <c r="H444" t="str">
        <v/>
      </c>
      <c r="I444" t="str">
        <v>28/09/2026</v>
      </c>
      <c r="J444" t="str">
        <v>18:25:37</v>
      </c>
      <c r="K444">
        <v>-12.220119</v>
      </c>
      <c r="L444">
        <v>-76.975586</v>
      </c>
      <c r="M444">
        <f>HYPERLINK("https://www.google.com/maps/search/?api=1&amp;query=-12.220119,-76.975586","Antigua Panamericana Sur, Villa El Salvador, Lima")</f>
      </c>
      <c r="N444">
        <v>0</v>
      </c>
      <c r="O444">
        <v>100</v>
      </c>
      <c r="P444">
        <v>22706.7</v>
      </c>
      <c r="Q444" t="str">
        <v>123.68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CKL-718</v>
      </c>
      <c r="D445" t="str">
        <v>CKL-718</v>
      </c>
      <c r="E445" t="str">
        <v/>
      </c>
      <c r="F445" t="str">
        <v>867162029820636</v>
      </c>
      <c r="G445" t="str">
        <v>TBD</v>
      </c>
      <c r="H445" t="str">
        <v/>
      </c>
      <c r="I445" t="str">
        <v>28/09/2026</v>
      </c>
      <c r="J445" t="str">
        <v>18:25:51</v>
      </c>
      <c r="K445">
        <v>-12.220083</v>
      </c>
      <c r="L445">
        <v>-76.97559</v>
      </c>
      <c r="M445">
        <f>HYPERLINK("https://www.google.com/maps/search/?api=1&amp;query=-12.220083,-76.97559","Antigua Panamericana Sur, Villa El Salvador, Lima")</f>
      </c>
      <c r="N445">
        <v>7.6</v>
      </c>
      <c r="O445">
        <v>100</v>
      </c>
      <c r="P445">
        <v>22706.7</v>
      </c>
      <c r="Q445" t="str">
        <v>123.68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CKL-718</v>
      </c>
      <c r="D446" t="str">
        <v>CKL-718</v>
      </c>
      <c r="E446" t="str">
        <v/>
      </c>
      <c r="F446" t="str">
        <v>867162029820636</v>
      </c>
      <c r="G446" t="str">
        <v>TBD</v>
      </c>
      <c r="H446" t="str">
        <v/>
      </c>
      <c r="I446" t="str">
        <v>28/09/2026</v>
      </c>
      <c r="J446" t="str">
        <v>18:26:19</v>
      </c>
      <c r="K446">
        <v>-12.218319</v>
      </c>
      <c r="L446">
        <v>-76.97556</v>
      </c>
      <c r="M446">
        <f>HYPERLINK("https://www.google.com/maps/search/?api=1&amp;query=-12.218319,-76.97556","Antigua Panamericana Sur, Villa El Salvador, Lima")</f>
      </c>
      <c r="N446">
        <v>37.9</v>
      </c>
      <c r="O446">
        <v>100</v>
      </c>
      <c r="P446">
        <v>22706.9</v>
      </c>
      <c r="Q446" t="str">
        <v>123.68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CKL-718</v>
      </c>
      <c r="D447" t="str">
        <v>CKL-718</v>
      </c>
      <c r="E447" t="str">
        <v/>
      </c>
      <c r="F447" t="str">
        <v>867162029820636</v>
      </c>
      <c r="G447" t="str">
        <v>TBD</v>
      </c>
      <c r="H447" t="str">
        <v/>
      </c>
      <c r="I447" t="str">
        <v>28/09/2026</v>
      </c>
      <c r="J447" t="str">
        <v>18:26:37</v>
      </c>
      <c r="K447">
        <v>-12.21732</v>
      </c>
      <c r="L447">
        <v>-76.97635</v>
      </c>
      <c r="M447">
        <f>HYPERLINK("https://www.google.com/maps/search/?api=1&amp;query=-12.21732,-76.97635","Antigua Panamericana Sur, Villa El Salvador, Lima")</f>
      </c>
      <c r="N447">
        <v>18.1</v>
      </c>
      <c r="O447">
        <v>100</v>
      </c>
      <c r="P447">
        <v>22707</v>
      </c>
      <c r="Q447" t="str">
        <v>123.68</v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CKL-718</v>
      </c>
      <c r="D448" t="str">
        <v>CKL-718</v>
      </c>
      <c r="E448" t="str">
        <v/>
      </c>
      <c r="F448" t="str">
        <v>867162029820636</v>
      </c>
      <c r="G448" t="str">
        <v>TBD</v>
      </c>
      <c r="H448" t="str">
        <v/>
      </c>
      <c r="I448" t="str">
        <v>28/09/2026</v>
      </c>
      <c r="J448" t="str">
        <v>18:26:40</v>
      </c>
      <c r="K448">
        <v>-12.217236</v>
      </c>
      <c r="L448">
        <v>-76.97652</v>
      </c>
      <c r="M448">
        <f>HYPERLINK("https://www.google.com/maps/search/?api=1&amp;query=-12.217236,-76.97652","Antigua Panamericana Sur, Villa El Salvador, Lima")</f>
      </c>
      <c r="N448">
        <v>11.3</v>
      </c>
      <c r="O448">
        <v>100</v>
      </c>
      <c r="P448">
        <v>22707</v>
      </c>
      <c r="Q448" t="str">
        <v>123.68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CKL-718</v>
      </c>
      <c r="D449" t="str">
        <v>CKL-718</v>
      </c>
      <c r="E449" t="str">
        <v/>
      </c>
      <c r="F449" t="str">
        <v>867162029820636</v>
      </c>
      <c r="G449" t="str">
        <v>TBD</v>
      </c>
      <c r="H449" t="str">
        <v/>
      </c>
      <c r="I449" t="str">
        <v>28/09/2026</v>
      </c>
      <c r="J449" t="str">
        <v>18:26:46</v>
      </c>
      <c r="K449">
        <v>-12.217366</v>
      </c>
      <c r="L449">
        <v>-76.97665</v>
      </c>
      <c r="M449">
        <f>HYPERLINK("https://www.google.com/maps/search/?api=1&amp;query=-12.217366,-76.97665","Antigua Panamericana Sur, Villa El Salvador, Lima")</f>
      </c>
      <c r="N449">
        <v>13.7</v>
      </c>
      <c r="O449">
        <v>100</v>
      </c>
      <c r="P449">
        <v>22707</v>
      </c>
      <c r="Q449" t="str">
        <v>123.68</v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CKL-718</v>
      </c>
      <c r="D450" t="str">
        <v>CKL-718</v>
      </c>
      <c r="E450" t="str">
        <v/>
      </c>
      <c r="F450" t="str">
        <v>867162029820636</v>
      </c>
      <c r="G450" t="str">
        <v>TBD</v>
      </c>
      <c r="H450" t="str">
        <v/>
      </c>
      <c r="I450" t="str">
        <v>28/09/2026</v>
      </c>
      <c r="J450" t="str">
        <v>18:26:52</v>
      </c>
      <c r="K450">
        <v>-12.217538</v>
      </c>
      <c r="L450">
        <v>-76.976555</v>
      </c>
      <c r="M450">
        <f>HYPERLINK("https://www.google.com/maps/search/?api=1&amp;query=-12.217538,-76.976555","Antigua Panamericana Sur, Villa El Salvador, Lima")</f>
      </c>
      <c r="N450">
        <v>13.9</v>
      </c>
      <c r="O450">
        <v>100</v>
      </c>
      <c r="P450">
        <v>22707.1</v>
      </c>
      <c r="Q450" t="str">
        <v>123.68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CKL-718</v>
      </c>
      <c r="D451" t="str">
        <v>CKL-718</v>
      </c>
      <c r="E451" t="str">
        <v/>
      </c>
      <c r="F451" t="str">
        <v>867162029820636</v>
      </c>
      <c r="G451" t="str">
        <v>TBD</v>
      </c>
      <c r="H451" t="str">
        <v/>
      </c>
      <c r="I451" t="str">
        <v>28/09/2026</v>
      </c>
      <c r="J451" t="str">
        <v>18:27:13</v>
      </c>
      <c r="K451">
        <v>-12.218655</v>
      </c>
      <c r="L451">
        <v>-76.975624</v>
      </c>
      <c r="M451">
        <f>HYPERLINK("https://www.google.com/maps/search/?api=1&amp;query=-12.218655,-76.975624","Antigua Panamericana Sur, Villa El Salvador, Lima")</f>
      </c>
      <c r="N451">
        <v>37.6</v>
      </c>
      <c r="O451">
        <v>100</v>
      </c>
      <c r="P451">
        <v>22707.2</v>
      </c>
      <c r="Q451" t="str">
        <v>123.68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CKL-718</v>
      </c>
      <c r="D452" t="str">
        <v>CKL-718</v>
      </c>
      <c r="E452" t="str">
        <v/>
      </c>
      <c r="F452" t="str">
        <v>867162029820636</v>
      </c>
      <c r="G452" t="str">
        <v>TBD</v>
      </c>
      <c r="H452" t="str">
        <v/>
      </c>
      <c r="I452" t="str">
        <v>28/09/2026</v>
      </c>
      <c r="J452" t="str">
        <v>18:27:37</v>
      </c>
      <c r="K452">
        <v>-12.220751</v>
      </c>
      <c r="L452">
        <v>-76.97578</v>
      </c>
      <c r="M452">
        <f>HYPERLINK("https://www.google.com/maps/search/?api=1&amp;query=-12.220751,-76.97578","Antigua Panamericana Sur, Villa El Salvador, Lima")</f>
      </c>
      <c r="N452">
        <v>36.7</v>
      </c>
      <c r="O452">
        <v>100</v>
      </c>
      <c r="P452">
        <v>22707.5</v>
      </c>
      <c r="Q452" t="str">
        <v>123.68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CKL-718</v>
      </c>
      <c r="D453" t="str">
        <v>CKL-718</v>
      </c>
      <c r="E453" t="str">
        <v/>
      </c>
      <c r="F453" t="str">
        <v>867162029820636</v>
      </c>
      <c r="G453" t="str">
        <v>TBD</v>
      </c>
      <c r="H453" t="str">
        <v/>
      </c>
      <c r="I453" t="str">
        <v>28/09/2026</v>
      </c>
      <c r="J453" t="str">
        <v>18:27:37</v>
      </c>
      <c r="K453">
        <v>-12.220984</v>
      </c>
      <c r="L453">
        <v>-76.97564</v>
      </c>
      <c r="M453">
        <f>HYPERLINK("https://www.google.com/maps/search/?api=1&amp;query=-12.220984,-76.97564","Antigua Panamericana Sur, Villa El Salvador, Lima")</f>
      </c>
      <c r="N453">
        <v>35.8</v>
      </c>
      <c r="O453">
        <v>100</v>
      </c>
      <c r="P453">
        <v>22707.5</v>
      </c>
      <c r="Q453" t="str">
        <v>123.68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CKL-718</v>
      </c>
      <c r="D454" t="str">
        <v>CKL-718</v>
      </c>
      <c r="E454" t="str">
        <v/>
      </c>
      <c r="F454" t="str">
        <v>867162029820636</v>
      </c>
      <c r="G454" t="str">
        <v>TBD</v>
      </c>
      <c r="H454" t="str">
        <v/>
      </c>
      <c r="I454" t="str">
        <v>28/09/2026</v>
      </c>
      <c r="J454" t="str">
        <v>18:28:13</v>
      </c>
      <c r="K454">
        <v>-12.222199</v>
      </c>
      <c r="L454">
        <v>-76.9744</v>
      </c>
      <c r="M454">
        <f>HYPERLINK("https://www.google.com/maps/search/?api=1&amp;query=-12.222199,-76.9744","Avenida El Sol, Villa El Salvador, Lima")</f>
      </c>
      <c r="N454">
        <v>7.5</v>
      </c>
      <c r="O454">
        <v>100</v>
      </c>
      <c r="P454">
        <v>22707.7</v>
      </c>
      <c r="Q454" t="str">
        <v>123.68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CKL-718</v>
      </c>
      <c r="D455" t="str">
        <v>CKL-718</v>
      </c>
      <c r="E455" t="str">
        <v/>
      </c>
      <c r="F455" t="str">
        <v>867162029820636</v>
      </c>
      <c r="G455" t="str">
        <v>TBD</v>
      </c>
      <c r="H455" t="str">
        <v/>
      </c>
      <c r="I455" t="str">
        <v>28/09/2026</v>
      </c>
      <c r="J455" t="str">
        <v>18:28:16</v>
      </c>
      <c r="K455">
        <v>-12.222152</v>
      </c>
      <c r="L455">
        <v>-76.97434</v>
      </c>
      <c r="M455">
        <f>HYPERLINK("https://www.google.com/maps/search/?api=1&amp;query=-12.222152,-76.97434","Avenida El Sol, Villa El Salvador, Lima")</f>
      </c>
      <c r="N455">
        <v>8.6</v>
      </c>
      <c r="O455">
        <v>100</v>
      </c>
      <c r="P455">
        <v>22707.7</v>
      </c>
      <c r="Q455" t="str">
        <v>123.68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CKL-718</v>
      </c>
      <c r="D456" t="str">
        <v>CKL-718</v>
      </c>
      <c r="E456" t="str">
        <v/>
      </c>
      <c r="F456" t="str">
        <v>867162029820636</v>
      </c>
      <c r="G456" t="str">
        <v>TBD</v>
      </c>
      <c r="H456" t="str">
        <v/>
      </c>
      <c r="I456" t="str">
        <v>28/09/2026</v>
      </c>
      <c r="J456" t="str">
        <v>18:28:32</v>
      </c>
      <c r="K456">
        <v>-12.222152</v>
      </c>
      <c r="L456">
        <v>-76.97434</v>
      </c>
      <c r="M456">
        <f>HYPERLINK("https://www.google.com/maps/search/?api=1&amp;query=-12.222152,-76.97434","Avenida El Sol, Villa El Salvador, Lima")</f>
      </c>
      <c r="N456">
        <v>8.6</v>
      </c>
      <c r="O456">
        <v>100</v>
      </c>
      <c r="P456">
        <v>22707.7</v>
      </c>
      <c r="Q456" t="str">
        <v>123.68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CKL-718</v>
      </c>
      <c r="D457" t="str">
        <v>CKL-718</v>
      </c>
      <c r="E457" t="str">
        <v/>
      </c>
      <c r="F457" t="str">
        <v>867162029820636</v>
      </c>
      <c r="G457" t="str">
        <v>TBD</v>
      </c>
      <c r="H457" t="str">
        <v/>
      </c>
      <c r="I457" t="str">
        <v>28/09/2026</v>
      </c>
      <c r="J457" t="str">
        <v>18:29:32</v>
      </c>
      <c r="K457">
        <v>-12.22155</v>
      </c>
      <c r="L457">
        <v>-76.97374</v>
      </c>
      <c r="M457">
        <f>HYPERLINK("https://www.google.com/maps/search/?api=1&amp;query=-12.22155,-76.97374","Avenida El Sol, Villa El Salvador, Lima")</f>
      </c>
      <c r="N457">
        <v>31.2</v>
      </c>
      <c r="O457">
        <v>100</v>
      </c>
      <c r="P457">
        <v>22708.1</v>
      </c>
      <c r="Q457" t="str">
        <v>123.68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CKL-718</v>
      </c>
      <c r="D458" t="str">
        <v>CKL-718</v>
      </c>
      <c r="E458" t="str">
        <v/>
      </c>
      <c r="F458" t="str">
        <v>867162029820636</v>
      </c>
      <c r="G458" t="str">
        <v>TBD</v>
      </c>
      <c r="H458" t="str">
        <v/>
      </c>
      <c r="I458" t="str">
        <v>28/09/2026</v>
      </c>
      <c r="J458" t="str">
        <v>18:30:32</v>
      </c>
      <c r="K458">
        <v>-12.219366</v>
      </c>
      <c r="L458">
        <v>-76.971306</v>
      </c>
      <c r="M458">
        <f>HYPERLINK("https://www.google.com/maps/search/?api=1&amp;query=-12.219366,-76.971306","Avenida El Sol, Villa El Salvador, Lima")</f>
      </c>
      <c r="N458">
        <v>16.3</v>
      </c>
      <c r="O458">
        <v>100</v>
      </c>
      <c r="P458">
        <v>22708.4</v>
      </c>
      <c r="Q458" t="str">
        <v>123.68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CKL-718</v>
      </c>
      <c r="D459" t="str">
        <v>CKL-718</v>
      </c>
      <c r="E459" t="str">
        <v/>
      </c>
      <c r="F459" t="str">
        <v>867162029820636</v>
      </c>
      <c r="G459" t="str">
        <v>TBD</v>
      </c>
      <c r="H459" t="str">
        <v/>
      </c>
      <c r="I459" t="str">
        <v>28/09/2026</v>
      </c>
      <c r="J459" t="str">
        <v>18:31:32</v>
      </c>
      <c r="K459">
        <v>-12.217411</v>
      </c>
      <c r="L459">
        <v>-76.969284</v>
      </c>
      <c r="M459">
        <f>HYPERLINK("https://www.google.com/maps/search/?api=1&amp;query=-12.217411,-76.969284","Avenida El Sol, Villa El Salvador, Lima")</f>
      </c>
      <c r="N459">
        <v>27.2</v>
      </c>
      <c r="O459">
        <v>100</v>
      </c>
      <c r="P459">
        <v>22708.8</v>
      </c>
      <c r="Q459" t="str">
        <v>123.68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CKL-718</v>
      </c>
      <c r="D460" t="str">
        <v>CKL-718</v>
      </c>
      <c r="E460" t="str">
        <v/>
      </c>
      <c r="F460" t="str">
        <v>867162029820636</v>
      </c>
      <c r="G460" t="str">
        <v>TBD</v>
      </c>
      <c r="H460" t="str">
        <v/>
      </c>
      <c r="I460" t="str">
        <v>28/09/2026</v>
      </c>
      <c r="J460" t="str">
        <v>18:32:32</v>
      </c>
      <c r="K460">
        <v>-12.214603</v>
      </c>
      <c r="L460">
        <v>-76.96687</v>
      </c>
      <c r="M460">
        <f>HYPERLINK("https://www.google.com/maps/search/?api=1&amp;query=-12.214603,-76.96687","Avenida El Sol, Villa El Salvador, Lima")</f>
      </c>
      <c r="N460">
        <v>30.6</v>
      </c>
      <c r="O460">
        <v>100</v>
      </c>
      <c r="P460">
        <v>22709.3</v>
      </c>
      <c r="Q460" t="str">
        <v>123.68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CKL-718</v>
      </c>
      <c r="D461" t="str">
        <v>CKL-718</v>
      </c>
      <c r="E461" t="str">
        <v/>
      </c>
      <c r="F461" t="str">
        <v>867162029820636</v>
      </c>
      <c r="G461" t="str">
        <v>TBD</v>
      </c>
      <c r="H461" t="str">
        <v/>
      </c>
      <c r="I461" t="str">
        <v>28/09/2026</v>
      </c>
      <c r="J461" t="str">
        <v>18:32:58</v>
      </c>
      <c r="K461">
        <v>-12.212034</v>
      </c>
      <c r="L461">
        <v>-76.963455</v>
      </c>
      <c r="M461">
        <f>HYPERLINK("https://www.google.com/maps/search/?api=1&amp;query=-12.212034,-76.963455","Avenida El Sol, Villa El Salvador, Lima")</f>
      </c>
      <c r="N461">
        <v>33.1</v>
      </c>
      <c r="O461">
        <v>100</v>
      </c>
      <c r="P461">
        <v>22709.5</v>
      </c>
      <c r="Q461" t="str">
        <v>123.68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CKL-718</v>
      </c>
      <c r="D462" t="str">
        <v>CKL-718</v>
      </c>
      <c r="E462" t="str">
        <v/>
      </c>
      <c r="F462" t="str">
        <v>867162029820636</v>
      </c>
      <c r="G462" t="str">
        <v>TBD</v>
      </c>
      <c r="H462" t="str">
        <v/>
      </c>
      <c r="I462" t="str">
        <v>28/09/2026</v>
      </c>
      <c r="J462" t="str">
        <v>18:32:58</v>
      </c>
      <c r="K462">
        <v>-12.211279</v>
      </c>
      <c r="L462">
        <v>-76.96203</v>
      </c>
      <c r="M462">
        <f>HYPERLINK("https://www.google.com/maps/search/?api=1&amp;query=-12.211279,-76.96203","Avenida El Sol, Villa El Salvador, Lima")</f>
      </c>
      <c r="N462">
        <v>7</v>
      </c>
      <c r="O462">
        <v>100</v>
      </c>
      <c r="P462">
        <v>22709.5</v>
      </c>
      <c r="Q462" t="str">
        <v>123.68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CKL-718</v>
      </c>
      <c r="D463" t="str">
        <v>CKL-718</v>
      </c>
      <c r="E463" t="str">
        <v/>
      </c>
      <c r="F463" t="str">
        <v>867162029820636</v>
      </c>
      <c r="G463" t="str">
        <v>TBD</v>
      </c>
      <c r="H463" t="str">
        <v/>
      </c>
      <c r="I463" t="str">
        <v>28/09/2026</v>
      </c>
      <c r="J463" t="str">
        <v>18:33:01</v>
      </c>
      <c r="K463">
        <v>-12.211315</v>
      </c>
      <c r="L463">
        <v>-76.962</v>
      </c>
      <c r="M463">
        <f>HYPERLINK("https://www.google.com/maps/search/?api=1&amp;query=-12.211315,-76.962","Calle 1, Villa El Salvador, Lima")</f>
      </c>
      <c r="N463">
        <v>5.4</v>
      </c>
      <c r="O463">
        <v>100</v>
      </c>
      <c r="P463">
        <v>22709.5</v>
      </c>
      <c r="Q463" t="str">
        <v>123.68</v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CKL-718</v>
      </c>
      <c r="D464" t="str">
        <v>CKL-718</v>
      </c>
      <c r="E464" t="str">
        <v/>
      </c>
      <c r="F464" t="str">
        <v>867162029820636</v>
      </c>
      <c r="G464" t="str">
        <v>TBD</v>
      </c>
      <c r="H464" t="str">
        <v/>
      </c>
      <c r="I464" t="str">
        <v>28/09/2026</v>
      </c>
      <c r="J464" t="str">
        <v>18:33:57</v>
      </c>
      <c r="K464">
        <v>-12.211682</v>
      </c>
      <c r="L464">
        <v>-76.9617</v>
      </c>
      <c r="M464">
        <f>HYPERLINK("https://www.google.com/maps/search/?api=1&amp;query=-12.211682,-76.9617","Calle 1, Villa El Salvador, Lima")</f>
      </c>
      <c r="N464">
        <v>9.6</v>
      </c>
      <c r="O464">
        <v>100</v>
      </c>
      <c r="P464">
        <v>22709.6</v>
      </c>
      <c r="Q464" t="str">
        <v>123.68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CKL-718</v>
      </c>
      <c r="D465" t="str">
        <v>CKL-718</v>
      </c>
      <c r="E465" t="str">
        <v/>
      </c>
      <c r="F465" t="str">
        <v>867162029820636</v>
      </c>
      <c r="G465" t="str">
        <v>TBD</v>
      </c>
      <c r="H465" t="str">
        <v/>
      </c>
      <c r="I465" t="str">
        <v>28/09/2026</v>
      </c>
      <c r="J465" t="str">
        <v>18:34:57</v>
      </c>
      <c r="K465">
        <v>-12.212934</v>
      </c>
      <c r="L465">
        <v>-76.96091</v>
      </c>
      <c r="M465">
        <f>HYPERLINK("https://www.google.com/maps/search/?api=1&amp;query=-12.212934,-76.96091","Calle 1, Villa El Salvador, Lima")</f>
      </c>
      <c r="N465">
        <v>9</v>
      </c>
      <c r="O465">
        <v>100</v>
      </c>
      <c r="P465">
        <v>22709.8</v>
      </c>
      <c r="Q465" t="str">
        <v>123.68</v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CKL-718</v>
      </c>
      <c r="D466" t="str">
        <v>CKL-718</v>
      </c>
      <c r="E466" t="str">
        <v/>
      </c>
      <c r="F466" t="str">
        <v>867162029820636</v>
      </c>
      <c r="G466" t="str">
        <v>TBD</v>
      </c>
      <c r="H466" t="str">
        <v/>
      </c>
      <c r="I466" t="str">
        <v>28/09/2026</v>
      </c>
      <c r="J466" t="str">
        <v>18:35:07</v>
      </c>
      <c r="K466">
        <v>-12.21355</v>
      </c>
      <c r="L466">
        <v>-76.96049</v>
      </c>
      <c r="M466">
        <f>HYPERLINK("https://www.google.com/maps/search/?api=1&amp;query=-12.21355,-76.96049","Avenida Villa del Mar, Villa El Salvador, Lima")</f>
      </c>
      <c r="N466">
        <v>7.9</v>
      </c>
      <c r="O466">
        <v>100</v>
      </c>
      <c r="P466">
        <v>22709.8</v>
      </c>
      <c r="Q466" t="str">
        <v>123.68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CKL-718</v>
      </c>
      <c r="D467" t="str">
        <v>CKL-718</v>
      </c>
      <c r="E467" t="str">
        <v/>
      </c>
      <c r="F467" t="str">
        <v>867162029820636</v>
      </c>
      <c r="G467" t="str">
        <v>TBD</v>
      </c>
      <c r="H467" t="str">
        <v/>
      </c>
      <c r="I467" t="str">
        <v>28/09/2026</v>
      </c>
      <c r="J467" t="str">
        <v>18:35:13</v>
      </c>
      <c r="K467">
        <v>-12.213502</v>
      </c>
      <c r="L467">
        <v>-76.960365</v>
      </c>
      <c r="M467">
        <f>HYPERLINK("https://www.google.com/maps/search/?api=1&amp;query=-12.213502,-76.960365","Avenida Villa del Mar, Villa El Salvador, Lima")</f>
      </c>
      <c r="N467">
        <v>10.2</v>
      </c>
      <c r="O467">
        <v>100</v>
      </c>
      <c r="P467">
        <v>22709.8</v>
      </c>
      <c r="Q467" t="str">
        <v>123.68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CKL-718</v>
      </c>
      <c r="D468" t="str">
        <v>CKL-718</v>
      </c>
      <c r="E468" t="str">
        <v/>
      </c>
      <c r="F468" t="str">
        <v>867162029820636</v>
      </c>
      <c r="G468" t="str">
        <v>TBD</v>
      </c>
      <c r="H468" t="str">
        <v/>
      </c>
      <c r="I468" t="str">
        <v>28/09/2026</v>
      </c>
      <c r="J468" t="str">
        <v>18:35:58</v>
      </c>
      <c r="K468">
        <v>-12.213209</v>
      </c>
      <c r="L468">
        <v>-76.95992</v>
      </c>
      <c r="M468">
        <f>HYPERLINK("https://www.google.com/maps/search/?api=1&amp;query=-12.213209,-76.95992","Avenida Villa del Mar, Villa El Salvador, Lima")</f>
      </c>
      <c r="N468">
        <v>9.5</v>
      </c>
      <c r="O468">
        <v>100</v>
      </c>
      <c r="P468">
        <v>22709.6</v>
      </c>
      <c r="Q468" t="str">
        <v>123.77</v>
      </c>
      <c r="R468" t="str">
        <v>Llegó a la zona</v>
      </c>
      <c r="S468" t="str">
        <v>BASE-OSLOGISTICS</v>
      </c>
      <c r="T468" t="str">
        <v xml:space="preserve"> </v>
      </c>
      <c r="U468" t="str">
        <v/>
      </c>
    </row>
    <row r="469">
      <c r="A469" t="str">
        <v>468</v>
      </c>
      <c r="B469" t="str">
        <v>MASS BSF</v>
      </c>
      <c r="C469" t="str">
        <v>CKL-718</v>
      </c>
      <c r="D469" t="str">
        <v>CKL-718</v>
      </c>
      <c r="E469" t="str">
        <v/>
      </c>
      <c r="F469" t="str">
        <v>867162029820636</v>
      </c>
      <c r="G469" t="str">
        <v>TBD</v>
      </c>
      <c r="H469" t="str">
        <v/>
      </c>
      <c r="I469" t="str">
        <v>28/09/2026</v>
      </c>
      <c r="J469" t="str">
        <v>18:35:58</v>
      </c>
      <c r="K469">
        <v>-12.213209</v>
      </c>
      <c r="L469">
        <v>-76.95992</v>
      </c>
      <c r="M469">
        <f>HYPERLINK("https://www.google.com/maps/search/?api=1&amp;query=-12.213209,-76.95992","Avenida Villa del Mar, Villa El Salvador, Lima")</f>
      </c>
      <c r="N469">
        <v>9.5</v>
      </c>
      <c r="O469">
        <v>100</v>
      </c>
      <c r="P469">
        <v>22709.9</v>
      </c>
      <c r="Q469" t="str">
        <v>123.68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CKL-718</v>
      </c>
      <c r="D470" t="str">
        <v>CKL-718</v>
      </c>
      <c r="E470" t="str">
        <v/>
      </c>
      <c r="F470" t="str">
        <v>867162029820636</v>
      </c>
      <c r="G470" t="str">
        <v>TBD</v>
      </c>
      <c r="H470" t="str">
        <v/>
      </c>
      <c r="I470" t="str">
        <v>28/09/2026</v>
      </c>
      <c r="J470" t="str">
        <v>18:36:58</v>
      </c>
      <c r="K470">
        <v>-12.212956</v>
      </c>
      <c r="L470">
        <v>-76.95951</v>
      </c>
      <c r="M470">
        <f>HYPERLINK("https://www.google.com/maps/search/?api=1&amp;query=-12.212956,-76.95951","Avenida Villa del Mar, Villa El Salvador, Lima")</f>
      </c>
      <c r="N470">
        <v>0</v>
      </c>
      <c r="O470">
        <v>100</v>
      </c>
      <c r="P470">
        <v>22709.9</v>
      </c>
      <c r="Q470" t="str">
        <v>123.68</v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CKL-718</v>
      </c>
      <c r="D471" t="str">
        <v>CKL-718</v>
      </c>
      <c r="E471" t="str">
        <v/>
      </c>
      <c r="F471" t="str">
        <v>867162029820636</v>
      </c>
      <c r="G471" t="str">
        <v>TBD</v>
      </c>
      <c r="H471" t="str">
        <v/>
      </c>
      <c r="I471" t="str">
        <v>28/09/2026</v>
      </c>
      <c r="J471" t="str">
        <v>18:37:58</v>
      </c>
      <c r="K471">
        <v>-12.21289</v>
      </c>
      <c r="L471">
        <v>-76.9594</v>
      </c>
      <c r="M471">
        <f>HYPERLINK("https://www.google.com/maps/search/?api=1&amp;query=-12.21289,-76.9594","Avenida Villa del Mar, Villa El Salvador, Lima")</f>
      </c>
      <c r="N471">
        <v>5.1</v>
      </c>
      <c r="O471">
        <v>100</v>
      </c>
      <c r="P471">
        <v>22710</v>
      </c>
      <c r="Q471" t="str">
        <v>123.68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CKL-718</v>
      </c>
      <c r="D472" t="str">
        <v>CKL-718</v>
      </c>
      <c r="E472" t="str">
        <v/>
      </c>
      <c r="F472" t="str">
        <v>867162029820636</v>
      </c>
      <c r="G472" t="str">
        <v>TBD</v>
      </c>
      <c r="H472" t="str">
        <v/>
      </c>
      <c r="I472" t="str">
        <v>28/09/2026</v>
      </c>
      <c r="J472" t="str">
        <v>18:38:04</v>
      </c>
      <c r="K472">
        <v>-12.212882</v>
      </c>
      <c r="L472">
        <v>-76.95936</v>
      </c>
      <c r="M472">
        <f>HYPERLINK("https://www.google.com/maps/search/?api=1&amp;query=-12.212882,-76.95936","Avenida Villa del Mar, Villa El Salvador, Lima")</f>
      </c>
      <c r="N472">
        <v>3.3</v>
      </c>
      <c r="O472">
        <v>100</v>
      </c>
      <c r="P472">
        <v>22710</v>
      </c>
      <c r="Q472" t="str">
        <v>123.68</v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CKL-718</v>
      </c>
      <c r="D473" t="str">
        <v>CKL-718</v>
      </c>
      <c r="E473" t="str">
        <v/>
      </c>
      <c r="F473" t="str">
        <v>867162029820636</v>
      </c>
      <c r="G473" t="str">
        <v>TBD</v>
      </c>
      <c r="H473" t="str">
        <v/>
      </c>
      <c r="I473" t="str">
        <v>28/09/2026</v>
      </c>
      <c r="J473" t="str">
        <v>18:38:57</v>
      </c>
      <c r="K473">
        <v>-12.212882</v>
      </c>
      <c r="L473">
        <v>-76.95936</v>
      </c>
      <c r="M473">
        <f>HYPERLINK("https://www.google.com/maps/search/?api=1&amp;query=-12.212882,-76.95936","Avenida Villa del Mar, Villa El Salvador, Lima")</f>
      </c>
      <c r="N473">
        <v>3.3</v>
      </c>
      <c r="O473">
        <v>100</v>
      </c>
      <c r="P473">
        <v>22710</v>
      </c>
      <c r="Q473" t="str">
        <v>124.40</v>
      </c>
      <c r="R473" t="str">
        <v>Vehículo apagado</v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CKL-718</v>
      </c>
      <c r="D474" t="str">
        <v>CKL-718</v>
      </c>
      <c r="E474" t="str">
        <v/>
      </c>
      <c r="F474" t="str">
        <v>867162029820636</v>
      </c>
      <c r="G474" t="str">
        <v>TBD</v>
      </c>
      <c r="H474" t="str">
        <v/>
      </c>
      <c r="I474" t="str">
        <v>28/09/2026</v>
      </c>
      <c r="J474" t="str">
        <v>18:39:00</v>
      </c>
      <c r="K474">
        <v>-12.212988</v>
      </c>
      <c r="L474">
        <v>-76.95918</v>
      </c>
      <c r="M474">
        <f>HYPERLINK("https://www.google.com/maps/search/?api=1&amp;query=-12.212988,-76.95918","Avenida Villa del Mar, Villa El Salvador, Lima")</f>
      </c>
      <c r="N474">
        <v>0</v>
      </c>
      <c r="O474">
        <v>100</v>
      </c>
      <c r="P474">
        <v>22710</v>
      </c>
      <c r="Q474" t="str">
        <v>124.40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CKL-718</v>
      </c>
      <c r="D475" t="str">
        <v>CKL-718</v>
      </c>
      <c r="E475" t="str">
        <v/>
      </c>
      <c r="F475" t="str">
        <v>867162029820636</v>
      </c>
      <c r="G475" t="str">
        <v>TBD</v>
      </c>
      <c r="H475" t="str">
        <v/>
      </c>
      <c r="I475" t="str">
        <v>28/09/2026</v>
      </c>
      <c r="J475" t="str">
        <v>18:39:09</v>
      </c>
      <c r="K475">
        <v>-12.212988</v>
      </c>
      <c r="L475">
        <v>-76.95918</v>
      </c>
      <c r="M475">
        <f>HYPERLINK("https://www.google.com/maps/search/?api=1&amp;query=-12.212988,-76.95918","Avenida Villa del Mar, Villa El Salvador, Lima")</f>
      </c>
      <c r="N475">
        <v>0</v>
      </c>
      <c r="O475">
        <v>100</v>
      </c>
      <c r="P475">
        <v>22710</v>
      </c>
      <c r="Q475" t="str">
        <v>124.40</v>
      </c>
      <c r="R475" t="str">
        <v>Vehículo encendido</v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CKL-718</v>
      </c>
      <c r="D476" t="str">
        <v>CKL-718</v>
      </c>
      <c r="E476" t="str">
        <v/>
      </c>
      <c r="F476" t="str">
        <v>867162029820636</v>
      </c>
      <c r="G476" t="str">
        <v>TBD</v>
      </c>
      <c r="H476" t="str">
        <v/>
      </c>
      <c r="I476" t="str">
        <v>28/09/2026</v>
      </c>
      <c r="J476" t="str">
        <v>18:39:13</v>
      </c>
      <c r="K476">
        <v>-12.212988</v>
      </c>
      <c r="L476">
        <v>-76.95918</v>
      </c>
      <c r="M476">
        <f>HYPERLINK("https://www.google.com/maps/search/?api=1&amp;query=-12.212988,-76.95918","Avenida Villa del Mar, Villa El Salvador, Lima")</f>
      </c>
      <c r="N476">
        <v>0</v>
      </c>
      <c r="O476">
        <v>100</v>
      </c>
      <c r="P476">
        <v>22710</v>
      </c>
      <c r="Q476" t="str">
        <v>124.40</v>
      </c>
      <c r="R476" t="str">
        <v>Vehículo apagado</v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CKL-718</v>
      </c>
      <c r="D477" t="str">
        <v>CKL-718</v>
      </c>
      <c r="E477" t="str">
        <v/>
      </c>
      <c r="F477" t="str">
        <v>867162029820636</v>
      </c>
      <c r="G477" t="str">
        <v>TBD</v>
      </c>
      <c r="H477" t="str">
        <v/>
      </c>
      <c r="I477" t="str">
        <v>28/09/2026</v>
      </c>
      <c r="J477" t="str">
        <v>18:39:17</v>
      </c>
      <c r="K477">
        <v>-12.212997</v>
      </c>
      <c r="L477">
        <v>-76.95902</v>
      </c>
      <c r="M477">
        <f>HYPERLINK("https://www.google.com/maps/search/?api=1&amp;query=-12.212997,-76.95902","Avenida Villa del Mar, Villa El Salvador, Lima")</f>
      </c>
      <c r="N477">
        <v>0</v>
      </c>
      <c r="O477">
        <v>100</v>
      </c>
      <c r="P477">
        <v>22710</v>
      </c>
      <c r="Q477" t="str">
        <v>124.40</v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CKL-718</v>
      </c>
      <c r="D478" t="str">
        <v>CKL-718</v>
      </c>
      <c r="E478" t="str">
        <v/>
      </c>
      <c r="F478" t="str">
        <v>867162029820636</v>
      </c>
      <c r="G478" t="str">
        <v>TBD</v>
      </c>
      <c r="H478" t="str">
        <v/>
      </c>
      <c r="I478" t="str">
        <v>28/09/2026</v>
      </c>
      <c r="J478" t="str">
        <v>18:39:44</v>
      </c>
      <c r="K478">
        <v>-12.212997</v>
      </c>
      <c r="L478">
        <v>-76.95902</v>
      </c>
      <c r="M478">
        <f>HYPERLINK("https://www.google.com/maps/search/?api=1&amp;query=-12.212997,-76.95902","Avenida Villa del Mar, Villa El Salvador, Lima")</f>
      </c>
      <c r="N478">
        <v>0</v>
      </c>
      <c r="O478">
        <v>100</v>
      </c>
      <c r="P478">
        <v>22710</v>
      </c>
      <c r="Q478" t="str">
        <v>124.40</v>
      </c>
      <c r="R478" t="str">
        <v>Vehículo encendido</v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CKL-718</v>
      </c>
      <c r="D479" t="str">
        <v>CKL-718</v>
      </c>
      <c r="E479" t="str">
        <v/>
      </c>
      <c r="F479" t="str">
        <v>867162029820636</v>
      </c>
      <c r="G479" t="str">
        <v>TBD</v>
      </c>
      <c r="H479" t="str">
        <v/>
      </c>
      <c r="I479" t="str">
        <v>28/09/2026</v>
      </c>
      <c r="J479" t="str">
        <v>18:39:48</v>
      </c>
      <c r="K479">
        <v>-12.212997</v>
      </c>
      <c r="L479">
        <v>-76.95902</v>
      </c>
      <c r="M479">
        <f>HYPERLINK("https://www.google.com/maps/search/?api=1&amp;query=-12.212997,-76.95902","Avenida Villa del Mar, Villa El Salvador, Lima")</f>
      </c>
      <c r="N479">
        <v>0</v>
      </c>
      <c r="O479">
        <v>100</v>
      </c>
      <c r="P479">
        <v>22710</v>
      </c>
      <c r="Q479" t="str">
        <v>124.40</v>
      </c>
      <c r="R479" t="str">
        <v>Vehículo apagado</v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CKL-718</v>
      </c>
      <c r="D480" t="str">
        <v>CKL-718</v>
      </c>
      <c r="E480" t="str">
        <v/>
      </c>
      <c r="F480" t="str">
        <v>867162029820636</v>
      </c>
      <c r="G480" t="str">
        <v>TBD</v>
      </c>
      <c r="H480" t="str">
        <v/>
      </c>
      <c r="I480" t="str">
        <v>28/09/2026</v>
      </c>
      <c r="J480" t="str">
        <v>18:39:53</v>
      </c>
      <c r="K480">
        <v>-12.213094</v>
      </c>
      <c r="L480">
        <v>-76.95901</v>
      </c>
      <c r="M480">
        <f>HYPERLINK("https://www.google.com/maps/search/?api=1&amp;query=-12.213094,-76.95901","Villa El Salvador, Lima")</f>
      </c>
      <c r="N480">
        <v>0</v>
      </c>
      <c r="O480">
        <v>100</v>
      </c>
      <c r="P480">
        <v>22710</v>
      </c>
      <c r="Q480" t="str">
        <v>124.40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CKL-718</v>
      </c>
      <c r="D481" t="str">
        <v>CKL-718</v>
      </c>
      <c r="E481" t="str">
        <v/>
      </c>
      <c r="F481" t="str">
        <v>867162029820636</v>
      </c>
      <c r="G481" t="str">
        <v>TBD</v>
      </c>
      <c r="H481" t="str">
        <v/>
      </c>
      <c r="I481" t="str">
        <v>28/09/2026</v>
      </c>
      <c r="J481" t="str">
        <v>19:09:52</v>
      </c>
      <c r="K481">
        <v>-12.213094</v>
      </c>
      <c r="L481">
        <v>-76.95901</v>
      </c>
      <c r="M481">
        <f>HYPERLINK("https://www.google.com/maps/search/?api=1&amp;query=-12.213094,-76.95901","Villa El Salvador, Lima")</f>
      </c>
      <c r="N481">
        <v>0</v>
      </c>
      <c r="O481">
        <v>100</v>
      </c>
      <c r="P481">
        <v>22710</v>
      </c>
      <c r="Q481" t="str">
        <v>124.40</v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>481</v>
      </c>
      <c r="B482" t="str">
        <v>MASS BSF</v>
      </c>
      <c r="C482" t="str">
        <v>CKL-718</v>
      </c>
      <c r="D482" t="str">
        <v>CKL-718</v>
      </c>
      <c r="E482" t="str">
        <v/>
      </c>
      <c r="F482" t="str">
        <v>867162029820636</v>
      </c>
      <c r="G482" t="str">
        <v>TBD</v>
      </c>
      <c r="H482" t="str">
        <v/>
      </c>
      <c r="I482" t="str">
        <v>28/09/2026</v>
      </c>
      <c r="J482" t="str">
        <v>19:39:57</v>
      </c>
      <c r="K482">
        <v>-12.213094</v>
      </c>
      <c r="L482">
        <v>-76.95901</v>
      </c>
      <c r="M482">
        <f>HYPERLINK("https://www.google.com/maps/search/?api=1&amp;query=-12.213094,-76.95901","Villa El Salvador, Lima")</f>
      </c>
      <c r="N482">
        <v>0</v>
      </c>
      <c r="O482">
        <v>100</v>
      </c>
      <c r="P482">
        <v>22710</v>
      </c>
      <c r="Q482" t="str">
        <v>124.40</v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CKL-718</v>
      </c>
      <c r="D483" t="str">
        <v>CKL-718</v>
      </c>
      <c r="E483" t="str">
        <v/>
      </c>
      <c r="F483" t="str">
        <v>867162029820636</v>
      </c>
      <c r="G483" t="str">
        <v>TBD</v>
      </c>
      <c r="H483" t="str">
        <v/>
      </c>
      <c r="I483" t="str">
        <v>28/09/2026</v>
      </c>
      <c r="J483" t="str">
        <v>20:10:00</v>
      </c>
      <c r="K483">
        <v>-12.213094</v>
      </c>
      <c r="L483">
        <v>-76.95901</v>
      </c>
      <c r="M483">
        <f>HYPERLINK("https://www.google.com/maps/search/?api=1&amp;query=-12.213094,-76.95901","Villa El Salvador, Lima")</f>
      </c>
      <c r="N483">
        <v>0</v>
      </c>
      <c r="O483">
        <v>100</v>
      </c>
      <c r="P483">
        <v>22710</v>
      </c>
      <c r="Q483" t="str">
        <v>124.40</v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CKL-718</v>
      </c>
      <c r="D484" t="str">
        <v>CKL-718</v>
      </c>
      <c r="E484" t="str">
        <v/>
      </c>
      <c r="F484" t="str">
        <v>867162029820636</v>
      </c>
      <c r="G484" t="str">
        <v>TBD</v>
      </c>
      <c r="H484" t="str">
        <v/>
      </c>
      <c r="I484" t="str">
        <v>28/09/2026</v>
      </c>
      <c r="J484" t="str">
        <v>20:40:03</v>
      </c>
      <c r="K484">
        <v>-12.213094</v>
      </c>
      <c r="L484">
        <v>-76.95901</v>
      </c>
      <c r="M484">
        <f>HYPERLINK("https://www.google.com/maps/search/?api=1&amp;query=-12.213094,-76.95901","Villa El Salvador, Lima")</f>
      </c>
      <c r="N484">
        <v>0</v>
      </c>
      <c r="O484">
        <v>100</v>
      </c>
      <c r="P484">
        <v>22710</v>
      </c>
      <c r="Q484" t="str">
        <v>124.40</v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484</v>
      </c>
      <c r="B485" t="str">
        <v>MASS BSF</v>
      </c>
      <c r="C485" t="str">
        <v>CKL-718</v>
      </c>
      <c r="D485" t="str">
        <v>CKL-718</v>
      </c>
      <c r="E485" t="str">
        <v/>
      </c>
      <c r="F485" t="str">
        <v>867162029820636</v>
      </c>
      <c r="G485" t="str">
        <v>TBD</v>
      </c>
      <c r="H485" t="str">
        <v/>
      </c>
      <c r="I485" t="str">
        <v>28/09/2026</v>
      </c>
      <c r="J485" t="str">
        <v>21:01:42</v>
      </c>
      <c r="K485">
        <v>-12.213067</v>
      </c>
      <c r="L485">
        <v>-76.959045</v>
      </c>
      <c r="M485">
        <f>HYPERLINK("https://www.google.com/maps/search/?api=1&amp;query=-12.213067,-76.959045","Avenida Villa del Mar, Villa El Salvador, Lima")</f>
      </c>
      <c r="N485">
        <v>0</v>
      </c>
      <c r="O485">
        <v>100</v>
      </c>
      <c r="P485">
        <v>22710</v>
      </c>
      <c r="Q485" t="str">
        <v>124.40</v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485</v>
      </c>
      <c r="B486" t="str">
        <v>MASS BSF</v>
      </c>
      <c r="C486" t="str">
        <v>CKL-718</v>
      </c>
      <c r="D486" t="str">
        <v>CKL-718</v>
      </c>
      <c r="E486" t="str">
        <v/>
      </c>
      <c r="F486" t="str">
        <v>867162029820636</v>
      </c>
      <c r="G486" t="str">
        <v>TBD</v>
      </c>
      <c r="H486" t="str">
        <v/>
      </c>
      <c r="I486" t="str">
        <v>28/09/2026</v>
      </c>
      <c r="J486" t="str">
        <v>21:01:42</v>
      </c>
      <c r="K486">
        <v>-12.213067</v>
      </c>
      <c r="L486">
        <v>-76.959045</v>
      </c>
      <c r="M486">
        <f>HYPERLINK("https://www.google.com/maps/search/?api=1&amp;query=-12.213067,-76.959045","Avenida Villa del Mar, Villa El Salvador, Lima")</f>
      </c>
      <c r="N486">
        <v>0</v>
      </c>
      <c r="O486">
        <v>100</v>
      </c>
      <c r="P486">
        <v>22710</v>
      </c>
      <c r="Q486" t="str">
        <v>124.40</v>
      </c>
      <c r="R486" t="str">
        <v/>
      </c>
      <c r="S486" t="str">
        <v/>
      </c>
      <c r="T486" t="str">
        <v/>
      </c>
      <c r="U486" t="str">
        <v/>
      </c>
    </row>
    <row r="487">
      <c r="A487" t="str">
        <v>486</v>
      </c>
      <c r="B487" t="str">
        <v>MASS BSF</v>
      </c>
      <c r="C487" t="str">
        <v>CKL-718</v>
      </c>
      <c r="D487" t="str">
        <v>CKL-718</v>
      </c>
      <c r="E487" t="str">
        <v/>
      </c>
      <c r="F487" t="str">
        <v>867162029820636</v>
      </c>
      <c r="G487" t="str">
        <v>TBD</v>
      </c>
      <c r="H487" t="str">
        <v/>
      </c>
      <c r="I487" t="str">
        <v>28/09/2026</v>
      </c>
      <c r="J487" t="str">
        <v>21:31:43</v>
      </c>
      <c r="K487">
        <v>-12.213067</v>
      </c>
      <c r="L487">
        <v>-76.959045</v>
      </c>
      <c r="M487">
        <f>HYPERLINK("https://www.google.com/maps/search/?api=1&amp;query=-12.213067,-76.959045","Avenida Villa del Mar, Villa El Salvador, Lima")</f>
      </c>
      <c r="N487">
        <v>0</v>
      </c>
      <c r="O487">
        <v>100</v>
      </c>
      <c r="P487">
        <v>22710</v>
      </c>
      <c r="Q487" t="str">
        <v>124.40</v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487</v>
      </c>
      <c r="B488" t="str">
        <v>MASS BSF</v>
      </c>
      <c r="C488" t="str">
        <v>CKL-718</v>
      </c>
      <c r="D488" t="str">
        <v>CKL-718</v>
      </c>
      <c r="E488" t="str">
        <v/>
      </c>
      <c r="F488" t="str">
        <v>867162029820636</v>
      </c>
      <c r="G488" t="str">
        <v>TBD</v>
      </c>
      <c r="H488" t="str">
        <v/>
      </c>
      <c r="I488" t="str">
        <v>28/09/2026</v>
      </c>
      <c r="J488" t="str">
        <v>22:01:48</v>
      </c>
      <c r="K488">
        <v>-12.213067</v>
      </c>
      <c r="L488">
        <v>-76.959045</v>
      </c>
      <c r="M488">
        <f>HYPERLINK("https://www.google.com/maps/search/?api=1&amp;query=-12.213067,-76.959045","Avenida Villa del Mar, Villa El Salvador, Lima")</f>
      </c>
      <c r="N488">
        <v>0</v>
      </c>
      <c r="O488">
        <v>100</v>
      </c>
      <c r="P488">
        <v>22710</v>
      </c>
      <c r="Q488" t="str">
        <v>124.40</v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488</v>
      </c>
      <c r="B489" t="str">
        <v>MASS BSF</v>
      </c>
      <c r="C489" t="str">
        <v>CKL-718</v>
      </c>
      <c r="D489" t="str">
        <v>CKL-718</v>
      </c>
      <c r="E489" t="str">
        <v/>
      </c>
      <c r="F489" t="str">
        <v>867162029820636</v>
      </c>
      <c r="G489" t="str">
        <v>TBD</v>
      </c>
      <c r="H489" t="str">
        <v/>
      </c>
      <c r="I489" t="str">
        <v>28/09/2026</v>
      </c>
      <c r="J489" t="str">
        <v>22:31:52</v>
      </c>
      <c r="K489">
        <v>-12.213067</v>
      </c>
      <c r="L489">
        <v>-76.959045</v>
      </c>
      <c r="M489">
        <f>HYPERLINK("https://www.google.com/maps/search/?api=1&amp;query=-12.213067,-76.959045","Avenida Villa del Mar, Villa El Salvador, Lima")</f>
      </c>
      <c r="N489">
        <v>0</v>
      </c>
      <c r="O489">
        <v>100</v>
      </c>
      <c r="P489">
        <v>22710</v>
      </c>
      <c r="Q489" t="str">
        <v>124.40</v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489</v>
      </c>
      <c r="B490" t="str">
        <v>MASS BSF</v>
      </c>
      <c r="C490" t="str">
        <v>CKL-718</v>
      </c>
      <c r="D490" t="str">
        <v>CKL-718</v>
      </c>
      <c r="E490" t="str">
        <v/>
      </c>
      <c r="F490" t="str">
        <v>867162029820636</v>
      </c>
      <c r="G490" t="str">
        <v>TBD</v>
      </c>
      <c r="H490" t="str">
        <v/>
      </c>
      <c r="I490" t="str">
        <v>28/09/2026</v>
      </c>
      <c r="J490" t="str">
        <v>23:01:57</v>
      </c>
      <c r="K490">
        <v>-12.213067</v>
      </c>
      <c r="L490">
        <v>-76.959045</v>
      </c>
      <c r="M490">
        <f>HYPERLINK("https://www.google.com/maps/search/?api=1&amp;query=-12.213067,-76.959045","Avenida Villa del Mar, Villa El Salvador, Lima")</f>
      </c>
      <c r="N490">
        <v>0</v>
      </c>
      <c r="O490">
        <v>100</v>
      </c>
      <c r="P490">
        <v>22710</v>
      </c>
      <c r="Q490" t="str">
        <v>124.40</v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>490</v>
      </c>
      <c r="B491" t="str">
        <v>MASS BSF</v>
      </c>
      <c r="C491" t="str">
        <v>CKL-718</v>
      </c>
      <c r="D491" t="str">
        <v>CKL-718</v>
      </c>
      <c r="E491" t="str">
        <v/>
      </c>
      <c r="F491" t="str">
        <v>867162029820636</v>
      </c>
      <c r="G491" t="str">
        <v>TBD</v>
      </c>
      <c r="H491" t="str">
        <v/>
      </c>
      <c r="I491" t="str">
        <v>28/09/2026</v>
      </c>
      <c r="J491" t="str">
        <v>23:32:00</v>
      </c>
      <c r="K491">
        <v>-12.213067</v>
      </c>
      <c r="L491">
        <v>-76.959045</v>
      </c>
      <c r="M491">
        <f>HYPERLINK("https://www.google.com/maps/search/?api=1&amp;query=-12.213067,-76.959045","Avenida Villa del Mar, Villa El Salvador, Lima")</f>
      </c>
      <c r="N491">
        <v>0</v>
      </c>
      <c r="O491">
        <v>100</v>
      </c>
      <c r="P491">
        <v>22710</v>
      </c>
      <c r="Q491" t="str">
        <v>124.40</v>
      </c>
      <c r="R491" t="str">
        <v/>
      </c>
      <c r="S491" t="str">
        <v/>
      </c>
      <c r="T491" t="str">
        <v/>
      </c>
      <c r="U491" t="str">
        <v/>
      </c>
    </row>
  </sheetData>
  <ignoredErrors>
    <ignoredError numberStoredAsText="1" sqref="A1:U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