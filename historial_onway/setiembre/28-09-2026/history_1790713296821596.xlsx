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7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F2F-768</v>
      </c>
      <c r="D2" t="str">
        <v>F2F-768</v>
      </c>
      <c r="E2" t="str">
        <v/>
      </c>
      <c r="F2" t="str">
        <v>867162029832136</v>
      </c>
      <c r="G2" t="str">
        <v>TBD</v>
      </c>
      <c r="H2" t="str">
        <v/>
      </c>
      <c r="I2" t="str">
        <v>28/09/2026</v>
      </c>
      <c r="J2" t="str">
        <v>00:02:06</v>
      </c>
      <c r="K2">
        <v>-12.193309</v>
      </c>
      <c r="L2">
        <v>-76.92702</v>
      </c>
      <c r="M2">
        <f>HYPERLINK("https://www.google.com/maps/search/?api=1&amp;query=-12.193309,-76.92702","Avenida La Mariscala, Villa María del Triunfo, Lima")</f>
      </c>
      <c r="N2">
        <v>0</v>
      </c>
      <c r="O2">
        <v>100</v>
      </c>
      <c r="P2">
        <v>3147.2</v>
      </c>
      <c r="Q2" t="str">
        <v>116.03</v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F2F-768</v>
      </c>
      <c r="D3" t="str">
        <v>F2F-768</v>
      </c>
      <c r="E3" t="str">
        <v/>
      </c>
      <c r="F3" t="str">
        <v>867162029832136</v>
      </c>
      <c r="G3" t="str">
        <v>TBD</v>
      </c>
      <c r="H3" t="str">
        <v/>
      </c>
      <c r="I3" t="str">
        <v>28/09/2026</v>
      </c>
      <c r="J3" t="str">
        <v>00:32:08</v>
      </c>
      <c r="K3">
        <v>-12.193309</v>
      </c>
      <c r="L3">
        <v>-76.92702</v>
      </c>
      <c r="M3">
        <f>HYPERLINK("https://www.google.com/maps/search/?api=1&amp;query=-12.193309,-76.92702","Avenida La Mariscala, Villa María del Triunfo, Lima")</f>
      </c>
      <c r="N3">
        <v>0</v>
      </c>
      <c r="O3">
        <v>100</v>
      </c>
      <c r="P3">
        <v>3147.2</v>
      </c>
      <c r="Q3" t="str">
        <v>116.03</v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F2F-768</v>
      </c>
      <c r="D4" t="str">
        <v>F2F-768</v>
      </c>
      <c r="E4" t="str">
        <v/>
      </c>
      <c r="F4" t="str">
        <v>867162029832136</v>
      </c>
      <c r="G4" t="str">
        <v>TBD</v>
      </c>
      <c r="H4" t="str">
        <v/>
      </c>
      <c r="I4" t="str">
        <v>28/09/2026</v>
      </c>
      <c r="J4" t="str">
        <v>01:02:13</v>
      </c>
      <c r="K4">
        <v>-12.193309</v>
      </c>
      <c r="L4">
        <v>-76.92702</v>
      </c>
      <c r="M4">
        <f>HYPERLINK("https://www.google.com/maps/search/?api=1&amp;query=-12.193309,-76.92702","Avenida La Mariscala, Villa María del Triunfo, Lima")</f>
      </c>
      <c r="N4">
        <v>0</v>
      </c>
      <c r="O4">
        <v>100</v>
      </c>
      <c r="P4">
        <v>3147.2</v>
      </c>
      <c r="Q4" t="str">
        <v>116.03</v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F2F-768</v>
      </c>
      <c r="D5" t="str">
        <v>F2F-768</v>
      </c>
      <c r="E5" t="str">
        <v/>
      </c>
      <c r="F5" t="str">
        <v>867162029832136</v>
      </c>
      <c r="G5" t="str">
        <v>TBD</v>
      </c>
      <c r="H5" t="str">
        <v/>
      </c>
      <c r="I5" t="str">
        <v>28/09/2026</v>
      </c>
      <c r="J5" t="str">
        <v>01:32:18</v>
      </c>
      <c r="K5">
        <v>-12.193309</v>
      </c>
      <c r="L5">
        <v>-76.92702</v>
      </c>
      <c r="M5">
        <f>HYPERLINK("https://www.google.com/maps/search/?api=1&amp;query=-12.193309,-76.92702","Avenida La Mariscala, Villa María del Triunfo, Lima")</f>
      </c>
      <c r="N5">
        <v>0</v>
      </c>
      <c r="O5">
        <v>100</v>
      </c>
      <c r="P5">
        <v>3147.2</v>
      </c>
      <c r="Q5" t="str">
        <v>116.03</v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F2F-768</v>
      </c>
      <c r="D6" t="str">
        <v>F2F-768</v>
      </c>
      <c r="E6" t="str">
        <v/>
      </c>
      <c r="F6" t="str">
        <v>867162029832136</v>
      </c>
      <c r="G6" t="str">
        <v>TBD</v>
      </c>
      <c r="H6" t="str">
        <v/>
      </c>
      <c r="I6" t="str">
        <v>28/09/2026</v>
      </c>
      <c r="J6" t="str">
        <v>02:02:23</v>
      </c>
      <c r="K6">
        <v>-12.193309</v>
      </c>
      <c r="L6">
        <v>-76.92702</v>
      </c>
      <c r="M6">
        <f>HYPERLINK("https://www.google.com/maps/search/?api=1&amp;query=-12.193309,-76.92702","Avenida La Mariscala, Villa María del Triunfo, Lima")</f>
      </c>
      <c r="N6">
        <v>0</v>
      </c>
      <c r="O6">
        <v>100</v>
      </c>
      <c r="P6">
        <v>3147.2</v>
      </c>
      <c r="Q6" t="str">
        <v>116.03</v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F2F-768</v>
      </c>
      <c r="D7" t="str">
        <v>F2F-768</v>
      </c>
      <c r="E7" t="str">
        <v/>
      </c>
      <c r="F7" t="str">
        <v>867162029832136</v>
      </c>
      <c r="G7" t="str">
        <v>TBD</v>
      </c>
      <c r="H7" t="str">
        <v/>
      </c>
      <c r="I7" t="str">
        <v>28/09/2026</v>
      </c>
      <c r="J7" t="str">
        <v>02:32:26</v>
      </c>
      <c r="K7">
        <v>-12.193309</v>
      </c>
      <c r="L7">
        <v>-76.92702</v>
      </c>
      <c r="M7">
        <f>HYPERLINK("https://www.google.com/maps/search/?api=1&amp;query=-12.193309,-76.92702","Avenida La Mariscala, Villa María del Triunfo, Lima")</f>
      </c>
      <c r="N7">
        <v>0</v>
      </c>
      <c r="O7">
        <v>100</v>
      </c>
      <c r="P7">
        <v>3147.2</v>
      </c>
      <c r="Q7" t="str">
        <v>116.03</v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F2F-768</v>
      </c>
      <c r="D8" t="str">
        <v>F2F-768</v>
      </c>
      <c r="E8" t="str">
        <v/>
      </c>
      <c r="F8" t="str">
        <v>867162029832136</v>
      </c>
      <c r="G8" t="str">
        <v>TBD</v>
      </c>
      <c r="H8" t="str">
        <v/>
      </c>
      <c r="I8" t="str">
        <v>28/09/2026</v>
      </c>
      <c r="J8" t="str">
        <v>03:02:30</v>
      </c>
      <c r="K8">
        <v>-12.193309</v>
      </c>
      <c r="L8">
        <v>-76.92702</v>
      </c>
      <c r="M8">
        <f>HYPERLINK("https://www.google.com/maps/search/?api=1&amp;query=-12.193309,-76.92702","Avenida La Mariscala, Villa María del Triunfo, Lima")</f>
      </c>
      <c r="N8">
        <v>0</v>
      </c>
      <c r="O8">
        <v>100</v>
      </c>
      <c r="P8">
        <v>3147.2</v>
      </c>
      <c r="Q8" t="str">
        <v>116.03</v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F2F-768</v>
      </c>
      <c r="D9" t="str">
        <v>F2F-768</v>
      </c>
      <c r="E9" t="str">
        <v/>
      </c>
      <c r="F9" t="str">
        <v>867162029832136</v>
      </c>
      <c r="G9" t="str">
        <v>TBD</v>
      </c>
      <c r="H9" t="str">
        <v/>
      </c>
      <c r="I9" t="str">
        <v>28/09/2026</v>
      </c>
      <c r="J9" t="str">
        <v>03:32:34</v>
      </c>
      <c r="K9">
        <v>-12.193309</v>
      </c>
      <c r="L9">
        <v>-76.92702</v>
      </c>
      <c r="M9">
        <f>HYPERLINK("https://www.google.com/maps/search/?api=1&amp;query=-12.193309,-76.92702","Avenida La Mariscala, Villa María del Triunfo, Lima")</f>
      </c>
      <c r="N9">
        <v>0</v>
      </c>
      <c r="O9">
        <v>100</v>
      </c>
      <c r="P9">
        <v>3147.2</v>
      </c>
      <c r="Q9" t="str">
        <v>116.03</v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F2F-768</v>
      </c>
      <c r="D10" t="str">
        <v>F2F-768</v>
      </c>
      <c r="E10" t="str">
        <v/>
      </c>
      <c r="F10" t="str">
        <v>867162029832136</v>
      </c>
      <c r="G10" t="str">
        <v>TBD</v>
      </c>
      <c r="H10" t="str">
        <v/>
      </c>
      <c r="I10" t="str">
        <v>28/09/2026</v>
      </c>
      <c r="J10" t="str">
        <v>04:02:39</v>
      </c>
      <c r="K10">
        <v>-12.193309</v>
      </c>
      <c r="L10">
        <v>-76.92702</v>
      </c>
      <c r="M10">
        <f>HYPERLINK("https://www.google.com/maps/search/?api=1&amp;query=-12.193309,-76.92702","Avenida La Mariscala, Villa María del Triunfo, Lima")</f>
      </c>
      <c r="N10">
        <v>0</v>
      </c>
      <c r="O10">
        <v>100</v>
      </c>
      <c r="P10">
        <v>3147.2</v>
      </c>
      <c r="Q10" t="str">
        <v>116.03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F2F-768</v>
      </c>
      <c r="D11" t="str">
        <v>F2F-768</v>
      </c>
      <c r="E11" t="str">
        <v/>
      </c>
      <c r="F11" t="str">
        <v>867162029832136</v>
      </c>
      <c r="G11" t="str">
        <v>TBD</v>
      </c>
      <c r="H11" t="str">
        <v/>
      </c>
      <c r="I11" t="str">
        <v>28/09/2026</v>
      </c>
      <c r="J11" t="str">
        <v>04:32:43</v>
      </c>
      <c r="K11">
        <v>-12.193309</v>
      </c>
      <c r="L11">
        <v>-76.92702</v>
      </c>
      <c r="M11">
        <f>HYPERLINK("https://www.google.com/maps/search/?api=1&amp;query=-12.193309,-76.92702","Avenida La Mariscala, Villa María del Triunfo, Lima")</f>
      </c>
      <c r="N11">
        <v>0</v>
      </c>
      <c r="O11">
        <v>100</v>
      </c>
      <c r="P11">
        <v>3147.2</v>
      </c>
      <c r="Q11" t="str">
        <v>116.03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F2F-768</v>
      </c>
      <c r="D12" t="str">
        <v>F2F-768</v>
      </c>
      <c r="E12" t="str">
        <v/>
      </c>
      <c r="F12" t="str">
        <v>867162029832136</v>
      </c>
      <c r="G12" t="str">
        <v>TBD</v>
      </c>
      <c r="H12" t="str">
        <v/>
      </c>
      <c r="I12" t="str">
        <v>28/09/2026</v>
      </c>
      <c r="J12" t="str">
        <v>05:02:48</v>
      </c>
      <c r="K12">
        <v>-12.193309</v>
      </c>
      <c r="L12">
        <v>-76.92702</v>
      </c>
      <c r="M12">
        <f>HYPERLINK("https://www.google.com/maps/search/?api=1&amp;query=-12.193309,-76.92702","Avenida La Mariscala, Villa María del Triunfo, Lima")</f>
      </c>
      <c r="N12">
        <v>0</v>
      </c>
      <c r="O12">
        <v>100</v>
      </c>
      <c r="P12">
        <v>3147.2</v>
      </c>
      <c r="Q12" t="str">
        <v>116.03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F2F-768</v>
      </c>
      <c r="D13" t="str">
        <v>F2F-768</v>
      </c>
      <c r="E13" t="str">
        <v/>
      </c>
      <c r="F13" t="str">
        <v>867162029832136</v>
      </c>
      <c r="G13" t="str">
        <v>TBD</v>
      </c>
      <c r="H13" t="str">
        <v/>
      </c>
      <c r="I13" t="str">
        <v>28/09/2026</v>
      </c>
      <c r="J13" t="str">
        <v>05:32:53</v>
      </c>
      <c r="K13">
        <v>-12.193309</v>
      </c>
      <c r="L13">
        <v>-76.92702</v>
      </c>
      <c r="M13">
        <f>HYPERLINK("https://www.google.com/maps/search/?api=1&amp;query=-12.193309,-76.92702","Avenida La Mariscala, Villa María del Triunfo, Lima")</f>
      </c>
      <c r="N13">
        <v>0</v>
      </c>
      <c r="O13">
        <v>100</v>
      </c>
      <c r="P13">
        <v>3147.2</v>
      </c>
      <c r="Q13" t="str">
        <v>116.03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F2F-768</v>
      </c>
      <c r="D14" t="str">
        <v>F2F-768</v>
      </c>
      <c r="E14" t="str">
        <v/>
      </c>
      <c r="F14" t="str">
        <v>867162029832136</v>
      </c>
      <c r="G14" t="str">
        <v>TBD</v>
      </c>
      <c r="H14" t="str">
        <v/>
      </c>
      <c r="I14" t="str">
        <v>28/09/2026</v>
      </c>
      <c r="J14" t="str">
        <v>06:02:57</v>
      </c>
      <c r="K14">
        <v>-12.193309</v>
      </c>
      <c r="L14">
        <v>-76.92702</v>
      </c>
      <c r="M14">
        <f>HYPERLINK("https://www.google.com/maps/search/?api=1&amp;query=-12.193309,-76.92702","Avenida La Mariscala, Villa María del Triunfo, Lima")</f>
      </c>
      <c r="N14">
        <v>0</v>
      </c>
      <c r="O14">
        <v>100</v>
      </c>
      <c r="P14">
        <v>3147.2</v>
      </c>
      <c r="Q14" t="str">
        <v>116.03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F2F-768</v>
      </c>
      <c r="D15" t="str">
        <v>F2F-768</v>
      </c>
      <c r="E15" t="str">
        <v/>
      </c>
      <c r="F15" t="str">
        <v>867162029832136</v>
      </c>
      <c r="G15" t="str">
        <v>TBD</v>
      </c>
      <c r="H15" t="str">
        <v/>
      </c>
      <c r="I15" t="str">
        <v>28/09/2026</v>
      </c>
      <c r="J15" t="str">
        <v>06:33:02</v>
      </c>
      <c r="K15">
        <v>-12.193309</v>
      </c>
      <c r="L15">
        <v>-76.92702</v>
      </c>
      <c r="M15">
        <f>HYPERLINK("https://www.google.com/maps/search/?api=1&amp;query=-12.193309,-76.92702","Avenida La Mariscala, Villa María del Triunfo, Lima")</f>
      </c>
      <c r="N15">
        <v>0</v>
      </c>
      <c r="O15">
        <v>100</v>
      </c>
      <c r="P15">
        <v>3147.2</v>
      </c>
      <c r="Q15" t="str">
        <v>116.03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F2F-768</v>
      </c>
      <c r="D16" t="str">
        <v>F2F-768</v>
      </c>
      <c r="E16" t="str">
        <v/>
      </c>
      <c r="F16" t="str">
        <v>867162029832136</v>
      </c>
      <c r="G16" t="str">
        <v>TBD</v>
      </c>
      <c r="H16" t="str">
        <v/>
      </c>
      <c r="I16" t="str">
        <v>28/09/2026</v>
      </c>
      <c r="J16" t="str">
        <v>07:03:07</v>
      </c>
      <c r="K16">
        <v>-12.193309</v>
      </c>
      <c r="L16">
        <v>-76.92702</v>
      </c>
      <c r="M16">
        <f>HYPERLINK("https://www.google.com/maps/search/?api=1&amp;query=-12.193309,-76.92702","Avenida La Mariscala, Villa María del Triunfo, Lima")</f>
      </c>
      <c r="N16">
        <v>0</v>
      </c>
      <c r="O16">
        <v>100</v>
      </c>
      <c r="P16">
        <v>3147.2</v>
      </c>
      <c r="Q16" t="str">
        <v>116.03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F2F-768</v>
      </c>
      <c r="D17" t="str">
        <v>F2F-768</v>
      </c>
      <c r="E17" t="str">
        <v/>
      </c>
      <c r="F17" t="str">
        <v>867162029832136</v>
      </c>
      <c r="G17" t="str">
        <v>TBD</v>
      </c>
      <c r="H17" t="str">
        <v/>
      </c>
      <c r="I17" t="str">
        <v>28/09/2026</v>
      </c>
      <c r="J17" t="str">
        <v>07:33:09</v>
      </c>
      <c r="K17">
        <v>-12.193309</v>
      </c>
      <c r="L17">
        <v>-76.92702</v>
      </c>
      <c r="M17">
        <f>HYPERLINK("https://www.google.com/maps/search/?api=1&amp;query=-12.193309,-76.92702","Avenida La Mariscala, Villa María del Triunfo, Lima")</f>
      </c>
      <c r="N17">
        <v>0</v>
      </c>
      <c r="O17">
        <v>100</v>
      </c>
      <c r="P17">
        <v>3147.2</v>
      </c>
      <c r="Q17" t="str">
        <v>116.03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F2F-768</v>
      </c>
      <c r="D18" t="str">
        <v>F2F-768</v>
      </c>
      <c r="E18" t="str">
        <v/>
      </c>
      <c r="F18" t="str">
        <v>867162029832136</v>
      </c>
      <c r="G18" t="str">
        <v>TBD</v>
      </c>
      <c r="H18" t="str">
        <v/>
      </c>
      <c r="I18" t="str">
        <v>28/09/2026</v>
      </c>
      <c r="J18" t="str">
        <v>08:03:12</v>
      </c>
      <c r="K18">
        <v>-12.193309</v>
      </c>
      <c r="L18">
        <v>-76.92702</v>
      </c>
      <c r="M18">
        <f>HYPERLINK("https://www.google.com/maps/search/?api=1&amp;query=-12.193309,-76.92702","Avenida La Mariscala, Villa María del Triunfo, Lima")</f>
      </c>
      <c r="N18">
        <v>0</v>
      </c>
      <c r="O18">
        <v>100</v>
      </c>
      <c r="P18">
        <v>3147.2</v>
      </c>
      <c r="Q18" t="str">
        <v>116.03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F2F-768</v>
      </c>
      <c r="D19" t="str">
        <v>F2F-768</v>
      </c>
      <c r="E19" t="str">
        <v/>
      </c>
      <c r="F19" t="str">
        <v>867162029832136</v>
      </c>
      <c r="G19" t="str">
        <v>TBD</v>
      </c>
      <c r="H19" t="str">
        <v/>
      </c>
      <c r="I19" t="str">
        <v>28/09/2026</v>
      </c>
      <c r="J19" t="str">
        <v>08:33:17</v>
      </c>
      <c r="K19">
        <v>-12.193309</v>
      </c>
      <c r="L19">
        <v>-76.92702</v>
      </c>
      <c r="M19">
        <f>HYPERLINK("https://www.google.com/maps/search/?api=1&amp;query=-12.193309,-76.92702","Avenida La Mariscala, Villa María del Triunfo, Lima")</f>
      </c>
      <c r="N19">
        <v>0</v>
      </c>
      <c r="O19">
        <v>100</v>
      </c>
      <c r="P19">
        <v>3147.2</v>
      </c>
      <c r="Q19" t="str">
        <v>116.03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F2F-768</v>
      </c>
      <c r="D20" t="str">
        <v>F2F-768</v>
      </c>
      <c r="E20" t="str">
        <v/>
      </c>
      <c r="F20" t="str">
        <v>867162029832136</v>
      </c>
      <c r="G20" t="str">
        <v>TBD</v>
      </c>
      <c r="H20" t="str">
        <v/>
      </c>
      <c r="I20" t="str">
        <v>28/09/2026</v>
      </c>
      <c r="J20" t="str">
        <v>09:03:20</v>
      </c>
      <c r="K20">
        <v>-12.193309</v>
      </c>
      <c r="L20">
        <v>-76.92702</v>
      </c>
      <c r="M20">
        <f>HYPERLINK("https://www.google.com/maps/search/?api=1&amp;query=-12.193309,-76.92702","Avenida La Mariscala, Villa María del Triunfo, Lima")</f>
      </c>
      <c r="N20">
        <v>0</v>
      </c>
      <c r="O20">
        <v>100</v>
      </c>
      <c r="P20">
        <v>3147.2</v>
      </c>
      <c r="Q20" t="str">
        <v>116.03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F2F-768</v>
      </c>
      <c r="D21" t="str">
        <v>F2F-768</v>
      </c>
      <c r="E21" t="str">
        <v/>
      </c>
      <c r="F21" t="str">
        <v>867162029832136</v>
      </c>
      <c r="G21" t="str">
        <v>TBD</v>
      </c>
      <c r="H21" t="str">
        <v/>
      </c>
      <c r="I21" t="str">
        <v>28/09/2026</v>
      </c>
      <c r="J21" t="str">
        <v>09:33:24</v>
      </c>
      <c r="K21">
        <v>-12.193309</v>
      </c>
      <c r="L21">
        <v>-76.92702</v>
      </c>
      <c r="M21">
        <f>HYPERLINK("https://www.google.com/maps/search/?api=1&amp;query=-12.193309,-76.92702","Avenida La Mariscala, Villa María del Triunfo, Lima")</f>
      </c>
      <c r="N21">
        <v>0</v>
      </c>
      <c r="O21">
        <v>100</v>
      </c>
      <c r="P21">
        <v>3147.2</v>
      </c>
      <c r="Q21" t="str">
        <v>116.03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F2F-768</v>
      </c>
      <c r="D22" t="str">
        <v>F2F-768</v>
      </c>
      <c r="E22" t="str">
        <v/>
      </c>
      <c r="F22" t="str">
        <v>867162029832136</v>
      </c>
      <c r="G22" t="str">
        <v>TBD</v>
      </c>
      <c r="H22" t="str">
        <v/>
      </c>
      <c r="I22" t="str">
        <v>28/09/2026</v>
      </c>
      <c r="J22" t="str">
        <v>10:03:28</v>
      </c>
      <c r="K22">
        <v>-12.193309</v>
      </c>
      <c r="L22">
        <v>-76.92702</v>
      </c>
      <c r="M22">
        <f>HYPERLINK("https://www.google.com/maps/search/?api=1&amp;query=-12.193309,-76.92702","Avenida La Mariscala, Villa María del Triunfo, Lima")</f>
      </c>
      <c r="N22">
        <v>0</v>
      </c>
      <c r="O22">
        <v>100</v>
      </c>
      <c r="P22">
        <v>3147.2</v>
      </c>
      <c r="Q22" t="str">
        <v>116.03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F2F-768</v>
      </c>
      <c r="D23" t="str">
        <v>F2F-768</v>
      </c>
      <c r="E23" t="str">
        <v/>
      </c>
      <c r="F23" t="str">
        <v>867162029832136</v>
      </c>
      <c r="G23" t="str">
        <v>TBD</v>
      </c>
      <c r="H23" t="str">
        <v/>
      </c>
      <c r="I23" t="str">
        <v>28/09/2026</v>
      </c>
      <c r="J23" t="str">
        <v>10:33:32</v>
      </c>
      <c r="K23">
        <v>-12.193309</v>
      </c>
      <c r="L23">
        <v>-76.92702</v>
      </c>
      <c r="M23">
        <f>HYPERLINK("https://www.google.com/maps/search/?api=1&amp;query=-12.193309,-76.92702","Avenida La Mariscala, Villa María del Triunfo, Lima")</f>
      </c>
      <c r="N23">
        <v>0</v>
      </c>
      <c r="O23">
        <v>100</v>
      </c>
      <c r="P23">
        <v>3147.2</v>
      </c>
      <c r="Q23" t="str">
        <v>116.03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F2F-768</v>
      </c>
      <c r="D24" t="str">
        <v>F2F-768</v>
      </c>
      <c r="E24" t="str">
        <v/>
      </c>
      <c r="F24" t="str">
        <v>867162029832136</v>
      </c>
      <c r="G24" t="str">
        <v>TBD</v>
      </c>
      <c r="H24" t="str">
        <v/>
      </c>
      <c r="I24" t="str">
        <v>28/09/2026</v>
      </c>
      <c r="J24" t="str">
        <v>10:49:22</v>
      </c>
      <c r="K24">
        <v>-12.193309</v>
      </c>
      <c r="L24">
        <v>-76.92702</v>
      </c>
      <c r="M24">
        <f>HYPERLINK("https://www.google.com/maps/search/?api=1&amp;query=-12.193309,-76.92702","Avenida La Mariscala, Villa María del Triunfo, Lima")</f>
      </c>
      <c r="N24">
        <v>0</v>
      </c>
      <c r="O24">
        <v>100</v>
      </c>
      <c r="P24">
        <v>3147.2</v>
      </c>
      <c r="Q24" t="str">
        <v>116.03</v>
      </c>
      <c r="R24" t="str">
        <v>Vehículo encendido</v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F2F-768</v>
      </c>
      <c r="D25" t="str">
        <v>F2F-768</v>
      </c>
      <c r="E25" t="str">
        <v/>
      </c>
      <c r="F25" t="str">
        <v>867162029832136</v>
      </c>
      <c r="G25" t="str">
        <v>TBD</v>
      </c>
      <c r="H25" t="str">
        <v/>
      </c>
      <c r="I25" t="str">
        <v>28/09/2026</v>
      </c>
      <c r="J25" t="str">
        <v>10:49:37</v>
      </c>
      <c r="K25">
        <v>-12.193365</v>
      </c>
      <c r="L25">
        <v>-76.92701</v>
      </c>
      <c r="M25">
        <f>HYPERLINK("https://www.google.com/maps/search/?api=1&amp;query=-12.193365,-76.92701","Avenida La Mariscala, Villa María del Triunfo, Lima")</f>
      </c>
      <c r="N25">
        <v>2.2</v>
      </c>
      <c r="O25">
        <v>100</v>
      </c>
      <c r="P25">
        <v>3147.2</v>
      </c>
      <c r="Q25" t="str">
        <v>116.03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F2F-768</v>
      </c>
      <c r="D26" t="str">
        <v>F2F-768</v>
      </c>
      <c r="E26" t="str">
        <v/>
      </c>
      <c r="F26" t="str">
        <v>867162029832136</v>
      </c>
      <c r="G26" t="str">
        <v>TBD</v>
      </c>
      <c r="H26" t="str">
        <v/>
      </c>
      <c r="I26" t="str">
        <v>28/09/2026</v>
      </c>
      <c r="J26" t="str">
        <v>10:50:35</v>
      </c>
      <c r="K26">
        <v>-12.193259</v>
      </c>
      <c r="L26">
        <v>-76.92703</v>
      </c>
      <c r="M26">
        <f>HYPERLINK("https://www.google.com/maps/search/?api=1&amp;query=-12.193259,-76.92703","Villa María del Triunfo, Lima")</f>
      </c>
      <c r="N26">
        <v>1.4</v>
      </c>
      <c r="O26">
        <v>100</v>
      </c>
      <c r="P26">
        <v>3147.2</v>
      </c>
      <c r="Q26" t="str">
        <v>116.03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F2F-768</v>
      </c>
      <c r="D27" t="str">
        <v>F2F-768</v>
      </c>
      <c r="E27" t="str">
        <v/>
      </c>
      <c r="F27" t="str">
        <v>867162029832136</v>
      </c>
      <c r="G27" t="str">
        <v>TBD</v>
      </c>
      <c r="H27" t="str">
        <v/>
      </c>
      <c r="I27" t="str">
        <v>28/09/2026</v>
      </c>
      <c r="J27" t="str">
        <v>10:51:35</v>
      </c>
      <c r="K27">
        <v>-12.193273</v>
      </c>
      <c r="L27">
        <v>-76.927055</v>
      </c>
      <c r="M27">
        <f>HYPERLINK("https://www.google.com/maps/search/?api=1&amp;query=-12.193273,-76.927055","Jirón Ramón Castilla, Villa María del Triunfo, Lima")</f>
      </c>
      <c r="N27">
        <v>0</v>
      </c>
      <c r="O27">
        <v>100</v>
      </c>
      <c r="P27">
        <v>3147.2</v>
      </c>
      <c r="Q27" t="str">
        <v>116.03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F2F-768</v>
      </c>
      <c r="D28" t="str">
        <v>F2F-768</v>
      </c>
      <c r="E28" t="str">
        <v/>
      </c>
      <c r="F28" t="str">
        <v>867162029832136</v>
      </c>
      <c r="G28" t="str">
        <v>TBD</v>
      </c>
      <c r="H28" t="str">
        <v/>
      </c>
      <c r="I28" t="str">
        <v>28/09/2026</v>
      </c>
      <c r="J28" t="str">
        <v>10:52:35</v>
      </c>
      <c r="K28">
        <v>-12.193273</v>
      </c>
      <c r="L28">
        <v>-76.927055</v>
      </c>
      <c r="M28">
        <f>HYPERLINK("https://www.google.com/maps/search/?api=1&amp;query=-12.193273,-76.927055","Jirón Ramón Castilla, Villa María del Triunfo, Lima")</f>
      </c>
      <c r="N28">
        <v>0</v>
      </c>
      <c r="O28">
        <v>100</v>
      </c>
      <c r="P28">
        <v>3147.2</v>
      </c>
      <c r="Q28" t="str">
        <v>116.03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F2F-768</v>
      </c>
      <c r="D29" t="str">
        <v>F2F-768</v>
      </c>
      <c r="E29" t="str">
        <v/>
      </c>
      <c r="F29" t="str">
        <v>867162029832136</v>
      </c>
      <c r="G29" t="str">
        <v>TBD</v>
      </c>
      <c r="H29" t="str">
        <v/>
      </c>
      <c r="I29" t="str">
        <v>28/09/2026</v>
      </c>
      <c r="J29" t="str">
        <v>10:53:35</v>
      </c>
      <c r="K29">
        <v>-12.193273</v>
      </c>
      <c r="L29">
        <v>-76.927055</v>
      </c>
      <c r="M29">
        <f>HYPERLINK("https://www.google.com/maps/search/?api=1&amp;query=-12.193273,-76.927055","Jirón Ramón Castilla, Villa María del Triunfo, Lima")</f>
      </c>
      <c r="N29">
        <v>0</v>
      </c>
      <c r="O29">
        <v>100</v>
      </c>
      <c r="P29">
        <v>3147.2</v>
      </c>
      <c r="Q29" t="str">
        <v>116.03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F2F-768</v>
      </c>
      <c r="D30" t="str">
        <v>F2F-768</v>
      </c>
      <c r="E30" t="str">
        <v/>
      </c>
      <c r="F30" t="str">
        <v>867162029832136</v>
      </c>
      <c r="G30" t="str">
        <v>TBD</v>
      </c>
      <c r="H30" t="str">
        <v/>
      </c>
      <c r="I30" t="str">
        <v>28/09/2026</v>
      </c>
      <c r="J30" t="str">
        <v>10:54:35</v>
      </c>
      <c r="K30">
        <v>-12.193273</v>
      </c>
      <c r="L30">
        <v>-76.927055</v>
      </c>
      <c r="M30">
        <f>HYPERLINK("https://www.google.com/maps/search/?api=1&amp;query=-12.193273,-76.927055","Jirón Ramón Castilla, Villa María del Triunfo, Lima")</f>
      </c>
      <c r="N30">
        <v>0</v>
      </c>
      <c r="O30">
        <v>100</v>
      </c>
      <c r="P30">
        <v>3147.2</v>
      </c>
      <c r="Q30" t="str">
        <v>116.03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F2F-768</v>
      </c>
      <c r="D31" t="str">
        <v>F2F-768</v>
      </c>
      <c r="E31" t="str">
        <v/>
      </c>
      <c r="F31" t="str">
        <v>867162029832136</v>
      </c>
      <c r="G31" t="str">
        <v>TBD</v>
      </c>
      <c r="H31" t="str">
        <v/>
      </c>
      <c r="I31" t="str">
        <v>28/09/2026</v>
      </c>
      <c r="J31" t="str">
        <v>10:55:13</v>
      </c>
      <c r="K31">
        <v>-12.193281</v>
      </c>
      <c r="L31">
        <v>-76.927055</v>
      </c>
      <c r="M31">
        <f>HYPERLINK("https://www.google.com/maps/search/?api=1&amp;query=-12.193281,-76.927055","Jirón Ramón Castilla, Villa María del Triunfo, Lima")</f>
      </c>
      <c r="N31">
        <v>4.7</v>
      </c>
      <c r="O31">
        <v>100</v>
      </c>
      <c r="P31">
        <v>3147.2</v>
      </c>
      <c r="Q31" t="str">
        <v>116.03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F2F-768</v>
      </c>
      <c r="D32" t="str">
        <v>F2F-768</v>
      </c>
      <c r="E32" t="str">
        <v/>
      </c>
      <c r="F32" t="str">
        <v>867162029832136</v>
      </c>
      <c r="G32" t="str">
        <v>TBD</v>
      </c>
      <c r="H32" t="str">
        <v/>
      </c>
      <c r="I32" t="str">
        <v>28/09/2026</v>
      </c>
      <c r="J32" t="str">
        <v>10:55:35</v>
      </c>
      <c r="K32">
        <v>-12.193308</v>
      </c>
      <c r="L32">
        <v>-76.92707</v>
      </c>
      <c r="M32">
        <f>HYPERLINK("https://www.google.com/maps/search/?api=1&amp;query=-12.193308,-76.92707","Jirón Ramón Castilla, Villa María del Triunfo, Lima")</f>
      </c>
      <c r="N32">
        <v>0</v>
      </c>
      <c r="O32">
        <v>100</v>
      </c>
      <c r="P32">
        <v>3147.2</v>
      </c>
      <c r="Q32" t="str">
        <v>116.03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F2F-768</v>
      </c>
      <c r="D33" t="str">
        <v>F2F-768</v>
      </c>
      <c r="E33" t="str">
        <v/>
      </c>
      <c r="F33" t="str">
        <v>867162029832136</v>
      </c>
      <c r="G33" t="str">
        <v>TBD</v>
      </c>
      <c r="H33" t="str">
        <v/>
      </c>
      <c r="I33" t="str">
        <v>28/09/2026</v>
      </c>
      <c r="J33" t="str">
        <v>10:56:35</v>
      </c>
      <c r="K33">
        <v>-12.193335</v>
      </c>
      <c r="L33">
        <v>-76.927055</v>
      </c>
      <c r="M33">
        <f>HYPERLINK("https://www.google.com/maps/search/?api=1&amp;query=-12.193335,-76.927055","Avenida La Mariscala, Villa María del Triunfo, Lima")</f>
      </c>
      <c r="N33">
        <v>0</v>
      </c>
      <c r="O33">
        <v>100</v>
      </c>
      <c r="P33">
        <v>3147.2</v>
      </c>
      <c r="Q33" t="str">
        <v>116.03</v>
      </c>
      <c r="R33" t="str">
        <v/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F2F-768</v>
      </c>
      <c r="D34" t="str">
        <v>F2F-768</v>
      </c>
      <c r="E34" t="str">
        <v/>
      </c>
      <c r="F34" t="str">
        <v>867162029832136</v>
      </c>
      <c r="G34" t="str">
        <v>TBD</v>
      </c>
      <c r="H34" t="str">
        <v/>
      </c>
      <c r="I34" t="str">
        <v>28/09/2026</v>
      </c>
      <c r="J34" t="str">
        <v>10:57:35</v>
      </c>
      <c r="K34">
        <v>-12.193335</v>
      </c>
      <c r="L34">
        <v>-76.927055</v>
      </c>
      <c r="M34">
        <f>HYPERLINK("https://www.google.com/maps/search/?api=1&amp;query=-12.193335,-76.927055","Avenida La Mariscala, Villa María del Triunfo, Lima")</f>
      </c>
      <c r="N34">
        <v>0</v>
      </c>
      <c r="O34">
        <v>100</v>
      </c>
      <c r="P34">
        <v>3147.2</v>
      </c>
      <c r="Q34" t="str">
        <v>116.03</v>
      </c>
      <c r="R34" t="str">
        <v/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F2F-768</v>
      </c>
      <c r="D35" t="str">
        <v>F2F-768</v>
      </c>
      <c r="E35" t="str">
        <v/>
      </c>
      <c r="F35" t="str">
        <v>867162029832136</v>
      </c>
      <c r="G35" t="str">
        <v>TBD</v>
      </c>
      <c r="H35" t="str">
        <v/>
      </c>
      <c r="I35" t="str">
        <v>28/09/2026</v>
      </c>
      <c r="J35" t="str">
        <v>10:58:35</v>
      </c>
      <c r="K35">
        <v>-12.193335</v>
      </c>
      <c r="L35">
        <v>-76.927055</v>
      </c>
      <c r="M35">
        <f>HYPERLINK("https://www.google.com/maps/search/?api=1&amp;query=-12.193335,-76.927055","Avenida La Mariscala, Villa María del Triunfo, Lima")</f>
      </c>
      <c r="N35">
        <v>0</v>
      </c>
      <c r="O35">
        <v>100</v>
      </c>
      <c r="P35">
        <v>3147.2</v>
      </c>
      <c r="Q35" t="str">
        <v>116.03</v>
      </c>
      <c r="R35" t="str">
        <v/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F2F-768</v>
      </c>
      <c r="D36" t="str">
        <v>F2F-768</v>
      </c>
      <c r="E36" t="str">
        <v/>
      </c>
      <c r="F36" t="str">
        <v>867162029832136</v>
      </c>
      <c r="G36" t="str">
        <v>TBD</v>
      </c>
      <c r="H36" t="str">
        <v/>
      </c>
      <c r="I36" t="str">
        <v>28/09/2026</v>
      </c>
      <c r="J36" t="str">
        <v>10:59:35</v>
      </c>
      <c r="K36">
        <v>-12.193335</v>
      </c>
      <c r="L36">
        <v>-76.927055</v>
      </c>
      <c r="M36">
        <f>HYPERLINK("https://www.google.com/maps/search/?api=1&amp;query=-12.193335,-76.927055","Avenida La Mariscala, Villa María del Triunfo, Lima")</f>
      </c>
      <c r="N36">
        <v>0</v>
      </c>
      <c r="O36">
        <v>100</v>
      </c>
      <c r="P36">
        <v>3147.2</v>
      </c>
      <c r="Q36" t="str">
        <v>116.03</v>
      </c>
      <c r="R36" t="str">
        <v/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F2F-768</v>
      </c>
      <c r="D37" t="str">
        <v>F2F-768</v>
      </c>
      <c r="E37" t="str">
        <v/>
      </c>
      <c r="F37" t="str">
        <v>867162029832136</v>
      </c>
      <c r="G37" t="str">
        <v>TBD</v>
      </c>
      <c r="H37" t="str">
        <v/>
      </c>
      <c r="I37" t="str">
        <v>28/09/2026</v>
      </c>
      <c r="J37" t="str">
        <v>10:59:49</v>
      </c>
      <c r="K37">
        <v>-12.19337</v>
      </c>
      <c r="L37">
        <v>-76.92708</v>
      </c>
      <c r="M37">
        <f>HYPERLINK("https://www.google.com/maps/search/?api=1&amp;query=-12.19337,-76.92708","Jirón Ramón Castilla, Villa María del Triunfo, Lima")</f>
      </c>
      <c r="N37">
        <v>6</v>
      </c>
      <c r="O37">
        <v>100</v>
      </c>
      <c r="P37">
        <v>3147.2</v>
      </c>
      <c r="Q37" t="str">
        <v>116.03</v>
      </c>
      <c r="R37" t="str">
        <v/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F2F-768</v>
      </c>
      <c r="D38" t="str">
        <v>F2F-768</v>
      </c>
      <c r="E38" t="str">
        <v/>
      </c>
      <c r="F38" t="str">
        <v>867162029832136</v>
      </c>
      <c r="G38" t="str">
        <v>TBD</v>
      </c>
      <c r="H38" t="str">
        <v/>
      </c>
      <c r="I38" t="str">
        <v>28/09/2026</v>
      </c>
      <c r="J38" t="str">
        <v>11:00:35</v>
      </c>
      <c r="K38">
        <v>-12.193394</v>
      </c>
      <c r="L38">
        <v>-76.9271</v>
      </c>
      <c r="M38">
        <f>HYPERLINK("https://www.google.com/maps/search/?api=1&amp;query=-12.193394,-76.9271","Jirón Ramón Castilla, Villa María del Triunfo, Lima")</f>
      </c>
      <c r="N38">
        <v>0</v>
      </c>
      <c r="O38">
        <v>100</v>
      </c>
      <c r="P38">
        <v>3147.2</v>
      </c>
      <c r="Q38" t="str">
        <v>116.03</v>
      </c>
      <c r="R38" t="str">
        <v/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F2F-768</v>
      </c>
      <c r="D39" t="str">
        <v>F2F-768</v>
      </c>
      <c r="E39" t="str">
        <v/>
      </c>
      <c r="F39" t="str">
        <v>867162029832136</v>
      </c>
      <c r="G39" t="str">
        <v>TBD</v>
      </c>
      <c r="H39" t="str">
        <v/>
      </c>
      <c r="I39" t="str">
        <v>28/09/2026</v>
      </c>
      <c r="J39" t="str">
        <v>11:01:35</v>
      </c>
      <c r="K39">
        <v>-12.193394</v>
      </c>
      <c r="L39">
        <v>-76.9271</v>
      </c>
      <c r="M39">
        <f>HYPERLINK("https://www.google.com/maps/search/?api=1&amp;query=-12.193394,-76.9271","Jirón Ramón Castilla, Villa María del Triunfo, Lima")</f>
      </c>
      <c r="N39">
        <v>0</v>
      </c>
      <c r="O39">
        <v>100</v>
      </c>
      <c r="P39">
        <v>3147.2</v>
      </c>
      <c r="Q39" t="str">
        <v>116.03</v>
      </c>
      <c r="R39" t="str">
        <v/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F2F-768</v>
      </c>
      <c r="D40" t="str">
        <v>F2F-768</v>
      </c>
      <c r="E40" t="str">
        <v/>
      </c>
      <c r="F40" t="str">
        <v>867162029832136</v>
      </c>
      <c r="G40" t="str">
        <v>TBD</v>
      </c>
      <c r="H40" t="str">
        <v/>
      </c>
      <c r="I40" t="str">
        <v>28/09/2026</v>
      </c>
      <c r="J40" t="str">
        <v>11:02:35</v>
      </c>
      <c r="K40">
        <v>-12.193394</v>
      </c>
      <c r="L40">
        <v>-76.9271</v>
      </c>
      <c r="M40">
        <f>HYPERLINK("https://www.google.com/maps/search/?api=1&amp;query=-12.193394,-76.9271","Jirón Ramón Castilla, Villa María del Triunfo, Lima")</f>
      </c>
      <c r="N40">
        <v>0</v>
      </c>
      <c r="O40">
        <v>100</v>
      </c>
      <c r="P40">
        <v>3147.2</v>
      </c>
      <c r="Q40" t="str">
        <v>116.03</v>
      </c>
      <c r="R40" t="str">
        <v/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F2F-768</v>
      </c>
      <c r="D41" t="str">
        <v>F2F-768</v>
      </c>
      <c r="E41" t="str">
        <v/>
      </c>
      <c r="F41" t="str">
        <v>867162029832136</v>
      </c>
      <c r="G41" t="str">
        <v>TBD</v>
      </c>
      <c r="H41" t="str">
        <v/>
      </c>
      <c r="I41" t="str">
        <v>28/09/2026</v>
      </c>
      <c r="J41" t="str">
        <v>11:03:35</v>
      </c>
      <c r="K41">
        <v>-12.193394</v>
      </c>
      <c r="L41">
        <v>-76.9271</v>
      </c>
      <c r="M41">
        <f>HYPERLINK("https://www.google.com/maps/search/?api=1&amp;query=-12.193394,-76.9271","Jirón Ramón Castilla, Villa María del Triunfo, Lima")</f>
      </c>
      <c r="N41">
        <v>0</v>
      </c>
      <c r="O41">
        <v>100</v>
      </c>
      <c r="P41">
        <v>3147.2</v>
      </c>
      <c r="Q41" t="str">
        <v>116.03</v>
      </c>
      <c r="R41" t="str">
        <v/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F2F-768</v>
      </c>
      <c r="D42" t="str">
        <v>F2F-768</v>
      </c>
      <c r="E42" t="str">
        <v/>
      </c>
      <c r="F42" t="str">
        <v>867162029832136</v>
      </c>
      <c r="G42" t="str">
        <v>TBD</v>
      </c>
      <c r="H42" t="str">
        <v/>
      </c>
      <c r="I42" t="str">
        <v>28/09/2026</v>
      </c>
      <c r="J42" t="str">
        <v>11:04:35</v>
      </c>
      <c r="K42">
        <v>-12.193394</v>
      </c>
      <c r="L42">
        <v>-76.9271</v>
      </c>
      <c r="M42">
        <f>HYPERLINK("https://www.google.com/maps/search/?api=1&amp;query=-12.193394,-76.9271","Jirón Ramón Castilla, Villa María del Triunfo, Lima")</f>
      </c>
      <c r="N42">
        <v>0</v>
      </c>
      <c r="O42">
        <v>100</v>
      </c>
      <c r="P42">
        <v>3147.2</v>
      </c>
      <c r="Q42" t="str">
        <v>116.03</v>
      </c>
      <c r="R42" t="str">
        <v/>
      </c>
      <c r="S42" t="str">
        <v/>
      </c>
      <c r="T42" t="str">
        <v/>
      </c>
      <c r="U42" t="str">
        <v/>
      </c>
    </row>
    <row r="43">
      <c r="A43" t="str">
        <v>42</v>
      </c>
      <c r="B43" t="str">
        <v>MASS BSF</v>
      </c>
      <c r="C43" t="str">
        <v>F2F-768</v>
      </c>
      <c r="D43" t="str">
        <v>F2F-768</v>
      </c>
      <c r="E43" t="str">
        <v/>
      </c>
      <c r="F43" t="str">
        <v>867162029832136</v>
      </c>
      <c r="G43" t="str">
        <v>TBD</v>
      </c>
      <c r="H43" t="str">
        <v/>
      </c>
      <c r="I43" t="str">
        <v>28/09/2026</v>
      </c>
      <c r="J43" t="str">
        <v>11:05:35</v>
      </c>
      <c r="K43">
        <v>-12.193394</v>
      </c>
      <c r="L43">
        <v>-76.9271</v>
      </c>
      <c r="M43">
        <f>HYPERLINK("https://www.google.com/maps/search/?api=1&amp;query=-12.193394,-76.9271","Jirón Ramón Castilla, Villa María del Triunfo, Lima")</f>
      </c>
      <c r="N43">
        <v>0</v>
      </c>
      <c r="O43">
        <v>100</v>
      </c>
      <c r="P43">
        <v>3147.2</v>
      </c>
      <c r="Q43" t="str">
        <v>116.03</v>
      </c>
      <c r="R43" t="str">
        <v/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F2F-768</v>
      </c>
      <c r="D44" t="str">
        <v>F2F-768</v>
      </c>
      <c r="E44" t="str">
        <v/>
      </c>
      <c r="F44" t="str">
        <v>867162029832136</v>
      </c>
      <c r="G44" t="str">
        <v>TBD</v>
      </c>
      <c r="H44" t="str">
        <v/>
      </c>
      <c r="I44" t="str">
        <v>28/09/2026</v>
      </c>
      <c r="J44" t="str">
        <v>11:06:35</v>
      </c>
      <c r="K44">
        <v>-12.193394</v>
      </c>
      <c r="L44">
        <v>-76.9271</v>
      </c>
      <c r="M44">
        <f>HYPERLINK("https://www.google.com/maps/search/?api=1&amp;query=-12.193394,-76.9271","Jirón Ramón Castilla, Villa María del Triunfo, Lima")</f>
      </c>
      <c r="N44">
        <v>0</v>
      </c>
      <c r="O44">
        <v>100</v>
      </c>
      <c r="P44">
        <v>3147.2</v>
      </c>
      <c r="Q44" t="str">
        <v>116.03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F2F-768</v>
      </c>
      <c r="D45" t="str">
        <v>F2F-768</v>
      </c>
      <c r="E45" t="str">
        <v/>
      </c>
      <c r="F45" t="str">
        <v>867162029832136</v>
      </c>
      <c r="G45" t="str">
        <v>TBD</v>
      </c>
      <c r="H45" t="str">
        <v/>
      </c>
      <c r="I45" t="str">
        <v>28/09/2026</v>
      </c>
      <c r="J45" t="str">
        <v>11:07:35</v>
      </c>
      <c r="K45">
        <v>-12.193394</v>
      </c>
      <c r="L45">
        <v>-76.9271</v>
      </c>
      <c r="M45">
        <f>HYPERLINK("https://www.google.com/maps/search/?api=1&amp;query=-12.193394,-76.9271","Jirón Ramón Castilla, Villa María del Triunfo, Lima")</f>
      </c>
      <c r="N45">
        <v>0</v>
      </c>
      <c r="O45">
        <v>100</v>
      </c>
      <c r="P45">
        <v>3147.2</v>
      </c>
      <c r="Q45" t="str">
        <v>116.03</v>
      </c>
      <c r="R45" t="str">
        <v/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F2F-768</v>
      </c>
      <c r="D46" t="str">
        <v>F2F-768</v>
      </c>
      <c r="E46" t="str">
        <v/>
      </c>
      <c r="F46" t="str">
        <v>867162029832136</v>
      </c>
      <c r="G46" t="str">
        <v>TBD</v>
      </c>
      <c r="H46" t="str">
        <v/>
      </c>
      <c r="I46" t="str">
        <v>28/09/2026</v>
      </c>
      <c r="J46" t="str">
        <v>11:08:35</v>
      </c>
      <c r="K46">
        <v>-12.193373</v>
      </c>
      <c r="L46">
        <v>-76.927086</v>
      </c>
      <c r="M46">
        <f>HYPERLINK("https://www.google.com/maps/search/?api=1&amp;query=-12.193373,-76.927086","Jirón Ramón Castilla, Villa María del Triunfo, Lima")</f>
      </c>
      <c r="N46">
        <v>0</v>
      </c>
      <c r="O46">
        <v>100</v>
      </c>
      <c r="P46">
        <v>3147.2</v>
      </c>
      <c r="Q46" t="str">
        <v>116.03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F2F-768</v>
      </c>
      <c r="D47" t="str">
        <v>F2F-768</v>
      </c>
      <c r="E47" t="str">
        <v/>
      </c>
      <c r="F47" t="str">
        <v>867162029832136</v>
      </c>
      <c r="G47" t="str">
        <v>TBD</v>
      </c>
      <c r="H47" t="str">
        <v/>
      </c>
      <c r="I47" t="str">
        <v>28/09/2026</v>
      </c>
      <c r="J47" t="str">
        <v>11:09:35</v>
      </c>
      <c r="K47">
        <v>-12.193373</v>
      </c>
      <c r="L47">
        <v>-76.927086</v>
      </c>
      <c r="M47">
        <f>HYPERLINK("https://www.google.com/maps/search/?api=1&amp;query=-12.193373,-76.927086","Jirón Ramón Castilla, Villa María del Triunfo, Lima")</f>
      </c>
      <c r="N47">
        <v>0</v>
      </c>
      <c r="O47">
        <v>100</v>
      </c>
      <c r="P47">
        <v>3147.2</v>
      </c>
      <c r="Q47" t="str">
        <v>116.03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F2F-768</v>
      </c>
      <c r="D48" t="str">
        <v>F2F-768</v>
      </c>
      <c r="E48" t="str">
        <v/>
      </c>
      <c r="F48" t="str">
        <v>867162029832136</v>
      </c>
      <c r="G48" t="str">
        <v>TBD</v>
      </c>
      <c r="H48" t="str">
        <v/>
      </c>
      <c r="I48" t="str">
        <v>28/09/2026</v>
      </c>
      <c r="J48" t="str">
        <v>11:10:35</v>
      </c>
      <c r="K48">
        <v>-12.193373</v>
      </c>
      <c r="L48">
        <v>-76.927086</v>
      </c>
      <c r="M48">
        <f>HYPERLINK("https://www.google.com/maps/search/?api=1&amp;query=-12.193373,-76.927086","Jirón Ramón Castilla, Villa María del Triunfo, Lima")</f>
      </c>
      <c r="N48">
        <v>0</v>
      </c>
      <c r="O48">
        <v>100</v>
      </c>
      <c r="P48">
        <v>3147.2</v>
      </c>
      <c r="Q48" t="str">
        <v>116.03</v>
      </c>
      <c r="R48" t="str">
        <v/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F2F-768</v>
      </c>
      <c r="D49" t="str">
        <v>F2F-768</v>
      </c>
      <c r="E49" t="str">
        <v/>
      </c>
      <c r="F49" t="str">
        <v>867162029832136</v>
      </c>
      <c r="G49" t="str">
        <v>TBD</v>
      </c>
      <c r="H49" t="str">
        <v/>
      </c>
      <c r="I49" t="str">
        <v>28/09/2026</v>
      </c>
      <c r="J49" t="str">
        <v>11:10:59</v>
      </c>
      <c r="K49">
        <v>-12.193373</v>
      </c>
      <c r="L49">
        <v>-76.927086</v>
      </c>
      <c r="M49">
        <f>HYPERLINK("https://www.google.com/maps/search/?api=1&amp;query=-12.193373,-76.927086","Jirón Ramón Castilla, Villa María del Triunfo, Lima")</f>
      </c>
      <c r="N49">
        <v>0</v>
      </c>
      <c r="O49">
        <v>100</v>
      </c>
      <c r="P49">
        <v>3147.2</v>
      </c>
      <c r="Q49" t="str">
        <v>116.40</v>
      </c>
      <c r="R49" t="str">
        <v>Vehículo apagado</v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F2F-768</v>
      </c>
      <c r="D50" t="str">
        <v>F2F-768</v>
      </c>
      <c r="E50" t="str">
        <v/>
      </c>
      <c r="F50" t="str">
        <v>867162029832136</v>
      </c>
      <c r="G50" t="str">
        <v>TBD</v>
      </c>
      <c r="H50" t="str">
        <v/>
      </c>
      <c r="I50" t="str">
        <v>28/09/2026</v>
      </c>
      <c r="J50" t="str">
        <v>11:11:03</v>
      </c>
      <c r="K50">
        <v>-12.193373</v>
      </c>
      <c r="L50">
        <v>-76.927086</v>
      </c>
      <c r="M50">
        <f>HYPERLINK("https://www.google.com/maps/search/?api=1&amp;query=-12.193373,-76.927086","Jirón Ramón Castilla, Villa María del Triunfo, Lima")</f>
      </c>
      <c r="N50">
        <v>0</v>
      </c>
      <c r="O50">
        <v>100</v>
      </c>
      <c r="P50">
        <v>3147.2</v>
      </c>
      <c r="Q50" t="str">
        <v>116.03</v>
      </c>
      <c r="R50" t="str">
        <v/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F2F-768</v>
      </c>
      <c r="D51" t="str">
        <v>F2F-768</v>
      </c>
      <c r="E51" t="str">
        <v/>
      </c>
      <c r="F51" t="str">
        <v>867162029832136</v>
      </c>
      <c r="G51" t="str">
        <v>TBD</v>
      </c>
      <c r="H51" t="str">
        <v/>
      </c>
      <c r="I51" t="str">
        <v>28/09/2026</v>
      </c>
      <c r="J51" t="str">
        <v>11:12:31</v>
      </c>
      <c r="K51">
        <v>-12.193373</v>
      </c>
      <c r="L51">
        <v>-76.927086</v>
      </c>
      <c r="M51">
        <f>HYPERLINK("https://www.google.com/maps/search/?api=1&amp;query=-12.193373,-76.927086","Jirón Ramón Castilla, Villa María del Triunfo, Lima")</f>
      </c>
      <c r="N51">
        <v>0</v>
      </c>
      <c r="O51">
        <v>100</v>
      </c>
      <c r="P51">
        <v>3147.2</v>
      </c>
      <c r="Q51" t="str">
        <v>116.40</v>
      </c>
      <c r="R51" t="str">
        <v>Vehículo encendido</v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F2F-768</v>
      </c>
      <c r="D52" t="str">
        <v>F2F-768</v>
      </c>
      <c r="E52" t="str">
        <v/>
      </c>
      <c r="F52" t="str">
        <v>867162029832136</v>
      </c>
      <c r="G52" t="str">
        <v>TBD</v>
      </c>
      <c r="H52" t="str">
        <v/>
      </c>
      <c r="I52" t="str">
        <v>28/09/2026</v>
      </c>
      <c r="J52" t="str">
        <v>11:12:38</v>
      </c>
      <c r="K52">
        <v>-12.193332</v>
      </c>
      <c r="L52">
        <v>-76.927284</v>
      </c>
      <c r="M52">
        <f>HYPERLINK("https://www.google.com/maps/search/?api=1&amp;query=-12.193332,-76.927284","Jirón Ramón Castilla, Villa María del Triunfo, Lima")</f>
      </c>
      <c r="N52">
        <v>0.6</v>
      </c>
      <c r="O52">
        <v>100</v>
      </c>
      <c r="P52">
        <v>3147.2</v>
      </c>
      <c r="Q52" t="str">
        <v>116.40</v>
      </c>
      <c r="R52" t="str">
        <v/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F2F-768</v>
      </c>
      <c r="D53" t="str">
        <v>F2F-768</v>
      </c>
      <c r="E53" t="str">
        <v/>
      </c>
      <c r="F53" t="str">
        <v>867162029832136</v>
      </c>
      <c r="G53" t="str">
        <v>TBD</v>
      </c>
      <c r="H53" t="str">
        <v/>
      </c>
      <c r="I53" t="str">
        <v>28/09/2026</v>
      </c>
      <c r="J53" t="str">
        <v>11:13:07</v>
      </c>
      <c r="K53">
        <v>-12.193332</v>
      </c>
      <c r="L53">
        <v>-76.927284</v>
      </c>
      <c r="M53">
        <f>HYPERLINK("https://www.google.com/maps/search/?api=1&amp;query=-12.193332,-76.927284","Jirón Ramón Castilla, Villa María del Triunfo, Lima")</f>
      </c>
      <c r="N53">
        <v>0.6</v>
      </c>
      <c r="O53">
        <v>100</v>
      </c>
      <c r="P53">
        <v>3147.2</v>
      </c>
      <c r="Q53" t="str">
        <v>116.42</v>
      </c>
      <c r="R53" t="str">
        <v>Vehículo apagado</v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F2F-768</v>
      </c>
      <c r="D54" t="str">
        <v>F2F-768</v>
      </c>
      <c r="E54" t="str">
        <v/>
      </c>
      <c r="F54" t="str">
        <v>867162029832136</v>
      </c>
      <c r="G54" t="str">
        <v>TBD</v>
      </c>
      <c r="H54" t="str">
        <v/>
      </c>
      <c r="I54" t="str">
        <v>28/09/2026</v>
      </c>
      <c r="J54" t="str">
        <v>11:13:10</v>
      </c>
      <c r="K54">
        <v>-12.193332</v>
      </c>
      <c r="L54">
        <v>-76.927284</v>
      </c>
      <c r="M54">
        <f>HYPERLINK("https://www.google.com/maps/search/?api=1&amp;query=-12.193332,-76.927284","Jirón Ramón Castilla, Villa María del Triunfo, Lima")</f>
      </c>
      <c r="N54">
        <v>0</v>
      </c>
      <c r="O54">
        <v>100</v>
      </c>
      <c r="P54">
        <v>3147.2</v>
      </c>
      <c r="Q54" t="str">
        <v>116.42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54</v>
      </c>
      <c r="B55" t="str">
        <v>MASS BSF</v>
      </c>
      <c r="C55" t="str">
        <v>F2F-768</v>
      </c>
      <c r="D55" t="str">
        <v>F2F-768</v>
      </c>
      <c r="E55" t="str">
        <v/>
      </c>
      <c r="F55" t="str">
        <v>867162029832136</v>
      </c>
      <c r="G55" t="str">
        <v>TBD</v>
      </c>
      <c r="H55" t="str">
        <v/>
      </c>
      <c r="I55" t="str">
        <v>28/09/2026</v>
      </c>
      <c r="J55" t="str">
        <v>11:15:46</v>
      </c>
      <c r="K55">
        <v>-12.193332</v>
      </c>
      <c r="L55">
        <v>-76.927284</v>
      </c>
      <c r="M55">
        <f>HYPERLINK("https://www.google.com/maps/search/?api=1&amp;query=-12.193332,-76.927284","Jirón Ramón Castilla, Villa María del Triunfo, Lima")</f>
      </c>
      <c r="N55">
        <v>0</v>
      </c>
      <c r="O55">
        <v>100</v>
      </c>
      <c r="P55">
        <v>3147.2</v>
      </c>
      <c r="Q55" t="str">
        <v>116.42</v>
      </c>
      <c r="R55" t="str">
        <v>Vehículo encendido</v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F2F-768</v>
      </c>
      <c r="D56" t="str">
        <v>F2F-768</v>
      </c>
      <c r="E56" t="str">
        <v/>
      </c>
      <c r="F56" t="str">
        <v>867162029832136</v>
      </c>
      <c r="G56" t="str">
        <v>TBD</v>
      </c>
      <c r="H56" t="str">
        <v/>
      </c>
      <c r="I56" t="str">
        <v>28/09/2026</v>
      </c>
      <c r="J56" t="str">
        <v>11:16:04</v>
      </c>
      <c r="K56">
        <v>-12.193224</v>
      </c>
      <c r="L56">
        <v>-76.92711</v>
      </c>
      <c r="M56">
        <f>HYPERLINK("https://www.google.com/maps/search/?api=1&amp;query=-12.193224,-76.92711","Jirón Ramón Castilla, Villa María del Triunfo, Lima")</f>
      </c>
      <c r="N56">
        <v>0</v>
      </c>
      <c r="O56">
        <v>100</v>
      </c>
      <c r="P56">
        <v>3147.2</v>
      </c>
      <c r="Q56" t="str">
        <v>116.42</v>
      </c>
      <c r="R56" t="str">
        <v/>
      </c>
      <c r="S56" t="str">
        <v/>
      </c>
      <c r="T56" t="str">
        <v/>
      </c>
      <c r="U56" t="str">
        <v/>
      </c>
    </row>
    <row r="57">
      <c r="A57" t="str">
        <v>56</v>
      </c>
      <c r="B57" t="str">
        <v>MASS BSF</v>
      </c>
      <c r="C57" t="str">
        <v>F2F-768</v>
      </c>
      <c r="D57" t="str">
        <v>F2F-768</v>
      </c>
      <c r="E57" t="str">
        <v/>
      </c>
      <c r="F57" t="str">
        <v>867162029832136</v>
      </c>
      <c r="G57" t="str">
        <v>TBD</v>
      </c>
      <c r="H57" t="str">
        <v/>
      </c>
      <c r="I57" t="str">
        <v>28/09/2026</v>
      </c>
      <c r="J57" t="str">
        <v>11:16:37</v>
      </c>
      <c r="K57">
        <v>-12.19343</v>
      </c>
      <c r="L57">
        <v>-76.927216</v>
      </c>
      <c r="M57">
        <f>HYPERLINK("https://www.google.com/maps/search/?api=1&amp;query=-12.19343,-76.927216","Jirón Ramón Castilla, Villa María del Triunfo, Lima")</f>
      </c>
      <c r="N57">
        <v>6.9</v>
      </c>
      <c r="O57">
        <v>100</v>
      </c>
      <c r="P57">
        <v>3147.2</v>
      </c>
      <c r="Q57" t="str">
        <v>116.42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F2F-768</v>
      </c>
      <c r="D58" t="str">
        <v>F2F-768</v>
      </c>
      <c r="E58" t="str">
        <v/>
      </c>
      <c r="F58" t="str">
        <v>867162029832136</v>
      </c>
      <c r="G58" t="str">
        <v>TBD</v>
      </c>
      <c r="H58" t="str">
        <v/>
      </c>
      <c r="I58" t="str">
        <v>28/09/2026</v>
      </c>
      <c r="J58" t="str">
        <v>11:16:40</v>
      </c>
      <c r="K58">
        <v>-12.193507</v>
      </c>
      <c r="L58">
        <v>-76.92721</v>
      </c>
      <c r="M58">
        <f>HYPERLINK("https://www.google.com/maps/search/?api=1&amp;query=-12.193507,-76.92721","Jirón Ramón Castilla, Villa María del Triunfo, Lima")</f>
      </c>
      <c r="N58">
        <v>9.1</v>
      </c>
      <c r="O58">
        <v>100</v>
      </c>
      <c r="P58">
        <v>3147.2</v>
      </c>
      <c r="Q58" t="str">
        <v>116.42</v>
      </c>
      <c r="R58" t="str">
        <v/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F2F-768</v>
      </c>
      <c r="D59" t="str">
        <v>F2F-768</v>
      </c>
      <c r="E59" t="str">
        <v/>
      </c>
      <c r="F59" t="str">
        <v>867162029832136</v>
      </c>
      <c r="G59" t="str">
        <v>TBD</v>
      </c>
      <c r="H59" t="str">
        <v/>
      </c>
      <c r="I59" t="str">
        <v>28/09/2026</v>
      </c>
      <c r="J59" t="str">
        <v>11:16:55</v>
      </c>
      <c r="K59">
        <v>-12.193649</v>
      </c>
      <c r="L59">
        <v>-76.92713</v>
      </c>
      <c r="M59">
        <f>HYPERLINK("https://www.google.com/maps/search/?api=1&amp;query=-12.193649,-76.92713","Avenida La Mariscala, Villa María del Triunfo, Lima")</f>
      </c>
      <c r="N59">
        <v>6.3</v>
      </c>
      <c r="O59">
        <v>100</v>
      </c>
      <c r="P59">
        <v>3147.2</v>
      </c>
      <c r="Q59" t="str">
        <v>116.42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F2F-768</v>
      </c>
      <c r="D60" t="str">
        <v>F2F-768</v>
      </c>
      <c r="E60" t="str">
        <v/>
      </c>
      <c r="F60" t="str">
        <v>867162029832136</v>
      </c>
      <c r="G60" t="str">
        <v>TBD</v>
      </c>
      <c r="H60" t="str">
        <v/>
      </c>
      <c r="I60" t="str">
        <v>28/09/2026</v>
      </c>
      <c r="J60" t="str">
        <v>11:16:55</v>
      </c>
      <c r="K60">
        <v>-12.193608</v>
      </c>
      <c r="L60">
        <v>-76.92706</v>
      </c>
      <c r="M60">
        <f>HYPERLINK("https://www.google.com/maps/search/?api=1&amp;query=-12.193608,-76.92706","Avenida La Mariscala, Villa María del Triunfo, Lima")</f>
      </c>
      <c r="N60">
        <v>5.7</v>
      </c>
      <c r="O60">
        <v>100</v>
      </c>
      <c r="P60">
        <v>3147.2</v>
      </c>
      <c r="Q60" t="str">
        <v>116.42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F2F-768</v>
      </c>
      <c r="D61" t="str">
        <v>F2F-768</v>
      </c>
      <c r="E61" t="str">
        <v/>
      </c>
      <c r="F61" t="str">
        <v>867162029832136</v>
      </c>
      <c r="G61" t="str">
        <v>TBD</v>
      </c>
      <c r="H61" t="str">
        <v/>
      </c>
      <c r="I61" t="str">
        <v>28/09/2026</v>
      </c>
      <c r="J61" t="str">
        <v>11:17:51</v>
      </c>
      <c r="K61">
        <v>-12.193414</v>
      </c>
      <c r="L61">
        <v>-76.92671</v>
      </c>
      <c r="M61">
        <f>HYPERLINK("https://www.google.com/maps/search/?api=1&amp;query=-12.193414,-76.92671","Avenida La Mariscala, Villa María del Triunfo, Lima")</f>
      </c>
      <c r="N61">
        <v>0</v>
      </c>
      <c r="O61">
        <v>100</v>
      </c>
      <c r="P61">
        <v>3147.3</v>
      </c>
      <c r="Q61" t="str">
        <v>116.42</v>
      </c>
      <c r="R61" t="str">
        <v/>
      </c>
      <c r="S61" t="str">
        <v/>
      </c>
      <c r="T61" t="str">
        <v/>
      </c>
      <c r="U61" t="str">
        <v/>
      </c>
    </row>
    <row r="62">
      <c r="A62" t="str">
        <v>61</v>
      </c>
      <c r="B62" t="str">
        <v>MASS BSF</v>
      </c>
      <c r="C62" t="str">
        <v>F2F-768</v>
      </c>
      <c r="D62" t="str">
        <v>F2F-768</v>
      </c>
      <c r="E62" t="str">
        <v/>
      </c>
      <c r="F62" t="str">
        <v>867162029832136</v>
      </c>
      <c r="G62" t="str">
        <v>TBD</v>
      </c>
      <c r="H62" t="str">
        <v/>
      </c>
      <c r="I62" t="str">
        <v>28/09/2026</v>
      </c>
      <c r="J62" t="str">
        <v>11:18:47</v>
      </c>
      <c r="K62">
        <v>-12.193414</v>
      </c>
      <c r="L62">
        <v>-76.92671</v>
      </c>
      <c r="M62">
        <f>HYPERLINK("https://www.google.com/maps/search/?api=1&amp;query=-12.193414,-76.92671","Avenida La Mariscala, Villa María del Triunfo, Lima")</f>
      </c>
      <c r="N62">
        <v>0</v>
      </c>
      <c r="O62">
        <v>100</v>
      </c>
      <c r="P62">
        <v>3147.3</v>
      </c>
      <c r="Q62" t="str">
        <v>116.47</v>
      </c>
      <c r="R62" t="str">
        <v>Vehículo apagado</v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F2F-768</v>
      </c>
      <c r="D63" t="str">
        <v>F2F-768</v>
      </c>
      <c r="E63" t="str">
        <v/>
      </c>
      <c r="F63" t="str">
        <v>867162029832136</v>
      </c>
      <c r="G63" t="str">
        <v>TBD</v>
      </c>
      <c r="H63" t="str">
        <v/>
      </c>
      <c r="I63" t="str">
        <v>28/09/2026</v>
      </c>
      <c r="J63" t="str">
        <v>11:18:51</v>
      </c>
      <c r="K63">
        <v>-12.193414</v>
      </c>
      <c r="L63">
        <v>-76.92671</v>
      </c>
      <c r="M63">
        <f>HYPERLINK("https://www.google.com/maps/search/?api=1&amp;query=-12.193414,-76.92671","Avenida La Mariscala, Villa María del Triunfo, Lima")</f>
      </c>
      <c r="N63">
        <v>0</v>
      </c>
      <c r="O63">
        <v>100</v>
      </c>
      <c r="P63">
        <v>3147.3</v>
      </c>
      <c r="Q63" t="str">
        <v>116.47</v>
      </c>
      <c r="R63" t="str">
        <v/>
      </c>
      <c r="S63" t="str">
        <v/>
      </c>
      <c r="T63" t="str">
        <v/>
      </c>
      <c r="U63" t="str">
        <v/>
      </c>
    </row>
    <row r="64">
      <c r="A64" t="str">
        <v>63</v>
      </c>
      <c r="B64" t="str">
        <v>MASS BSF</v>
      </c>
      <c r="C64" t="str">
        <v>F2F-768</v>
      </c>
      <c r="D64" t="str">
        <v>F2F-768</v>
      </c>
      <c r="E64" t="str">
        <v/>
      </c>
      <c r="F64" t="str">
        <v>867162029832136</v>
      </c>
      <c r="G64" t="str">
        <v>TBD</v>
      </c>
      <c r="H64" t="str">
        <v/>
      </c>
      <c r="I64" t="str">
        <v>28/09/2026</v>
      </c>
      <c r="J64" t="str">
        <v>11:23:01</v>
      </c>
      <c r="K64">
        <v>-12.193414</v>
      </c>
      <c r="L64">
        <v>-76.92671</v>
      </c>
      <c r="M64">
        <f>HYPERLINK("https://www.google.com/maps/search/?api=1&amp;query=-12.193414,-76.92671","Avenida La Mariscala, Villa María del Triunfo, Lima")</f>
      </c>
      <c r="N64">
        <v>0</v>
      </c>
      <c r="O64">
        <v>100</v>
      </c>
      <c r="P64">
        <v>3147.3</v>
      </c>
      <c r="Q64" t="str">
        <v>116.47</v>
      </c>
      <c r="R64" t="str">
        <v>Vehículo encendido</v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F2F-768</v>
      </c>
      <c r="D65" t="str">
        <v>F2F-768</v>
      </c>
      <c r="E65" t="str">
        <v/>
      </c>
      <c r="F65" t="str">
        <v>867162029832136</v>
      </c>
      <c r="G65" t="str">
        <v>TBD</v>
      </c>
      <c r="H65" t="str">
        <v/>
      </c>
      <c r="I65" t="str">
        <v>28/09/2026</v>
      </c>
      <c r="J65" t="str">
        <v>11:23:07</v>
      </c>
      <c r="K65">
        <v>-12.193315</v>
      </c>
      <c r="L65">
        <v>-76.92672</v>
      </c>
      <c r="M65">
        <f>HYPERLINK("https://www.google.com/maps/search/?api=1&amp;query=-12.193315,-76.92672","Avenida La Mariscala, Villa María del Triunfo, Lima")</f>
      </c>
      <c r="N65">
        <v>0</v>
      </c>
      <c r="O65">
        <v>100</v>
      </c>
      <c r="P65">
        <v>3147.3</v>
      </c>
      <c r="Q65" t="str">
        <v>116.47</v>
      </c>
      <c r="R65" t="str">
        <v/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F2F-768</v>
      </c>
      <c r="D66" t="str">
        <v>F2F-768</v>
      </c>
      <c r="E66" t="str">
        <v/>
      </c>
      <c r="F66" t="str">
        <v>867162029832136</v>
      </c>
      <c r="G66" t="str">
        <v>TBD</v>
      </c>
      <c r="H66" t="str">
        <v/>
      </c>
      <c r="I66" t="str">
        <v>28/09/2026</v>
      </c>
      <c r="J66" t="str">
        <v>11:24:02</v>
      </c>
      <c r="K66">
        <v>-12.193315</v>
      </c>
      <c r="L66">
        <v>-76.92672</v>
      </c>
      <c r="M66">
        <f>HYPERLINK("https://www.google.com/maps/search/?api=1&amp;query=-12.193315,-76.92672","Avenida La Mariscala, Villa María del Triunfo, Lima")</f>
      </c>
      <c r="N66">
        <v>0</v>
      </c>
      <c r="O66">
        <v>100</v>
      </c>
      <c r="P66">
        <v>3147.3</v>
      </c>
      <c r="Q66" t="str">
        <v>116.47</v>
      </c>
      <c r="R66" t="str">
        <v/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F2F-768</v>
      </c>
      <c r="D67" t="str">
        <v>F2F-768</v>
      </c>
      <c r="E67" t="str">
        <v/>
      </c>
      <c r="F67" t="str">
        <v>867162029832136</v>
      </c>
      <c r="G67" t="str">
        <v>TBD</v>
      </c>
      <c r="H67" t="str">
        <v/>
      </c>
      <c r="I67" t="str">
        <v>28/09/2026</v>
      </c>
      <c r="J67" t="str">
        <v>11:25:02</v>
      </c>
      <c r="K67">
        <v>-12.193315</v>
      </c>
      <c r="L67">
        <v>-76.92672</v>
      </c>
      <c r="M67">
        <f>HYPERLINK("https://www.google.com/maps/search/?api=1&amp;query=-12.193315,-76.92672","Avenida La Mariscala, Villa María del Triunfo, Lima")</f>
      </c>
      <c r="N67">
        <v>0</v>
      </c>
      <c r="O67">
        <v>100</v>
      </c>
      <c r="P67">
        <v>3147.3</v>
      </c>
      <c r="Q67" t="str">
        <v>116.47</v>
      </c>
      <c r="R67" t="str">
        <v/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F2F-768</v>
      </c>
      <c r="D68" t="str">
        <v>F2F-768</v>
      </c>
      <c r="E68" t="str">
        <v/>
      </c>
      <c r="F68" t="str">
        <v>867162029832136</v>
      </c>
      <c r="G68" t="str">
        <v>TBD</v>
      </c>
      <c r="H68" t="str">
        <v/>
      </c>
      <c r="I68" t="str">
        <v>28/09/2026</v>
      </c>
      <c r="J68" t="str">
        <v>11:25:21</v>
      </c>
      <c r="K68">
        <v>-12.193315</v>
      </c>
      <c r="L68">
        <v>-76.92672</v>
      </c>
      <c r="M68">
        <f>HYPERLINK("https://www.google.com/maps/search/?api=1&amp;query=-12.193315,-76.92672","Avenida La Mariscala, Villa María del Triunfo, Lima")</f>
      </c>
      <c r="N68">
        <v>0</v>
      </c>
      <c r="O68">
        <v>100</v>
      </c>
      <c r="P68">
        <v>3147.3</v>
      </c>
      <c r="Q68" t="str">
        <v>116.50</v>
      </c>
      <c r="R68" t="str">
        <v>Vehículo apagado</v>
      </c>
      <c r="S68" t="str">
        <v/>
      </c>
      <c r="T68" t="str">
        <v/>
      </c>
      <c r="U68" t="str">
        <v/>
      </c>
    </row>
    <row r="69">
      <c r="A69" t="str">
        <v>68</v>
      </c>
      <c r="B69" t="str">
        <v>MASS BSF</v>
      </c>
      <c r="C69" t="str">
        <v>F2F-768</v>
      </c>
      <c r="D69" t="str">
        <v>F2F-768</v>
      </c>
      <c r="E69" t="str">
        <v/>
      </c>
      <c r="F69" t="str">
        <v>867162029832136</v>
      </c>
      <c r="G69" t="str">
        <v>TBD</v>
      </c>
      <c r="H69" t="str">
        <v/>
      </c>
      <c r="I69" t="str">
        <v>28/09/2026</v>
      </c>
      <c r="J69" t="str">
        <v>11:25:24</v>
      </c>
      <c r="K69">
        <v>-12.193315</v>
      </c>
      <c r="L69">
        <v>-76.92672</v>
      </c>
      <c r="M69">
        <f>HYPERLINK("https://www.google.com/maps/search/?api=1&amp;query=-12.193315,-76.92672","Avenida La Mariscala, Villa María del Triunfo, Lima")</f>
      </c>
      <c r="N69">
        <v>0</v>
      </c>
      <c r="O69">
        <v>100</v>
      </c>
      <c r="P69">
        <v>3147.3</v>
      </c>
      <c r="Q69" t="str">
        <v>116.47</v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F2F-768</v>
      </c>
      <c r="D70" t="str">
        <v>F2F-768</v>
      </c>
      <c r="E70" t="str">
        <v/>
      </c>
      <c r="F70" t="str">
        <v>867162029832136</v>
      </c>
      <c r="G70" t="str">
        <v>TBD</v>
      </c>
      <c r="H70" t="str">
        <v/>
      </c>
      <c r="I70" t="str">
        <v>28/09/2026</v>
      </c>
      <c r="J70" t="str">
        <v>11:29:57</v>
      </c>
      <c r="K70">
        <v>-12.193315</v>
      </c>
      <c r="L70">
        <v>-76.92672</v>
      </c>
      <c r="M70">
        <f>HYPERLINK("https://www.google.com/maps/search/?api=1&amp;query=-12.193315,-76.92672","Avenida La Mariscala, Villa María del Triunfo, Lima")</f>
      </c>
      <c r="N70">
        <v>0</v>
      </c>
      <c r="O70">
        <v>100</v>
      </c>
      <c r="P70">
        <v>3147.3</v>
      </c>
      <c r="Q70" t="str">
        <v>116.50</v>
      </c>
      <c r="R70" t="str">
        <v>Vehículo encendido</v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F2F-768</v>
      </c>
      <c r="D71" t="str">
        <v>F2F-768</v>
      </c>
      <c r="E71" t="str">
        <v/>
      </c>
      <c r="F71" t="str">
        <v>867162029832136</v>
      </c>
      <c r="G71" t="str">
        <v>TBD</v>
      </c>
      <c r="H71" t="str">
        <v/>
      </c>
      <c r="I71" t="str">
        <v>28/09/2026</v>
      </c>
      <c r="J71" t="str">
        <v>11:30:18</v>
      </c>
      <c r="K71">
        <v>-12.193513</v>
      </c>
      <c r="L71">
        <v>-76.9268</v>
      </c>
      <c r="M71">
        <f>HYPERLINK("https://www.google.com/maps/search/?api=1&amp;query=-12.193513,-76.9268","Avenida La Mariscala, Villa María del Triunfo, Lima")</f>
      </c>
      <c r="N71">
        <v>1.4</v>
      </c>
      <c r="O71">
        <v>100</v>
      </c>
      <c r="P71">
        <v>3147.3</v>
      </c>
      <c r="Q71" t="str">
        <v>116.50</v>
      </c>
      <c r="R71" t="str">
        <v/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F2F-768</v>
      </c>
      <c r="D72" t="str">
        <v>F2F-768</v>
      </c>
      <c r="E72" t="str">
        <v/>
      </c>
      <c r="F72" t="str">
        <v>867162029832136</v>
      </c>
      <c r="G72" t="str">
        <v>TBD</v>
      </c>
      <c r="H72" t="str">
        <v/>
      </c>
      <c r="I72" t="str">
        <v>28/09/2026</v>
      </c>
      <c r="J72" t="str">
        <v>11:31:17</v>
      </c>
      <c r="K72">
        <v>-12.193437</v>
      </c>
      <c r="L72">
        <v>-76.9268</v>
      </c>
      <c r="M72">
        <f>HYPERLINK("https://www.google.com/maps/search/?api=1&amp;query=-12.193437,-76.9268","Avenida La Mariscala, Villa María del Triunfo, Lima")</f>
      </c>
      <c r="N72">
        <v>0</v>
      </c>
      <c r="O72">
        <v>100</v>
      </c>
      <c r="P72">
        <v>3147.3</v>
      </c>
      <c r="Q72" t="str">
        <v>116.50</v>
      </c>
      <c r="R72" t="str">
        <v/>
      </c>
      <c r="S72" t="str">
        <v/>
      </c>
      <c r="T72" t="str">
        <v/>
      </c>
      <c r="U72" t="str">
        <v/>
      </c>
    </row>
    <row r="73">
      <c r="A73" t="str">
        <v>72</v>
      </c>
      <c r="B73" t="str">
        <v>MASS BSF</v>
      </c>
      <c r="C73" t="str">
        <v>F2F-768</v>
      </c>
      <c r="D73" t="str">
        <v>F2F-768</v>
      </c>
      <c r="E73" t="str">
        <v/>
      </c>
      <c r="F73" t="str">
        <v>867162029832136</v>
      </c>
      <c r="G73" t="str">
        <v>TBD</v>
      </c>
      <c r="H73" t="str">
        <v/>
      </c>
      <c r="I73" t="str">
        <v>28/09/2026</v>
      </c>
      <c r="J73" t="str">
        <v>11:31:34</v>
      </c>
      <c r="K73">
        <v>-12.193437</v>
      </c>
      <c r="L73">
        <v>-76.9268</v>
      </c>
      <c r="M73">
        <f>HYPERLINK("https://www.google.com/maps/search/?api=1&amp;query=-12.193437,-76.9268","Avenida La Mariscala, Villa María del Triunfo, Lima")</f>
      </c>
      <c r="N73">
        <v>0</v>
      </c>
      <c r="O73">
        <v>100</v>
      </c>
      <c r="P73">
        <v>3147.3</v>
      </c>
      <c r="Q73" t="str">
        <v>116.53</v>
      </c>
      <c r="R73" t="str">
        <v>Vehículo apagado</v>
      </c>
      <c r="S73" t="str">
        <v/>
      </c>
      <c r="T73" t="str">
        <v/>
      </c>
      <c r="U73" t="str">
        <v/>
      </c>
    </row>
    <row r="74">
      <c r="A74" t="str">
        <v>73</v>
      </c>
      <c r="B74" t="str">
        <v>MASS BSF</v>
      </c>
      <c r="C74" t="str">
        <v>F2F-768</v>
      </c>
      <c r="D74" t="str">
        <v>F2F-768</v>
      </c>
      <c r="E74" t="str">
        <v/>
      </c>
      <c r="F74" t="str">
        <v>867162029832136</v>
      </c>
      <c r="G74" t="str">
        <v>TBD</v>
      </c>
      <c r="H74" t="str">
        <v/>
      </c>
      <c r="I74" t="str">
        <v>28/09/2026</v>
      </c>
      <c r="J74" t="str">
        <v>11:31:38</v>
      </c>
      <c r="K74">
        <v>-12.193437</v>
      </c>
      <c r="L74">
        <v>-76.9268</v>
      </c>
      <c r="M74">
        <f>HYPERLINK("https://www.google.com/maps/search/?api=1&amp;query=-12.193437,-76.9268","Avenida La Mariscala, Villa María del Triunfo, Lima")</f>
      </c>
      <c r="N74">
        <v>0</v>
      </c>
      <c r="O74">
        <v>100</v>
      </c>
      <c r="P74">
        <v>3147.3</v>
      </c>
      <c r="Q74" t="str">
        <v>116.50</v>
      </c>
      <c r="R74" t="str">
        <v/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F2F-768</v>
      </c>
      <c r="D75" t="str">
        <v>F2F-768</v>
      </c>
      <c r="E75" t="str">
        <v/>
      </c>
      <c r="F75" t="str">
        <v>867162029832136</v>
      </c>
      <c r="G75" t="str">
        <v>TBD</v>
      </c>
      <c r="H75" t="str">
        <v/>
      </c>
      <c r="I75" t="str">
        <v>28/09/2026</v>
      </c>
      <c r="J75" t="str">
        <v>11:40:19</v>
      </c>
      <c r="K75">
        <v>-12.193437</v>
      </c>
      <c r="L75">
        <v>-76.9268</v>
      </c>
      <c r="M75">
        <f>HYPERLINK("https://www.google.com/maps/search/?api=1&amp;query=-12.193437,-76.9268","Avenida La Mariscala, Villa María del Triunfo, Lima")</f>
      </c>
      <c r="N75">
        <v>0</v>
      </c>
      <c r="O75">
        <v>100</v>
      </c>
      <c r="P75">
        <v>3147.3</v>
      </c>
      <c r="Q75" t="str">
        <v>116.53</v>
      </c>
      <c r="R75" t="str">
        <v>Vehículo encendido</v>
      </c>
      <c r="S75" t="str">
        <v/>
      </c>
      <c r="T75" t="str">
        <v/>
      </c>
      <c r="U75" t="str">
        <v/>
      </c>
    </row>
    <row r="76">
      <c r="A76" t="str">
        <v>75</v>
      </c>
      <c r="B76" t="str">
        <v>MASS BSF</v>
      </c>
      <c r="C76" t="str">
        <v>F2F-768</v>
      </c>
      <c r="D76" t="str">
        <v>F2F-768</v>
      </c>
      <c r="E76" t="str">
        <v/>
      </c>
      <c r="F76" t="str">
        <v>867162029832136</v>
      </c>
      <c r="G76" t="str">
        <v>TBD</v>
      </c>
      <c r="H76" t="str">
        <v/>
      </c>
      <c r="I76" t="str">
        <v>28/09/2026</v>
      </c>
      <c r="J76" t="str">
        <v>11:40:26</v>
      </c>
      <c r="K76">
        <v>-12.193436</v>
      </c>
      <c r="L76">
        <v>-76.92673</v>
      </c>
      <c r="M76">
        <f>HYPERLINK("https://www.google.com/maps/search/?api=1&amp;query=-12.193436,-76.92673","Avenida La Mariscala, Villa María del Triunfo, Lima")</f>
      </c>
      <c r="N76">
        <v>0.7</v>
      </c>
      <c r="O76">
        <v>100</v>
      </c>
      <c r="P76">
        <v>3147.3</v>
      </c>
      <c r="Q76" t="str">
        <v>116.53</v>
      </c>
      <c r="R76" t="str">
        <v/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F2F-768</v>
      </c>
      <c r="D77" t="str">
        <v>F2F-768</v>
      </c>
      <c r="E77" t="str">
        <v/>
      </c>
      <c r="F77" t="str">
        <v>867162029832136</v>
      </c>
      <c r="G77" t="str">
        <v>TBD</v>
      </c>
      <c r="H77" t="str">
        <v/>
      </c>
      <c r="I77" t="str">
        <v>28/09/2026</v>
      </c>
      <c r="J77" t="str">
        <v>11:41:23</v>
      </c>
      <c r="K77">
        <v>-12.19353</v>
      </c>
      <c r="L77">
        <v>-76.92688</v>
      </c>
      <c r="M77">
        <f>HYPERLINK("https://www.google.com/maps/search/?api=1&amp;query=-12.19353,-76.92688","Avenida La Mariscala, Villa María del Triunfo, Lima")</f>
      </c>
      <c r="N77">
        <v>11.2</v>
      </c>
      <c r="O77">
        <v>100</v>
      </c>
      <c r="P77">
        <v>3147.3</v>
      </c>
      <c r="Q77" t="str">
        <v>116.53</v>
      </c>
      <c r="R77" t="str">
        <v/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F2F-768</v>
      </c>
      <c r="D78" t="str">
        <v>F2F-768</v>
      </c>
      <c r="E78" t="str">
        <v/>
      </c>
      <c r="F78" t="str">
        <v>867162029832136</v>
      </c>
      <c r="G78" t="str">
        <v>TBD</v>
      </c>
      <c r="H78" t="str">
        <v/>
      </c>
      <c r="I78" t="str">
        <v>28/09/2026</v>
      </c>
      <c r="J78" t="str">
        <v>11:42:23</v>
      </c>
      <c r="K78">
        <v>-12.194534</v>
      </c>
      <c r="L78">
        <v>-76.92863</v>
      </c>
      <c r="M78">
        <f>HYPERLINK("https://www.google.com/maps/search/?api=1&amp;query=-12.194534,-76.92863","Avenida La Mariscala, Villa María del Triunfo, Lima")</f>
      </c>
      <c r="N78">
        <v>10.3</v>
      </c>
      <c r="O78">
        <v>100</v>
      </c>
      <c r="P78">
        <v>3147.5</v>
      </c>
      <c r="Q78" t="str">
        <v>116.53</v>
      </c>
      <c r="R78" t="str">
        <v/>
      </c>
      <c r="S78" t="str">
        <v/>
      </c>
      <c r="T78" t="str">
        <v/>
      </c>
      <c r="U78" t="str">
        <v/>
      </c>
    </row>
    <row r="79">
      <c r="A79" t="str">
        <v>78</v>
      </c>
      <c r="B79" t="str">
        <v>MASS BSF</v>
      </c>
      <c r="C79" t="str">
        <v>F2F-768</v>
      </c>
      <c r="D79" t="str">
        <v>F2F-768</v>
      </c>
      <c r="E79" t="str">
        <v/>
      </c>
      <c r="F79" t="str">
        <v>867162029832136</v>
      </c>
      <c r="G79" t="str">
        <v>TBD</v>
      </c>
      <c r="H79" t="str">
        <v/>
      </c>
      <c r="I79" t="str">
        <v>28/09/2026</v>
      </c>
      <c r="J79" t="str">
        <v>11:43:23</v>
      </c>
      <c r="K79">
        <v>-12.195794</v>
      </c>
      <c r="L79">
        <v>-76.93072</v>
      </c>
      <c r="M79">
        <f>HYPERLINK("https://www.google.com/maps/search/?api=1&amp;query=-12.195794,-76.93072","Avenida La Mariscala, Villa María del Triunfo, Lima")</f>
      </c>
      <c r="N79">
        <v>9.2</v>
      </c>
      <c r="O79">
        <v>100</v>
      </c>
      <c r="P79">
        <v>3147.8</v>
      </c>
      <c r="Q79" t="str">
        <v>116.53</v>
      </c>
      <c r="R79" t="str">
        <v/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F2F-768</v>
      </c>
      <c r="D80" t="str">
        <v>F2F-768</v>
      </c>
      <c r="E80" t="str">
        <v/>
      </c>
      <c r="F80" t="str">
        <v>867162029832136</v>
      </c>
      <c r="G80" t="str">
        <v>TBD</v>
      </c>
      <c r="H80" t="str">
        <v/>
      </c>
      <c r="I80" t="str">
        <v>28/09/2026</v>
      </c>
      <c r="J80" t="str">
        <v>11:43:44</v>
      </c>
      <c r="K80">
        <v>-12.196049</v>
      </c>
      <c r="L80">
        <v>-76.93121</v>
      </c>
      <c r="M80">
        <f>HYPERLINK("https://www.google.com/maps/search/?api=1&amp;query=-12.196049,-76.93121","Avenida La Mariscala, Villa María del Triunfo, Lima")</f>
      </c>
      <c r="N80">
        <v>12.7</v>
      </c>
      <c r="O80">
        <v>100</v>
      </c>
      <c r="P80">
        <v>3147.8</v>
      </c>
      <c r="Q80" t="str">
        <v>116.53</v>
      </c>
      <c r="R80" t="str">
        <v/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F2F-768</v>
      </c>
      <c r="D81" t="str">
        <v>F2F-768</v>
      </c>
      <c r="E81" t="str">
        <v/>
      </c>
      <c r="F81" t="str">
        <v>867162029832136</v>
      </c>
      <c r="G81" t="str">
        <v>TBD</v>
      </c>
      <c r="H81" t="str">
        <v/>
      </c>
      <c r="I81" t="str">
        <v>28/09/2026</v>
      </c>
      <c r="J81" t="str">
        <v>11:44:17</v>
      </c>
      <c r="K81">
        <v>-12.194901</v>
      </c>
      <c r="L81">
        <v>-76.93193</v>
      </c>
      <c r="M81">
        <f>HYPERLINK("https://www.google.com/maps/search/?api=1&amp;query=-12.194901,-76.93193","Jirón Independencia, Villa María del Triunfo, Lima")</f>
      </c>
      <c r="N81">
        <v>9</v>
      </c>
      <c r="O81">
        <v>100</v>
      </c>
      <c r="P81">
        <v>3148</v>
      </c>
      <c r="Q81" t="str">
        <v>116.53</v>
      </c>
      <c r="R81" t="str">
        <v/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F2F-768</v>
      </c>
      <c r="D82" t="str">
        <v>F2F-768</v>
      </c>
      <c r="E82" t="str">
        <v/>
      </c>
      <c r="F82" t="str">
        <v>867162029832136</v>
      </c>
      <c r="G82" t="str">
        <v>TBD</v>
      </c>
      <c r="H82" t="str">
        <v/>
      </c>
      <c r="I82" t="str">
        <v>28/09/2026</v>
      </c>
      <c r="J82" t="str">
        <v>11:44:24</v>
      </c>
      <c r="K82">
        <v>-12.194959</v>
      </c>
      <c r="L82">
        <v>-76.93195</v>
      </c>
      <c r="M82">
        <f>HYPERLINK("https://www.google.com/maps/search/?api=1&amp;query=-12.194959,-76.93195","Avenida Jorge Chávez, Villa María del Triunfo, Lima")</f>
      </c>
      <c r="N82">
        <v>11.8</v>
      </c>
      <c r="O82">
        <v>100</v>
      </c>
      <c r="P82">
        <v>3148</v>
      </c>
      <c r="Q82" t="str">
        <v>116.53</v>
      </c>
      <c r="R82" t="str">
        <v/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F2F-768</v>
      </c>
      <c r="D83" t="str">
        <v>F2F-768</v>
      </c>
      <c r="E83" t="str">
        <v/>
      </c>
      <c r="F83" t="str">
        <v>867162029832136</v>
      </c>
      <c r="G83" t="str">
        <v>TBD</v>
      </c>
      <c r="H83" t="str">
        <v/>
      </c>
      <c r="I83" t="str">
        <v>28/09/2026</v>
      </c>
      <c r="J83" t="str">
        <v>11:45:08</v>
      </c>
      <c r="K83">
        <v>-12.197759</v>
      </c>
      <c r="L83">
        <v>-76.93057</v>
      </c>
      <c r="M83">
        <f>HYPERLINK("https://www.google.com/maps/search/?api=1&amp;query=-12.197759,-76.93057","Avenida Jorge Chávez, Villa María del Triunfo, Lima")</f>
      </c>
      <c r="N83">
        <v>32.1</v>
      </c>
      <c r="O83">
        <v>100</v>
      </c>
      <c r="P83">
        <v>3148.3</v>
      </c>
      <c r="Q83" t="str">
        <v>116.53</v>
      </c>
      <c r="R83" t="str">
        <v/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F2F-768</v>
      </c>
      <c r="D84" t="str">
        <v>F2F-768</v>
      </c>
      <c r="E84" t="str">
        <v/>
      </c>
      <c r="F84" t="str">
        <v>867162029832136</v>
      </c>
      <c r="G84" t="str">
        <v>TBD</v>
      </c>
      <c r="H84" t="str">
        <v/>
      </c>
      <c r="I84" t="str">
        <v>28/09/2026</v>
      </c>
      <c r="J84" t="str">
        <v>11:45:24</v>
      </c>
      <c r="K84">
        <v>-12.198507</v>
      </c>
      <c r="L84">
        <v>-76.9301</v>
      </c>
      <c r="M84">
        <f>HYPERLINK("https://www.google.com/maps/search/?api=1&amp;query=-12.198507,-76.9301","Avenida Jorge Chávez, Villa María del Triunfo, Lima")</f>
      </c>
      <c r="N84">
        <v>28.1</v>
      </c>
      <c r="O84">
        <v>100</v>
      </c>
      <c r="P84">
        <v>3148.5</v>
      </c>
      <c r="Q84" t="str">
        <v>116.53</v>
      </c>
      <c r="R84" t="str">
        <v/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F2F-768</v>
      </c>
      <c r="D85" t="str">
        <v>F2F-768</v>
      </c>
      <c r="E85" t="str">
        <v/>
      </c>
      <c r="F85" t="str">
        <v>867162029832136</v>
      </c>
      <c r="G85" t="str">
        <v>TBD</v>
      </c>
      <c r="H85" t="str">
        <v/>
      </c>
      <c r="I85" t="str">
        <v>28/09/2026</v>
      </c>
      <c r="J85" t="str">
        <v>11:46:05</v>
      </c>
      <c r="K85">
        <v>-12.201107</v>
      </c>
      <c r="L85">
        <v>-76.928734</v>
      </c>
      <c r="M85">
        <f>HYPERLINK("https://www.google.com/maps/search/?api=1&amp;query=-12.201107,-76.928734","Avenida General Vidal, Villa María del Triunfo, Lima")</f>
      </c>
      <c r="N85">
        <v>13.2</v>
      </c>
      <c r="O85">
        <v>100</v>
      </c>
      <c r="P85">
        <v>3148.8</v>
      </c>
      <c r="Q85" t="str">
        <v>116.53</v>
      </c>
      <c r="R85" t="str">
        <v/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F2F-768</v>
      </c>
      <c r="D86" t="str">
        <v>F2F-768</v>
      </c>
      <c r="E86" t="str">
        <v/>
      </c>
      <c r="F86" t="str">
        <v>867162029832136</v>
      </c>
      <c r="G86" t="str">
        <v>TBD</v>
      </c>
      <c r="H86" t="str">
        <v/>
      </c>
      <c r="I86" t="str">
        <v>28/09/2026</v>
      </c>
      <c r="J86" t="str">
        <v>11:46:08</v>
      </c>
      <c r="K86">
        <v>-12.201182</v>
      </c>
      <c r="L86">
        <v>-76.928856</v>
      </c>
      <c r="M86">
        <f>HYPERLINK("https://www.google.com/maps/search/?api=1&amp;query=-12.201182,-76.928856","Avenida General Vidal, Villa María del Triunfo, Lima")</f>
      </c>
      <c r="N86">
        <v>23.3</v>
      </c>
      <c r="O86">
        <v>100</v>
      </c>
      <c r="P86">
        <v>3148.8</v>
      </c>
      <c r="Q86" t="str">
        <v>116.53</v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F2F-768</v>
      </c>
      <c r="D87" t="str">
        <v>F2F-768</v>
      </c>
      <c r="E87" t="str">
        <v/>
      </c>
      <c r="F87" t="str">
        <v>867162029832136</v>
      </c>
      <c r="G87" t="str">
        <v>TBD</v>
      </c>
      <c r="H87" t="str">
        <v/>
      </c>
      <c r="I87" t="str">
        <v>28/09/2026</v>
      </c>
      <c r="J87" t="str">
        <v>11:46:24</v>
      </c>
      <c r="K87">
        <v>-12.201576</v>
      </c>
      <c r="L87">
        <v>-76.92962</v>
      </c>
      <c r="M87">
        <f>HYPERLINK("https://www.google.com/maps/search/?api=1&amp;query=-12.201576,-76.92962","Avenida General Vidal, Villa María del Triunfo, Lima")</f>
      </c>
      <c r="N87">
        <v>22.6</v>
      </c>
      <c r="O87">
        <v>100</v>
      </c>
      <c r="P87">
        <v>3148.9</v>
      </c>
      <c r="Q87" t="str">
        <v>116.53</v>
      </c>
      <c r="R87" t="str">
        <v/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F2F-768</v>
      </c>
      <c r="D88" t="str">
        <v>F2F-768</v>
      </c>
      <c r="E88" t="str">
        <v/>
      </c>
      <c r="F88" t="str">
        <v>867162029832136</v>
      </c>
      <c r="G88" t="str">
        <v>TBD</v>
      </c>
      <c r="H88" t="str">
        <v/>
      </c>
      <c r="I88" t="str">
        <v>28/09/2026</v>
      </c>
      <c r="J88" t="str">
        <v>11:46:44</v>
      </c>
      <c r="K88">
        <v>-12.201939</v>
      </c>
      <c r="L88">
        <v>-76.93026</v>
      </c>
      <c r="M88">
        <f>HYPERLINK("https://www.google.com/maps/search/?api=1&amp;query=-12.201939,-76.93026","Avenida General Vidal, Villa María del Triunfo, Lima")</f>
      </c>
      <c r="N88">
        <v>4.7</v>
      </c>
      <c r="O88">
        <v>100</v>
      </c>
      <c r="P88">
        <v>3148.9</v>
      </c>
      <c r="Q88" t="str">
        <v>116.53</v>
      </c>
      <c r="R88" t="str">
        <v/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F2F-768</v>
      </c>
      <c r="D89" t="str">
        <v>F2F-768</v>
      </c>
      <c r="E89" t="str">
        <v/>
      </c>
      <c r="F89" t="str">
        <v>867162029832136</v>
      </c>
      <c r="G89" t="str">
        <v>TBD</v>
      </c>
      <c r="H89" t="str">
        <v/>
      </c>
      <c r="I89" t="str">
        <v>28/09/2026</v>
      </c>
      <c r="J89" t="str">
        <v>11:46:47</v>
      </c>
      <c r="K89">
        <v>-12.201995</v>
      </c>
      <c r="L89">
        <v>-76.93026</v>
      </c>
      <c r="M89">
        <f>HYPERLINK("https://www.google.com/maps/search/?api=1&amp;query=-12.201995,-76.93026","Avenida Pachacútec, Villa María del Triunfo, Lima")</f>
      </c>
      <c r="N89">
        <v>8.6</v>
      </c>
      <c r="O89">
        <v>100</v>
      </c>
      <c r="P89">
        <v>3148.9</v>
      </c>
      <c r="Q89" t="str">
        <v>116.53</v>
      </c>
      <c r="R89" t="str">
        <v/>
      </c>
      <c r="S89" t="str">
        <v/>
      </c>
      <c r="T89" t="str">
        <v/>
      </c>
      <c r="U89" t="str">
        <v/>
      </c>
    </row>
    <row r="90">
      <c r="A90" t="str">
        <v>89</v>
      </c>
      <c r="B90" t="str">
        <v>MASS BSF</v>
      </c>
      <c r="C90" t="str">
        <v>F2F-768</v>
      </c>
      <c r="D90" t="str">
        <v>F2F-768</v>
      </c>
      <c r="E90" t="str">
        <v/>
      </c>
      <c r="F90" t="str">
        <v>867162029832136</v>
      </c>
      <c r="G90" t="str">
        <v>TBD</v>
      </c>
      <c r="H90" t="str">
        <v/>
      </c>
      <c r="I90" t="str">
        <v>28/09/2026</v>
      </c>
      <c r="J90" t="str">
        <v>11:47:24</v>
      </c>
      <c r="K90">
        <v>-12.202395</v>
      </c>
      <c r="L90">
        <v>-76.93011</v>
      </c>
      <c r="M90">
        <f>HYPERLINK("https://www.google.com/maps/search/?api=1&amp;query=-12.202395,-76.93011","Avenida Juan Velasco Alvarado, Villa María del Triunfo, Lima")</f>
      </c>
      <c r="N90">
        <v>0</v>
      </c>
      <c r="O90">
        <v>100</v>
      </c>
      <c r="P90">
        <v>3149</v>
      </c>
      <c r="Q90" t="str">
        <v>116.53</v>
      </c>
      <c r="R90" t="str">
        <v/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F2F-768</v>
      </c>
      <c r="D91" t="str">
        <v>F2F-768</v>
      </c>
      <c r="E91" t="str">
        <v/>
      </c>
      <c r="F91" t="str">
        <v>867162029832136</v>
      </c>
      <c r="G91" t="str">
        <v>TBD</v>
      </c>
      <c r="H91" t="str">
        <v/>
      </c>
      <c r="I91" t="str">
        <v>28/09/2026</v>
      </c>
      <c r="J91" t="str">
        <v>11:48:14</v>
      </c>
      <c r="K91">
        <v>-12.202415</v>
      </c>
      <c r="L91">
        <v>-76.93014</v>
      </c>
      <c r="M91">
        <f>HYPERLINK("https://www.google.com/maps/search/?api=1&amp;query=-12.202415,-76.93014","Avenida Juan Velasco Alvarado, Villa María del Triunfo, Lima")</f>
      </c>
      <c r="N91">
        <v>8.9</v>
      </c>
      <c r="O91">
        <v>100</v>
      </c>
      <c r="P91">
        <v>3149</v>
      </c>
      <c r="Q91" t="str">
        <v>116.53</v>
      </c>
      <c r="R91" t="str">
        <v/>
      </c>
      <c r="S91" t="str">
        <v/>
      </c>
      <c r="T91" t="str">
        <v/>
      </c>
      <c r="U91" t="str">
        <v/>
      </c>
    </row>
    <row r="92">
      <c r="A92" t="str">
        <v>91</v>
      </c>
      <c r="B92" t="str">
        <v>MASS BSF</v>
      </c>
      <c r="C92" t="str">
        <v>F2F-768</v>
      </c>
      <c r="D92" t="str">
        <v>F2F-768</v>
      </c>
      <c r="E92" t="str">
        <v/>
      </c>
      <c r="F92" t="str">
        <v>867162029832136</v>
      </c>
      <c r="G92" t="str">
        <v>TBD</v>
      </c>
      <c r="H92" t="str">
        <v/>
      </c>
      <c r="I92" t="str">
        <v>28/09/2026</v>
      </c>
      <c r="J92" t="str">
        <v>11:48:23</v>
      </c>
      <c r="K92">
        <v>-12.202532</v>
      </c>
      <c r="L92">
        <v>-76.93032</v>
      </c>
      <c r="M92">
        <f>HYPERLINK("https://www.google.com/maps/search/?api=1&amp;query=-12.202532,-76.93032","Avenida Juan Velasco Alvarado, Villa María del Triunfo, Lima")</f>
      </c>
      <c r="N92">
        <v>13.3</v>
      </c>
      <c r="O92">
        <v>100</v>
      </c>
      <c r="P92">
        <v>3149</v>
      </c>
      <c r="Q92" t="str">
        <v>116.53</v>
      </c>
      <c r="R92" t="str">
        <v/>
      </c>
      <c r="S92" t="str">
        <v/>
      </c>
      <c r="T92" t="str">
        <v/>
      </c>
      <c r="U92" t="str">
        <v/>
      </c>
    </row>
    <row r="93">
      <c r="A93" t="str">
        <v>92</v>
      </c>
      <c r="B93" t="str">
        <v>MASS BSF</v>
      </c>
      <c r="C93" t="str">
        <v>F2F-768</v>
      </c>
      <c r="D93" t="str">
        <v>F2F-768</v>
      </c>
      <c r="E93" t="str">
        <v/>
      </c>
      <c r="F93" t="str">
        <v>867162029832136</v>
      </c>
      <c r="G93" t="str">
        <v>TBD</v>
      </c>
      <c r="H93" t="str">
        <v/>
      </c>
      <c r="I93" t="str">
        <v>28/09/2026</v>
      </c>
      <c r="J93" t="str">
        <v>11:48:23</v>
      </c>
      <c r="K93">
        <v>-12.202622</v>
      </c>
      <c r="L93">
        <v>-76.93035</v>
      </c>
      <c r="M93">
        <f>HYPERLINK("https://www.google.com/maps/search/?api=1&amp;query=-12.202622,-76.93035","Avenida Pachacútec, Villa María del Triunfo, Lima")</f>
      </c>
      <c r="N93">
        <v>14</v>
      </c>
      <c r="O93">
        <v>100</v>
      </c>
      <c r="P93">
        <v>3149</v>
      </c>
      <c r="Q93" t="str">
        <v>116.53</v>
      </c>
      <c r="R93" t="str">
        <v/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F2F-768</v>
      </c>
      <c r="D94" t="str">
        <v>F2F-768</v>
      </c>
      <c r="E94" t="str">
        <v/>
      </c>
      <c r="F94" t="str">
        <v>867162029832136</v>
      </c>
      <c r="G94" t="str">
        <v>TBD</v>
      </c>
      <c r="H94" t="str">
        <v/>
      </c>
      <c r="I94" t="str">
        <v>28/09/2026</v>
      </c>
      <c r="J94" t="str">
        <v>11:49:19</v>
      </c>
      <c r="K94">
        <v>-12.202622</v>
      </c>
      <c r="L94">
        <v>-76.93035</v>
      </c>
      <c r="M94">
        <f>HYPERLINK("https://www.google.com/maps/search/?api=1&amp;query=-12.202622,-76.93035","Avenida Pachacútec, Villa María del Triunfo, Lima")</f>
      </c>
      <c r="N94">
        <v>14</v>
      </c>
      <c r="O94">
        <v>100</v>
      </c>
      <c r="P94">
        <v>3149</v>
      </c>
      <c r="Q94" t="str">
        <v>116.53</v>
      </c>
      <c r="R94" t="str">
        <v/>
      </c>
      <c r="S94" t="str">
        <v/>
      </c>
      <c r="T94" t="str">
        <v/>
      </c>
      <c r="U94" t="str">
        <v/>
      </c>
    </row>
    <row r="95">
      <c r="A95" t="str">
        <v>94</v>
      </c>
      <c r="B95" t="str">
        <v>MASS BSF</v>
      </c>
      <c r="C95" t="str">
        <v>F2F-768</v>
      </c>
      <c r="D95" t="str">
        <v>F2F-768</v>
      </c>
      <c r="E95" t="str">
        <v/>
      </c>
      <c r="F95" t="str">
        <v>867162029832136</v>
      </c>
      <c r="G95" t="str">
        <v>TBD</v>
      </c>
      <c r="H95" t="str">
        <v/>
      </c>
      <c r="I95" t="str">
        <v>28/09/2026</v>
      </c>
      <c r="J95" t="str">
        <v>11:50:19</v>
      </c>
      <c r="K95">
        <v>-12.203567</v>
      </c>
      <c r="L95">
        <v>-76.92977</v>
      </c>
      <c r="M95">
        <f>HYPERLINK("https://www.google.com/maps/search/?api=1&amp;query=-12.203567,-76.92977","Avenida Pachacútec, Villa María del Triunfo, Lima")</f>
      </c>
      <c r="N95">
        <v>37.8</v>
      </c>
      <c r="O95">
        <v>100</v>
      </c>
      <c r="P95">
        <v>3149.8</v>
      </c>
      <c r="Q95" t="str">
        <v>116.53</v>
      </c>
      <c r="R95" t="str">
        <v/>
      </c>
      <c r="S95" t="str">
        <v/>
      </c>
      <c r="T95" t="str">
        <v/>
      </c>
      <c r="U95" t="str">
        <v/>
      </c>
    </row>
    <row r="96">
      <c r="A96" t="str">
        <v>95</v>
      </c>
      <c r="B96" t="str">
        <v>MASS BSF</v>
      </c>
      <c r="C96" t="str">
        <v>F2F-768</v>
      </c>
      <c r="D96" t="str">
        <v>F2F-768</v>
      </c>
      <c r="E96" t="str">
        <v/>
      </c>
      <c r="F96" t="str">
        <v>867162029832136</v>
      </c>
      <c r="G96" t="str">
        <v>TBD</v>
      </c>
      <c r="H96" t="str">
        <v/>
      </c>
      <c r="I96" t="str">
        <v>28/09/2026</v>
      </c>
      <c r="J96" t="str">
        <v>11:51:19</v>
      </c>
      <c r="K96">
        <v>-12.208907</v>
      </c>
      <c r="L96">
        <v>-76.92629</v>
      </c>
      <c r="M96">
        <f>HYPERLINK("https://www.google.com/maps/search/?api=1&amp;query=-12.208907,-76.92629","Avenida Pachacútec, Villa María del Triunfo, Lima")</f>
      </c>
      <c r="N96">
        <v>47.6</v>
      </c>
      <c r="O96">
        <v>100</v>
      </c>
      <c r="P96">
        <v>3150.6</v>
      </c>
      <c r="Q96" t="str">
        <v>116.53</v>
      </c>
      <c r="R96" t="str">
        <v/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F2F-768</v>
      </c>
      <c r="D97" t="str">
        <v>F2F-768</v>
      </c>
      <c r="E97" t="str">
        <v/>
      </c>
      <c r="F97" t="str">
        <v>867162029832136</v>
      </c>
      <c r="G97" t="str">
        <v>TBD</v>
      </c>
      <c r="H97" t="str">
        <v/>
      </c>
      <c r="I97" t="str">
        <v>28/09/2026</v>
      </c>
      <c r="J97" t="str">
        <v>11:52:19</v>
      </c>
      <c r="K97">
        <v>-12.214319</v>
      </c>
      <c r="L97">
        <v>-76.92249</v>
      </c>
      <c r="M97">
        <f>HYPERLINK("https://www.google.com/maps/search/?api=1&amp;query=-12.214319,-76.92249","Avenida Pachacútec, Villa El Salvador, Lima")</f>
      </c>
      <c r="N97">
        <v>50.3</v>
      </c>
      <c r="O97">
        <v>100</v>
      </c>
      <c r="P97">
        <v>3151.4</v>
      </c>
      <c r="Q97" t="str">
        <v>116.53</v>
      </c>
      <c r="R97" t="str">
        <v/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F2F-768</v>
      </c>
      <c r="D98" t="str">
        <v>F2F-768</v>
      </c>
      <c r="E98" t="str">
        <v/>
      </c>
      <c r="F98" t="str">
        <v>867162029832136</v>
      </c>
      <c r="G98" t="str">
        <v>TBD</v>
      </c>
      <c r="H98" t="str">
        <v/>
      </c>
      <c r="I98" t="str">
        <v>28/09/2026</v>
      </c>
      <c r="J98" t="str">
        <v>11:52:47</v>
      </c>
      <c r="K98">
        <v>-12.221543</v>
      </c>
      <c r="L98">
        <v>-76.92055</v>
      </c>
      <c r="M98">
        <f>HYPERLINK("https://www.google.com/maps/search/?api=1&amp;query=-12.221543,-76.92055","Avenida Pachacútec, Villa El Salvador, Lima")</f>
      </c>
      <c r="N98">
        <v>53.6</v>
      </c>
      <c r="O98">
        <v>100</v>
      </c>
      <c r="P98">
        <v>3151.7</v>
      </c>
      <c r="Q98" t="str">
        <v>116.53</v>
      </c>
      <c r="R98" t="str">
        <v/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F2F-768</v>
      </c>
      <c r="D99" t="str">
        <v>F2F-768</v>
      </c>
      <c r="E99" t="str">
        <v/>
      </c>
      <c r="F99" t="str">
        <v>867162029832136</v>
      </c>
      <c r="G99" t="str">
        <v>TBD</v>
      </c>
      <c r="H99" t="str">
        <v/>
      </c>
      <c r="I99" t="str">
        <v>28/09/2026</v>
      </c>
      <c r="J99" t="str">
        <v>11:52:47</v>
      </c>
      <c r="K99">
        <v>-12.223894</v>
      </c>
      <c r="L99">
        <v>-76.91991</v>
      </c>
      <c r="M99">
        <f>HYPERLINK("https://www.google.com/maps/search/?api=1&amp;query=-12.223894,-76.91991","Avenida 200 Millas, Villa El Salvador, Lima")</f>
      </c>
      <c r="N99">
        <v>13.4</v>
      </c>
      <c r="O99">
        <v>100</v>
      </c>
      <c r="P99">
        <v>3151.7</v>
      </c>
      <c r="Q99" t="str">
        <v>116.53</v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F2F-768</v>
      </c>
      <c r="D100" t="str">
        <v>F2F-768</v>
      </c>
      <c r="E100" t="str">
        <v/>
      </c>
      <c r="F100" t="str">
        <v>867162029832136</v>
      </c>
      <c r="G100" t="str">
        <v>TBD</v>
      </c>
      <c r="H100" t="str">
        <v/>
      </c>
      <c r="I100" t="str">
        <v>28/09/2026</v>
      </c>
      <c r="J100" t="str">
        <v>11:52:53</v>
      </c>
      <c r="K100">
        <v>-12.223993</v>
      </c>
      <c r="L100">
        <v>-76.92</v>
      </c>
      <c r="M100">
        <f>HYPERLINK("https://www.google.com/maps/search/?api=1&amp;query=-12.223993,-76.92","Avenida 200 Millas, Villa El Salvador, Lima")</f>
      </c>
      <c r="N100">
        <v>9.6</v>
      </c>
      <c r="O100">
        <v>100</v>
      </c>
      <c r="P100">
        <v>3151.7</v>
      </c>
      <c r="Q100" t="str">
        <v>116.53</v>
      </c>
      <c r="R100" t="str">
        <v/>
      </c>
      <c r="S100" t="str">
        <v/>
      </c>
      <c r="T100" t="str">
        <v/>
      </c>
      <c r="U100" t="str">
        <v/>
      </c>
    </row>
    <row r="101">
      <c r="A101" t="str">
        <v>100</v>
      </c>
      <c r="B101" t="str">
        <v>MASS BSF</v>
      </c>
      <c r="C101" t="str">
        <v>F2F-768</v>
      </c>
      <c r="D101" t="str">
        <v>F2F-768</v>
      </c>
      <c r="E101" t="str">
        <v/>
      </c>
      <c r="F101" t="str">
        <v>867162029832136</v>
      </c>
      <c r="G101" t="str">
        <v>TBD</v>
      </c>
      <c r="H101" t="str">
        <v/>
      </c>
      <c r="I101" t="str">
        <v>28/09/2026</v>
      </c>
      <c r="J101" t="str">
        <v>11:53:35</v>
      </c>
      <c r="K101">
        <v>-12.225197</v>
      </c>
      <c r="L101">
        <v>-76.922134</v>
      </c>
      <c r="M101">
        <f>HYPERLINK("https://www.google.com/maps/search/?api=1&amp;query=-12.225197,-76.922134","Avenida 200 Millas, Villa El Salvador, Lima")</f>
      </c>
      <c r="N101">
        <v>14.1</v>
      </c>
      <c r="O101">
        <v>100</v>
      </c>
      <c r="P101">
        <v>3152.1</v>
      </c>
      <c r="Q101" t="str">
        <v>116.53</v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F2F-768</v>
      </c>
      <c r="D102" t="str">
        <v>F2F-768</v>
      </c>
      <c r="E102" t="str">
        <v/>
      </c>
      <c r="F102" t="str">
        <v>867162029832136</v>
      </c>
      <c r="G102" t="str">
        <v>TBD</v>
      </c>
      <c r="H102" t="str">
        <v/>
      </c>
      <c r="I102" t="str">
        <v>28/09/2026</v>
      </c>
      <c r="J102" t="str">
        <v>11:53:35</v>
      </c>
      <c r="K102">
        <v>-12.225552</v>
      </c>
      <c r="L102">
        <v>-76.92261</v>
      </c>
      <c r="M102">
        <f>HYPERLINK("https://www.google.com/maps/search/?api=1&amp;query=-12.225552,-76.92261","Avenida Separadora Industrial, Villa El Salvador, Lima")</f>
      </c>
      <c r="N102">
        <v>19.6</v>
      </c>
      <c r="O102">
        <v>100</v>
      </c>
      <c r="P102">
        <v>3152.1</v>
      </c>
      <c r="Q102" t="str">
        <v>116.53</v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>102</v>
      </c>
      <c r="B103" t="str">
        <v>MASS BSF</v>
      </c>
      <c r="C103" t="str">
        <v>F2F-768</v>
      </c>
      <c r="D103" t="str">
        <v>F2F-768</v>
      </c>
      <c r="E103" t="str">
        <v/>
      </c>
      <c r="F103" t="str">
        <v>867162029832136</v>
      </c>
      <c r="G103" t="str">
        <v>TBD</v>
      </c>
      <c r="H103" t="str">
        <v/>
      </c>
      <c r="I103" t="str">
        <v>28/09/2026</v>
      </c>
      <c r="J103" t="str">
        <v>11:54:34</v>
      </c>
      <c r="K103">
        <v>-12.230597</v>
      </c>
      <c r="L103">
        <v>-76.91966</v>
      </c>
      <c r="M103">
        <f>HYPERLINK("https://www.google.com/maps/search/?api=1&amp;query=-12.230597,-76.91966","Avenida Separadora Industrial, Villa El Salvador, Lima")</f>
      </c>
      <c r="N103">
        <v>57.9</v>
      </c>
      <c r="O103">
        <v>100</v>
      </c>
      <c r="P103">
        <v>3152.9</v>
      </c>
      <c r="Q103" t="str">
        <v>116.53</v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F2F-768</v>
      </c>
      <c r="D104" t="str">
        <v>F2F-768</v>
      </c>
      <c r="E104" t="str">
        <v/>
      </c>
      <c r="F104" t="str">
        <v>867162029832136</v>
      </c>
      <c r="G104" t="str">
        <v>TBD</v>
      </c>
      <c r="H104" t="str">
        <v/>
      </c>
      <c r="I104" t="str">
        <v>28/09/2026</v>
      </c>
      <c r="J104" t="str">
        <v>11:54:47</v>
      </c>
      <c r="K104">
        <v>-12.233306</v>
      </c>
      <c r="L104">
        <v>-76.91806</v>
      </c>
      <c r="M104">
        <f>HYPERLINK("https://www.google.com/maps/search/?api=1&amp;query=-12.233306,-76.91806","Ovalo Chama, Villa El Salvador, Lima")</f>
      </c>
      <c r="N104">
        <v>30.5</v>
      </c>
      <c r="O104">
        <v>100</v>
      </c>
      <c r="P104">
        <v>3153</v>
      </c>
      <c r="Q104" t="str">
        <v>116.53</v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F2F-768</v>
      </c>
      <c r="D105" t="str">
        <v>F2F-768</v>
      </c>
      <c r="E105" t="str">
        <v/>
      </c>
      <c r="F105" t="str">
        <v>867162029832136</v>
      </c>
      <c r="G105" t="str">
        <v>TBD</v>
      </c>
      <c r="H105" t="str">
        <v/>
      </c>
      <c r="I105" t="str">
        <v>28/09/2026</v>
      </c>
      <c r="J105" t="str">
        <v>11:55:34</v>
      </c>
      <c r="K105">
        <v>-12.236358</v>
      </c>
      <c r="L105">
        <v>-76.916214</v>
      </c>
      <c r="M105">
        <f>HYPERLINK("https://www.google.com/maps/search/?api=1&amp;query=-12.236358,-76.916214","Avenida Separadora Industrial, Villa El Salvador, Lima")</f>
      </c>
      <c r="N105">
        <v>43.3</v>
      </c>
      <c r="O105">
        <v>100</v>
      </c>
      <c r="P105">
        <v>3153.6</v>
      </c>
      <c r="Q105" t="str">
        <v>116.53</v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>105</v>
      </c>
      <c r="B106" t="str">
        <v>MASS BSF</v>
      </c>
      <c r="C106" t="str">
        <v>F2F-768</v>
      </c>
      <c r="D106" t="str">
        <v>F2F-768</v>
      </c>
      <c r="E106" t="str">
        <v/>
      </c>
      <c r="F106" t="str">
        <v>867162029832136</v>
      </c>
      <c r="G106" t="str">
        <v>TBD</v>
      </c>
      <c r="H106" t="str">
        <v/>
      </c>
      <c r="I106" t="str">
        <v>28/09/2026</v>
      </c>
      <c r="J106" t="str">
        <v>11:56:34</v>
      </c>
      <c r="K106">
        <v>-12.239911</v>
      </c>
      <c r="L106">
        <v>-76.91405</v>
      </c>
      <c r="M106">
        <f>HYPERLINK("https://www.google.com/maps/search/?api=1&amp;query=-12.239911,-76.91405","Avenida Separadora Industrial, Villa El Salvador, Lima")</f>
      </c>
      <c r="N106">
        <v>17.1</v>
      </c>
      <c r="O106">
        <v>100</v>
      </c>
      <c r="P106">
        <v>3153.9</v>
      </c>
      <c r="Q106" t="str">
        <v>116.53</v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106</v>
      </c>
      <c r="B107" t="str">
        <v>MASS BSF</v>
      </c>
      <c r="C107" t="str">
        <v>F2F-768</v>
      </c>
      <c r="D107" t="str">
        <v>F2F-768</v>
      </c>
      <c r="E107" t="str">
        <v/>
      </c>
      <c r="F107" t="str">
        <v>867162029832136</v>
      </c>
      <c r="G107" t="str">
        <v>TBD</v>
      </c>
      <c r="H107" t="str">
        <v/>
      </c>
      <c r="I107" t="str">
        <v>28/09/2026</v>
      </c>
      <c r="J107" t="str">
        <v>11:57:02</v>
      </c>
      <c r="K107">
        <v>-12.240551</v>
      </c>
      <c r="L107">
        <v>-76.913635</v>
      </c>
      <c r="M107">
        <f>HYPERLINK("https://www.google.com/maps/search/?api=1&amp;query=-12.240551,-76.913635","Avenida Separadora Industrial, Villa El Salvador, Lima")</f>
      </c>
      <c r="N107">
        <v>11.2</v>
      </c>
      <c r="O107">
        <v>100</v>
      </c>
      <c r="P107">
        <v>3154</v>
      </c>
      <c r="Q107" t="str">
        <v>116.53</v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F2F-768</v>
      </c>
      <c r="D108" t="str">
        <v>F2F-768</v>
      </c>
      <c r="E108" t="str">
        <v/>
      </c>
      <c r="F108" t="str">
        <v>867162029832136</v>
      </c>
      <c r="G108" t="str">
        <v>TBD</v>
      </c>
      <c r="H108" t="str">
        <v/>
      </c>
      <c r="I108" t="str">
        <v>28/09/2026</v>
      </c>
      <c r="J108" t="str">
        <v>11:57:05</v>
      </c>
      <c r="K108">
        <v>-12.240509</v>
      </c>
      <c r="L108">
        <v>-76.91353</v>
      </c>
      <c r="M108">
        <f>HYPERLINK("https://www.google.com/maps/search/?api=1&amp;query=-12.240509,-76.91353","Avenida María Reiche, Villa El Salvador, Lima")</f>
      </c>
      <c r="N108">
        <v>19.8</v>
      </c>
      <c r="O108">
        <v>100</v>
      </c>
      <c r="P108">
        <v>3154</v>
      </c>
      <c r="Q108" t="str">
        <v>116.53</v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F2F-768</v>
      </c>
      <c r="D109" t="str">
        <v>F2F-768</v>
      </c>
      <c r="E109" t="str">
        <v/>
      </c>
      <c r="F109" t="str">
        <v>867162029832136</v>
      </c>
      <c r="G109" t="str">
        <v>TBD</v>
      </c>
      <c r="H109" t="str">
        <v/>
      </c>
      <c r="I109" t="str">
        <v>28/09/2026</v>
      </c>
      <c r="J109" t="str">
        <v>11:57:26</v>
      </c>
      <c r="K109">
        <v>-12.240037</v>
      </c>
      <c r="L109">
        <v>-76.91233</v>
      </c>
      <c r="M109">
        <f>HYPERLINK("https://www.google.com/maps/search/?api=1&amp;query=-12.240037,-76.91233","Ovalo María Reiche, Villa El Salvador, Lima")</f>
      </c>
      <c r="N109">
        <v>29.8</v>
      </c>
      <c r="O109">
        <v>100</v>
      </c>
      <c r="P109">
        <v>3154.2</v>
      </c>
      <c r="Q109" t="str">
        <v>116.53</v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109</v>
      </c>
      <c r="B110" t="str">
        <v>MASS BSF</v>
      </c>
      <c r="C110" t="str">
        <v>F2F-768</v>
      </c>
      <c r="D110" t="str">
        <v>F2F-768</v>
      </c>
      <c r="E110" t="str">
        <v/>
      </c>
      <c r="F110" t="str">
        <v>867162029832136</v>
      </c>
      <c r="G110" t="str">
        <v>TBD</v>
      </c>
      <c r="H110" t="str">
        <v/>
      </c>
      <c r="I110" t="str">
        <v>28/09/2026</v>
      </c>
      <c r="J110" t="str">
        <v>11:57:26</v>
      </c>
      <c r="K110">
        <v>-12.240292</v>
      </c>
      <c r="L110">
        <v>-76.91198</v>
      </c>
      <c r="M110">
        <f>HYPERLINK("https://www.google.com/maps/search/?api=1&amp;query=-12.240292,-76.91198","Avenida Lima, Villa El Salvador")</f>
      </c>
      <c r="N110">
        <v>33.4</v>
      </c>
      <c r="O110">
        <v>100</v>
      </c>
      <c r="P110">
        <v>3154.2</v>
      </c>
      <c r="Q110" t="str">
        <v>116.53</v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F2F-768</v>
      </c>
      <c r="D111" t="str">
        <v>F2F-768</v>
      </c>
      <c r="E111" t="str">
        <v/>
      </c>
      <c r="F111" t="str">
        <v>867162029832136</v>
      </c>
      <c r="G111" t="str">
        <v>TBD</v>
      </c>
      <c r="H111" t="str">
        <v/>
      </c>
      <c r="I111" t="str">
        <v>28/09/2026</v>
      </c>
      <c r="J111" t="str">
        <v>11:58:24</v>
      </c>
      <c r="K111">
        <v>-12.245955</v>
      </c>
      <c r="L111">
        <v>-76.908195</v>
      </c>
      <c r="M111">
        <f>HYPERLINK("https://www.google.com/maps/search/?api=1&amp;query=-12.245955,-76.908195","Avenida Lima, Lurín")</f>
      </c>
      <c r="N111">
        <v>53.3</v>
      </c>
      <c r="O111">
        <v>100</v>
      </c>
      <c r="P111">
        <v>3155</v>
      </c>
      <c r="Q111" t="str">
        <v>116.53</v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F2F-768</v>
      </c>
      <c r="D112" t="str">
        <v>F2F-768</v>
      </c>
      <c r="E112" t="str">
        <v/>
      </c>
      <c r="F112" t="str">
        <v>867162029832136</v>
      </c>
      <c r="G112" t="str">
        <v>TBD</v>
      </c>
      <c r="H112" t="str">
        <v/>
      </c>
      <c r="I112" t="str">
        <v>28/09/2026</v>
      </c>
      <c r="J112" t="str">
        <v>11:59:24</v>
      </c>
      <c r="K112">
        <v>-12.252792</v>
      </c>
      <c r="L112">
        <v>-76.904915</v>
      </c>
      <c r="M112">
        <f>HYPERLINK("https://www.google.com/maps/search/?api=1&amp;query=-12.252792,-76.904915","Avenida Lima, Lurín")</f>
      </c>
      <c r="N112">
        <v>38.8</v>
      </c>
      <c r="O112">
        <v>100</v>
      </c>
      <c r="P112">
        <v>3155.8</v>
      </c>
      <c r="Q112" t="str">
        <v>116.53</v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F2F-768</v>
      </c>
      <c r="D113" t="str">
        <v>F2F-768</v>
      </c>
      <c r="E113" t="str">
        <v/>
      </c>
      <c r="F113" t="str">
        <v>867162029832136</v>
      </c>
      <c r="G113" t="str">
        <v>TBD</v>
      </c>
      <c r="H113" t="str">
        <v/>
      </c>
      <c r="I113" t="str">
        <v>28/09/2026</v>
      </c>
      <c r="J113" t="str">
        <v>11:59:35</v>
      </c>
      <c r="K113">
        <v>-12.253936</v>
      </c>
      <c r="L113">
        <v>-76.90449</v>
      </c>
      <c r="M113">
        <f>HYPERLINK("https://www.google.com/maps/search/?api=1&amp;query=-12.253936,-76.90449","Avenida Lima, Lurín")</f>
      </c>
      <c r="N113">
        <v>27.1</v>
      </c>
      <c r="O113">
        <v>100</v>
      </c>
      <c r="P113">
        <v>3155.9</v>
      </c>
      <c r="Q113" t="str">
        <v>116.53</v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F2F-768</v>
      </c>
      <c r="D114" t="str">
        <v>F2F-768</v>
      </c>
      <c r="E114" t="str">
        <v/>
      </c>
      <c r="F114" t="str">
        <v>867162029832136</v>
      </c>
      <c r="G114" t="str">
        <v>TBD</v>
      </c>
      <c r="H114" t="str">
        <v/>
      </c>
      <c r="I114" t="str">
        <v>28/09/2026</v>
      </c>
      <c r="J114" t="str">
        <v>11:59:41</v>
      </c>
      <c r="K114">
        <v>-12.254264</v>
      </c>
      <c r="L114">
        <v>-76.90472</v>
      </c>
      <c r="M114">
        <f>HYPERLINK("https://www.google.com/maps/search/?api=1&amp;query=-12.254264,-76.90472","Antigua Panamericana Sur, Lurín, Lima")</f>
      </c>
      <c r="N114">
        <v>25.8</v>
      </c>
      <c r="O114">
        <v>100</v>
      </c>
      <c r="P114">
        <v>3156</v>
      </c>
      <c r="Q114" t="str">
        <v>116.53</v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F2F-768</v>
      </c>
      <c r="D115" t="str">
        <v>F2F-768</v>
      </c>
      <c r="E115" t="str">
        <v/>
      </c>
      <c r="F115" t="str">
        <v>867162029832136</v>
      </c>
      <c r="G115" t="str">
        <v>TBD</v>
      </c>
      <c r="H115" t="str">
        <v/>
      </c>
      <c r="I115" t="str">
        <v>28/09/2026</v>
      </c>
      <c r="J115" t="str">
        <v>12:00:24</v>
      </c>
      <c r="K115">
        <v>-12.255237</v>
      </c>
      <c r="L115">
        <v>-76.9088</v>
      </c>
      <c r="M115">
        <f>HYPERLINK("https://www.google.com/maps/search/?api=1&amp;query=-12.255237,-76.9088","Antigua Panamericana Sur, Lurín, Lima")</f>
      </c>
      <c r="N115">
        <v>51.8</v>
      </c>
      <c r="O115">
        <v>100</v>
      </c>
      <c r="P115">
        <v>3156.5</v>
      </c>
      <c r="Q115" t="str">
        <v>116.53</v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115</v>
      </c>
      <c r="B116" t="str">
        <v>MASS BSF</v>
      </c>
      <c r="C116" t="str">
        <v>F2F-768</v>
      </c>
      <c r="D116" t="str">
        <v>F2F-768</v>
      </c>
      <c r="E116" t="str">
        <v/>
      </c>
      <c r="F116" t="str">
        <v>867162029832136</v>
      </c>
      <c r="G116" t="str">
        <v>TBD</v>
      </c>
      <c r="H116" t="str">
        <v/>
      </c>
      <c r="I116" t="str">
        <v>28/09/2026</v>
      </c>
      <c r="J116" t="str">
        <v>12:00:56</v>
      </c>
      <c r="K116">
        <v>-12.255095</v>
      </c>
      <c r="L116">
        <v>-76.91324</v>
      </c>
      <c r="M116">
        <f>HYPERLINK("https://www.google.com/maps/search/?api=1&amp;query=-12.255095,-76.91324","Antigua Panamericana Sur, Lurín, Lima")</f>
      </c>
      <c r="N116">
        <v>47.2</v>
      </c>
      <c r="O116">
        <v>100</v>
      </c>
      <c r="P116">
        <v>3156.9</v>
      </c>
      <c r="Q116" t="str">
        <v>116.53</v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116</v>
      </c>
      <c r="B117" t="str">
        <v>MASS BSF</v>
      </c>
      <c r="C117" t="str">
        <v>F2F-768</v>
      </c>
      <c r="D117" t="str">
        <v>F2F-768</v>
      </c>
      <c r="E117" t="str">
        <v/>
      </c>
      <c r="F117" t="str">
        <v>867162029832136</v>
      </c>
      <c r="G117" t="str">
        <v>TBD</v>
      </c>
      <c r="H117" t="str">
        <v/>
      </c>
      <c r="I117" t="str">
        <v>28/09/2026</v>
      </c>
      <c r="J117" t="str">
        <v>12:01:24</v>
      </c>
      <c r="K117">
        <v>-12.254779</v>
      </c>
      <c r="L117">
        <v>-76.91566</v>
      </c>
      <c r="M117">
        <f>HYPERLINK("https://www.google.com/maps/search/?api=1&amp;query=-12.254779,-76.91566","Antigua Panamericana Sur, Lurín, Lima")</f>
      </c>
      <c r="N117">
        <v>22.9</v>
      </c>
      <c r="O117">
        <v>100</v>
      </c>
      <c r="P117">
        <v>3157.2</v>
      </c>
      <c r="Q117" t="str">
        <v>116.53</v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F2F-768</v>
      </c>
      <c r="D118" t="str">
        <v>F2F-768</v>
      </c>
      <c r="E118" t="str">
        <v/>
      </c>
      <c r="F118" t="str">
        <v>867162029832136</v>
      </c>
      <c r="G118" t="str">
        <v>TBD</v>
      </c>
      <c r="H118" t="str">
        <v/>
      </c>
      <c r="I118" t="str">
        <v>28/09/2026</v>
      </c>
      <c r="J118" t="str">
        <v>12:02:11</v>
      </c>
      <c r="K118">
        <v>-12.254361</v>
      </c>
      <c r="L118">
        <v>-76.920555</v>
      </c>
      <c r="M118">
        <f>HYPERLINK("https://www.google.com/maps/search/?api=1&amp;query=-12.254361,-76.920555","Antigua Panamericana Sur, Lurín, Lima")</f>
      </c>
      <c r="N118">
        <v>29.8</v>
      </c>
      <c r="O118">
        <v>100</v>
      </c>
      <c r="P118">
        <v>3157.7</v>
      </c>
      <c r="Q118" t="str">
        <v>116.53</v>
      </c>
      <c r="R118" t="str">
        <v/>
      </c>
      <c r="S118" t="str">
        <v/>
      </c>
      <c r="T118" t="str">
        <v/>
      </c>
      <c r="U118" t="str">
        <v/>
      </c>
    </row>
    <row r="119">
      <c r="A119" t="str">
        <v>118</v>
      </c>
      <c r="B119" t="str">
        <v>MASS BSF</v>
      </c>
      <c r="C119" t="str">
        <v>F2F-768</v>
      </c>
      <c r="D119" t="str">
        <v>F2F-768</v>
      </c>
      <c r="E119" t="str">
        <v/>
      </c>
      <c r="F119" t="str">
        <v>867162029832136</v>
      </c>
      <c r="G119" t="str">
        <v>TBD</v>
      </c>
      <c r="H119" t="str">
        <v/>
      </c>
      <c r="I119" t="str">
        <v>28/09/2026</v>
      </c>
      <c r="J119" t="str">
        <v>12:02:24</v>
      </c>
      <c r="K119">
        <v>-12.254782</v>
      </c>
      <c r="L119">
        <v>-76.92074</v>
      </c>
      <c r="M119">
        <f>HYPERLINK("https://www.google.com/maps/search/?api=1&amp;query=-12.254782,-76.92074","Lurín, Lima")</f>
      </c>
      <c r="N119">
        <v>27.4</v>
      </c>
      <c r="O119">
        <v>100</v>
      </c>
      <c r="P119">
        <v>3157.8</v>
      </c>
      <c r="Q119" t="str">
        <v>116.53</v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F2F-768</v>
      </c>
      <c r="D120" t="str">
        <v>F2F-768</v>
      </c>
      <c r="E120" t="str">
        <v/>
      </c>
      <c r="F120" t="str">
        <v>867162029832136</v>
      </c>
      <c r="G120" t="str">
        <v>TBD</v>
      </c>
      <c r="H120" t="str">
        <v/>
      </c>
      <c r="I120" t="str">
        <v>28/09/2026</v>
      </c>
      <c r="J120" t="str">
        <v>12:02:50</v>
      </c>
      <c r="K120">
        <v>-12.257236</v>
      </c>
      <c r="L120">
        <v>-76.922386</v>
      </c>
      <c r="M120">
        <f>HYPERLINK("https://www.google.com/maps/search/?api=1&amp;query=-12.257236,-76.922386","Lurín, Lima")</f>
      </c>
      <c r="N120">
        <v>48.5</v>
      </c>
      <c r="O120">
        <v>100</v>
      </c>
      <c r="P120">
        <v>3158.1</v>
      </c>
      <c r="Q120" t="str">
        <v>116.53</v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F2F-768</v>
      </c>
      <c r="D121" t="str">
        <v>F2F-768</v>
      </c>
      <c r="E121" t="str">
        <v/>
      </c>
      <c r="F121" t="str">
        <v>867162029832136</v>
      </c>
      <c r="G121" t="str">
        <v>TBD</v>
      </c>
      <c r="H121" t="str">
        <v/>
      </c>
      <c r="I121" t="str">
        <v>28/09/2026</v>
      </c>
      <c r="J121" t="str">
        <v>12:02:56</v>
      </c>
      <c r="K121">
        <v>-12.257177</v>
      </c>
      <c r="L121">
        <v>-76.923134</v>
      </c>
      <c r="M121">
        <f>HYPERLINK("https://www.google.com/maps/search/?api=1&amp;query=-12.257177,-76.923134","Lurín, Lima")</f>
      </c>
      <c r="N121">
        <v>52.4</v>
      </c>
      <c r="O121">
        <v>100</v>
      </c>
      <c r="P121">
        <v>3158.2</v>
      </c>
      <c r="Q121" t="str">
        <v>116.53</v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F2F-768</v>
      </c>
      <c r="D122" t="str">
        <v>F2F-768</v>
      </c>
      <c r="E122" t="str">
        <v/>
      </c>
      <c r="F122" t="str">
        <v>867162029832136</v>
      </c>
      <c r="G122" t="str">
        <v>TBD</v>
      </c>
      <c r="H122" t="str">
        <v/>
      </c>
      <c r="I122" t="str">
        <v>28/09/2026</v>
      </c>
      <c r="J122" t="str">
        <v>12:03:02</v>
      </c>
      <c r="K122">
        <v>-12.256528</v>
      </c>
      <c r="L122">
        <v>-76.92353</v>
      </c>
      <c r="M122">
        <f>HYPERLINK("https://www.google.com/maps/search/?api=1&amp;query=-12.256528,-76.92353","Lurín, Lima")</f>
      </c>
      <c r="N122">
        <v>51.1</v>
      </c>
      <c r="O122">
        <v>100</v>
      </c>
      <c r="P122">
        <v>3158.3</v>
      </c>
      <c r="Q122" t="str">
        <v>116.53</v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F2F-768</v>
      </c>
      <c r="D123" t="str">
        <v>F2F-768</v>
      </c>
      <c r="E123" t="str">
        <v/>
      </c>
      <c r="F123" t="str">
        <v>867162029832136</v>
      </c>
      <c r="G123" t="str">
        <v>TBD</v>
      </c>
      <c r="H123" t="str">
        <v/>
      </c>
      <c r="I123" t="str">
        <v>28/09/2026</v>
      </c>
      <c r="J123" t="str">
        <v>12:03:08</v>
      </c>
      <c r="K123">
        <v>-12.255867</v>
      </c>
      <c r="L123">
        <v>-76.92334</v>
      </c>
      <c r="M123">
        <f>HYPERLINK("https://www.google.com/maps/search/?api=1&amp;query=-12.255867,-76.92334","Lurín, Lima")</f>
      </c>
      <c r="N123">
        <v>41.8</v>
      </c>
      <c r="O123">
        <v>100</v>
      </c>
      <c r="P123">
        <v>3158.3</v>
      </c>
      <c r="Q123" t="str">
        <v>116.53</v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F2F-768</v>
      </c>
      <c r="D124" t="str">
        <v>F2F-768</v>
      </c>
      <c r="E124" t="str">
        <v/>
      </c>
      <c r="F124" t="str">
        <v>867162029832136</v>
      </c>
      <c r="G124" t="str">
        <v>TBD</v>
      </c>
      <c r="H124" t="str">
        <v/>
      </c>
      <c r="I124" t="str">
        <v>28/09/2026</v>
      </c>
      <c r="J124" t="str">
        <v>12:03:14</v>
      </c>
      <c r="K124">
        <v>-12.255698</v>
      </c>
      <c r="L124">
        <v>-76.92281</v>
      </c>
      <c r="M124">
        <f>HYPERLINK("https://www.google.com/maps/search/?api=1&amp;query=-12.255698,-76.92281","Carretera Panamericana Sur, Lurín, Lima")</f>
      </c>
      <c r="N124">
        <v>34.1</v>
      </c>
      <c r="O124">
        <v>100</v>
      </c>
      <c r="P124">
        <v>3158.4</v>
      </c>
      <c r="Q124" t="str">
        <v>116.53</v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124</v>
      </c>
      <c r="B125" t="str">
        <v>MASS BSF</v>
      </c>
      <c r="C125" t="str">
        <v>F2F-768</v>
      </c>
      <c r="D125" t="str">
        <v>F2F-768</v>
      </c>
      <c r="E125" t="str">
        <v/>
      </c>
      <c r="F125" t="str">
        <v>867162029832136</v>
      </c>
      <c r="G125" t="str">
        <v>TBD</v>
      </c>
      <c r="H125" t="str">
        <v/>
      </c>
      <c r="I125" t="str">
        <v>28/09/2026</v>
      </c>
      <c r="J125" t="str">
        <v>12:03:24</v>
      </c>
      <c r="K125">
        <v>-12.255849</v>
      </c>
      <c r="L125">
        <v>-76.92239</v>
      </c>
      <c r="M125">
        <f>HYPERLINK("https://www.google.com/maps/search/?api=1&amp;query=-12.255849,-76.92239","Carretera Panamericana Sur, Lurín, Lima")</f>
      </c>
      <c r="N125">
        <v>28.8</v>
      </c>
      <c r="O125">
        <v>100</v>
      </c>
      <c r="P125">
        <v>3158.5</v>
      </c>
      <c r="Q125" t="str">
        <v>116.53</v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F2F-768</v>
      </c>
      <c r="D126" t="str">
        <v>F2F-768</v>
      </c>
      <c r="E126" t="str">
        <v/>
      </c>
      <c r="F126" t="str">
        <v>867162029832136</v>
      </c>
      <c r="G126" t="str">
        <v>TBD</v>
      </c>
      <c r="H126" t="str">
        <v/>
      </c>
      <c r="I126" t="str">
        <v>28/09/2026</v>
      </c>
      <c r="J126" t="str">
        <v>12:04:24</v>
      </c>
      <c r="K126">
        <v>-12.259796</v>
      </c>
      <c r="L126">
        <v>-76.91593</v>
      </c>
      <c r="M126">
        <f>HYPERLINK("https://www.google.com/maps/search/?api=1&amp;query=-12.259796,-76.91593","Carretera Panamericana Sur, Lurín, Lima")</f>
      </c>
      <c r="N126">
        <v>58.8</v>
      </c>
      <c r="O126">
        <v>100</v>
      </c>
      <c r="P126">
        <v>3159.3</v>
      </c>
      <c r="Q126" t="str">
        <v>116.53</v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F2F-768</v>
      </c>
      <c r="D127" t="str">
        <v>F2F-768</v>
      </c>
      <c r="E127" t="str">
        <v/>
      </c>
      <c r="F127" t="str">
        <v>867162029832136</v>
      </c>
      <c r="G127" t="str">
        <v>TBD</v>
      </c>
      <c r="H127" t="str">
        <v/>
      </c>
      <c r="I127" t="str">
        <v>28/09/2026</v>
      </c>
      <c r="J127" t="str">
        <v>12:05:24</v>
      </c>
      <c r="K127">
        <v>-12.26532</v>
      </c>
      <c r="L127">
        <v>-76.90717</v>
      </c>
      <c r="M127">
        <f>HYPERLINK("https://www.google.com/maps/search/?api=1&amp;query=-12.26532,-76.90717","Carretera Panamericana Sur, Lurín, Lima")</f>
      </c>
      <c r="N127">
        <v>71.6</v>
      </c>
      <c r="O127">
        <v>100</v>
      </c>
      <c r="P127">
        <v>3160.5</v>
      </c>
      <c r="Q127" t="str">
        <v>116.53</v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F2F-768</v>
      </c>
      <c r="D128" t="str">
        <v>F2F-768</v>
      </c>
      <c r="E128" t="str">
        <v/>
      </c>
      <c r="F128" t="str">
        <v>867162029832136</v>
      </c>
      <c r="G128" t="str">
        <v>TBD</v>
      </c>
      <c r="H128" t="str">
        <v/>
      </c>
      <c r="I128" t="str">
        <v>28/09/2026</v>
      </c>
      <c r="J128" t="str">
        <v>12:06:24</v>
      </c>
      <c r="K128">
        <v>-12.270359</v>
      </c>
      <c r="L128">
        <v>-76.89907</v>
      </c>
      <c r="M128">
        <f>HYPERLINK("https://www.google.com/maps/search/?api=1&amp;query=-12.270359,-76.89907","Carretera Panamericana Sur, Lurín, Lima")</f>
      </c>
      <c r="N128">
        <v>68.6</v>
      </c>
      <c r="O128">
        <v>100</v>
      </c>
      <c r="P128">
        <v>3161.5</v>
      </c>
      <c r="Q128" t="str">
        <v>116.53</v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F2F-768</v>
      </c>
      <c r="D129" t="str">
        <v>F2F-768</v>
      </c>
      <c r="E129" t="str">
        <v/>
      </c>
      <c r="F129" t="str">
        <v>867162029832136</v>
      </c>
      <c r="G129" t="str">
        <v>TBD</v>
      </c>
      <c r="H129" t="str">
        <v/>
      </c>
      <c r="I129" t="str">
        <v>28/09/2026</v>
      </c>
      <c r="J129" t="str">
        <v>12:07:24</v>
      </c>
      <c r="K129">
        <v>-12.275854</v>
      </c>
      <c r="L129">
        <v>-76.89034</v>
      </c>
      <c r="M129">
        <f>HYPERLINK("https://www.google.com/maps/search/?api=1&amp;query=-12.275854,-76.89034","Carretera Panamericana Sur, Lurín, Lima")</f>
      </c>
      <c r="N129">
        <v>79.5</v>
      </c>
      <c r="O129">
        <v>100</v>
      </c>
      <c r="P129">
        <v>3162.7</v>
      </c>
      <c r="Q129" t="str">
        <v>116.53</v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>129</v>
      </c>
      <c r="B130" t="str">
        <v>MASS BSF</v>
      </c>
      <c r="C130" t="str">
        <v>F2F-768</v>
      </c>
      <c r="D130" t="str">
        <v>F2F-768</v>
      </c>
      <c r="E130" t="str">
        <v/>
      </c>
      <c r="F130" t="str">
        <v>867162029832136</v>
      </c>
      <c r="G130" t="str">
        <v>TBD</v>
      </c>
      <c r="H130" t="str">
        <v/>
      </c>
      <c r="I130" t="str">
        <v>28/09/2026</v>
      </c>
      <c r="J130" t="str">
        <v>12:08:17</v>
      </c>
      <c r="K130">
        <v>-12.281846</v>
      </c>
      <c r="L130">
        <v>-76.88073</v>
      </c>
      <c r="M130">
        <f>HYPERLINK("https://www.google.com/maps/search/?api=1&amp;query=-12.281846,-76.88073","Carretera Panamericana Sur, Lurín, Lima")</f>
      </c>
      <c r="N130">
        <v>82</v>
      </c>
      <c r="O130">
        <v>100</v>
      </c>
      <c r="P130">
        <v>3163.8</v>
      </c>
      <c r="Q130" t="str">
        <v>116.53</v>
      </c>
      <c r="R130" t="str">
        <v>Excedió el límite de velocidad</v>
      </c>
      <c r="S130" t="str">
        <v/>
      </c>
      <c r="T130" t="str">
        <v/>
      </c>
      <c r="U130" t="str">
        <v/>
      </c>
    </row>
    <row r="131">
      <c r="A131" t="str">
        <v>130</v>
      </c>
      <c r="B131" t="str">
        <v>MASS BSF</v>
      </c>
      <c r="C131" t="str">
        <v>F2F-768</v>
      </c>
      <c r="D131" t="str">
        <v>F2F-768</v>
      </c>
      <c r="E131" t="str">
        <v/>
      </c>
      <c r="F131" t="str">
        <v>867162029832136</v>
      </c>
      <c r="G131" t="str">
        <v>TBD</v>
      </c>
      <c r="H131" t="str">
        <v/>
      </c>
      <c r="I131" t="str">
        <v>28/09/2026</v>
      </c>
      <c r="J131" t="str">
        <v>12:08:24</v>
      </c>
      <c r="K131">
        <v>-12.282181</v>
      </c>
      <c r="L131">
        <v>-76.880196</v>
      </c>
      <c r="M131">
        <f>HYPERLINK("https://www.google.com/maps/search/?api=1&amp;query=-12.282181,-76.880196","Carretera Panamericana Sur, Lurín, Lima")</f>
      </c>
      <c r="N131">
        <v>82.9</v>
      </c>
      <c r="O131">
        <v>100</v>
      </c>
      <c r="P131">
        <v>3164</v>
      </c>
      <c r="Q131" t="str">
        <v>116.53</v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>131</v>
      </c>
      <c r="B132" t="str">
        <v>MASS BSF</v>
      </c>
      <c r="C132" t="str">
        <v>F2F-768</v>
      </c>
      <c r="D132" t="str">
        <v>F2F-768</v>
      </c>
      <c r="E132" t="str">
        <v/>
      </c>
      <c r="F132" t="str">
        <v>867162029832136</v>
      </c>
      <c r="G132" t="str">
        <v>TBD</v>
      </c>
      <c r="H132" t="str">
        <v/>
      </c>
      <c r="I132" t="str">
        <v>28/09/2026</v>
      </c>
      <c r="J132" t="str">
        <v>12:09:24</v>
      </c>
      <c r="K132">
        <v>-12.289122</v>
      </c>
      <c r="L132">
        <v>-76.86914</v>
      </c>
      <c r="M132">
        <f>HYPERLINK("https://www.google.com/maps/search/?api=1&amp;query=-12.289122,-76.86914","Carretera Panamericana Sur, Lurín, Lima")</f>
      </c>
      <c r="N132">
        <v>87</v>
      </c>
      <c r="O132">
        <v>100</v>
      </c>
      <c r="P132">
        <v>3165.4</v>
      </c>
      <c r="Q132" t="str">
        <v>116.53</v>
      </c>
      <c r="R132" t="str">
        <v/>
      </c>
      <c r="S132" t="str">
        <v/>
      </c>
      <c r="T132" t="str">
        <v/>
      </c>
      <c r="U132" t="str">
        <v/>
      </c>
    </row>
    <row r="133">
      <c r="A133" t="str">
        <v>132</v>
      </c>
      <c r="B133" t="str">
        <v>MASS BSF</v>
      </c>
      <c r="C133" t="str">
        <v>F2F-768</v>
      </c>
      <c r="D133" t="str">
        <v>F2F-768</v>
      </c>
      <c r="E133" t="str">
        <v/>
      </c>
      <c r="F133" t="str">
        <v>867162029832136</v>
      </c>
      <c r="G133" t="str">
        <v>TBD</v>
      </c>
      <c r="H133" t="str">
        <v/>
      </c>
      <c r="I133" t="str">
        <v>28/09/2026</v>
      </c>
      <c r="J133" t="str">
        <v>12:09:44</v>
      </c>
      <c r="K133">
        <v>-12.29171</v>
      </c>
      <c r="L133">
        <v>-76.86501</v>
      </c>
      <c r="M133">
        <f>HYPERLINK("https://www.google.com/maps/search/?api=1&amp;query=-12.29171,-76.86501","Carretera Panamericana Sur, Lurín, Lima")</f>
      </c>
      <c r="N133">
        <v>80.9</v>
      </c>
      <c r="O133">
        <v>100</v>
      </c>
      <c r="P133">
        <v>3165.9</v>
      </c>
      <c r="Q133" t="str">
        <v>116.53</v>
      </c>
      <c r="R133" t="str">
        <v>Excedió el límite de velocidad</v>
      </c>
      <c r="S133" t="str">
        <v/>
      </c>
      <c r="T133" t="str">
        <v/>
      </c>
      <c r="U133" t="str">
        <v/>
      </c>
    </row>
    <row r="134">
      <c r="A134" t="str">
        <v>133</v>
      </c>
      <c r="B134" t="str">
        <v>MASS BSF</v>
      </c>
      <c r="C134" t="str">
        <v>F2F-768</v>
      </c>
      <c r="D134" t="str">
        <v>F2F-768</v>
      </c>
      <c r="E134" t="str">
        <v/>
      </c>
      <c r="F134" t="str">
        <v>867162029832136</v>
      </c>
      <c r="G134" t="str">
        <v>TBD</v>
      </c>
      <c r="H134" t="str">
        <v/>
      </c>
      <c r="I134" t="str">
        <v>28/09/2026</v>
      </c>
      <c r="J134" t="str">
        <v>12:10:14</v>
      </c>
      <c r="K134">
        <v>-12.294984</v>
      </c>
      <c r="L134">
        <v>-76.85979</v>
      </c>
      <c r="M134">
        <f>HYPERLINK("https://www.google.com/maps/search/?api=1&amp;query=-12.294984,-76.85979","Carretera Panamericana Sur, Lurín, Lima")</f>
      </c>
      <c r="N134">
        <v>81.6</v>
      </c>
      <c r="O134">
        <v>100</v>
      </c>
      <c r="P134">
        <v>3166.5</v>
      </c>
      <c r="Q134" t="str">
        <v>116.53</v>
      </c>
      <c r="R134" t="str">
        <v>Excedió el límite de velocidad</v>
      </c>
      <c r="S134" t="str">
        <v/>
      </c>
      <c r="T134" t="str">
        <v/>
      </c>
      <c r="U134" t="str">
        <v/>
      </c>
    </row>
    <row r="135">
      <c r="A135" t="str">
        <v>134</v>
      </c>
      <c r="B135" t="str">
        <v>MASS BSF</v>
      </c>
      <c r="C135" t="str">
        <v>F2F-768</v>
      </c>
      <c r="D135" t="str">
        <v>F2F-768</v>
      </c>
      <c r="E135" t="str">
        <v/>
      </c>
      <c r="F135" t="str">
        <v>867162029832136</v>
      </c>
      <c r="G135" t="str">
        <v>TBD</v>
      </c>
      <c r="H135" t="str">
        <v/>
      </c>
      <c r="I135" t="str">
        <v>28/09/2026</v>
      </c>
      <c r="J135" t="str">
        <v>12:10:25</v>
      </c>
      <c r="K135">
        <v>-12.29564</v>
      </c>
      <c r="L135">
        <v>-76.85872</v>
      </c>
      <c r="M135">
        <f>HYPERLINK("https://www.google.com/maps/search/?api=1&amp;query=-12.29564,-76.85872","Carretera Panamericana Sur, Lurín, Lima")</f>
      </c>
      <c r="N135">
        <v>82.6</v>
      </c>
      <c r="O135">
        <v>100</v>
      </c>
      <c r="P135">
        <v>3166.8</v>
      </c>
      <c r="Q135" t="str">
        <v>116.53</v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F2F-768</v>
      </c>
      <c r="D136" t="str">
        <v>F2F-768</v>
      </c>
      <c r="E136" t="str">
        <v/>
      </c>
      <c r="F136" t="str">
        <v>867162029832136</v>
      </c>
      <c r="G136" t="str">
        <v>TBD</v>
      </c>
      <c r="H136" t="str">
        <v/>
      </c>
      <c r="I136" t="str">
        <v>28/09/2026</v>
      </c>
      <c r="J136" t="str">
        <v>12:10:56</v>
      </c>
      <c r="K136">
        <v>-12.298759</v>
      </c>
      <c r="L136">
        <v>-76.85196</v>
      </c>
      <c r="M136">
        <f>HYPERLINK("https://www.google.com/maps/search/?api=1&amp;query=-12.298759,-76.85196","Carretera Panamericana Sur, Lurín, Lima")</f>
      </c>
      <c r="N136">
        <v>80.5</v>
      </c>
      <c r="O136">
        <v>100</v>
      </c>
      <c r="P136">
        <v>3167.5</v>
      </c>
      <c r="Q136" t="str">
        <v>116.53</v>
      </c>
      <c r="R136" t="str">
        <v>Excedió el límite de velocidad</v>
      </c>
      <c r="S136" t="str">
        <v/>
      </c>
      <c r="T136" t="str">
        <v/>
      </c>
      <c r="U136" t="str">
        <v/>
      </c>
    </row>
    <row r="137">
      <c r="A137" t="str">
        <v>136</v>
      </c>
      <c r="B137" t="str">
        <v>MASS BSF</v>
      </c>
      <c r="C137" t="str">
        <v>F2F-768</v>
      </c>
      <c r="D137" t="str">
        <v>F2F-768</v>
      </c>
      <c r="E137" t="str">
        <v/>
      </c>
      <c r="F137" t="str">
        <v>867162029832136</v>
      </c>
      <c r="G137" t="str">
        <v>TBD</v>
      </c>
      <c r="H137" t="str">
        <v/>
      </c>
      <c r="I137" t="str">
        <v>28/09/2026</v>
      </c>
      <c r="J137" t="str">
        <v>12:11:25</v>
      </c>
      <c r="K137">
        <v>-12.300632</v>
      </c>
      <c r="L137">
        <v>-76.84774</v>
      </c>
      <c r="M137">
        <f>HYPERLINK("https://www.google.com/maps/search/?api=1&amp;query=-12.300632,-76.84774","Carretera Panamericana Sur, Lurín, Lima")</f>
      </c>
      <c r="N137">
        <v>74.7</v>
      </c>
      <c r="O137">
        <v>100</v>
      </c>
      <c r="P137">
        <v>3168.1</v>
      </c>
      <c r="Q137" t="str">
        <v>116.53</v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F2F-768</v>
      </c>
      <c r="D138" t="str">
        <v>F2F-768</v>
      </c>
      <c r="E138" t="str">
        <v/>
      </c>
      <c r="F138" t="str">
        <v>867162029832136</v>
      </c>
      <c r="G138" t="str">
        <v>TBD</v>
      </c>
      <c r="H138" t="str">
        <v/>
      </c>
      <c r="I138" t="str">
        <v>28/09/2026</v>
      </c>
      <c r="J138" t="str">
        <v>12:12:14</v>
      </c>
      <c r="K138">
        <v>-12.306203</v>
      </c>
      <c r="L138">
        <v>-76.8385</v>
      </c>
      <c r="M138">
        <f>HYPERLINK("https://www.google.com/maps/search/?api=1&amp;query=-12.306203,-76.8385","Carretera Panamericana Sur, Lurín, Lima")</f>
      </c>
      <c r="N138">
        <v>81.4</v>
      </c>
      <c r="O138">
        <v>100</v>
      </c>
      <c r="P138">
        <v>3169.2</v>
      </c>
      <c r="Q138" t="str">
        <v>116.53</v>
      </c>
      <c r="R138" t="str">
        <v>Exceso de velocidad en segmento vial</v>
      </c>
      <c r="S138" t="str">
        <v/>
      </c>
      <c r="T138" t="str">
        <v/>
      </c>
      <c r="U138" t="str">
        <v/>
      </c>
    </row>
    <row r="139">
      <c r="A139" t="str">
        <v>138</v>
      </c>
      <c r="B139" t="str">
        <v>MASS BSF</v>
      </c>
      <c r="C139" t="str">
        <v>F2F-768</v>
      </c>
      <c r="D139" t="str">
        <v>F2F-768</v>
      </c>
      <c r="E139" t="str">
        <v/>
      </c>
      <c r="F139" t="str">
        <v>867162029832136</v>
      </c>
      <c r="G139" t="str">
        <v>TBD</v>
      </c>
      <c r="H139" t="str">
        <v/>
      </c>
      <c r="I139" t="str">
        <v>28/09/2026</v>
      </c>
      <c r="J139" t="str">
        <v>12:12:17</v>
      </c>
      <c r="K139">
        <v>-12.306658</v>
      </c>
      <c r="L139">
        <v>-76.83808</v>
      </c>
      <c r="M139">
        <f>HYPERLINK("https://www.google.com/maps/search/?api=1&amp;query=-12.306658,-76.83808","Carretera Panamericana Sur, Punta Hermosa, Lima")</f>
      </c>
      <c r="N139">
        <v>81.7</v>
      </c>
      <c r="O139">
        <v>100</v>
      </c>
      <c r="P139">
        <v>3169.3</v>
      </c>
      <c r="Q139" t="str">
        <v>116.53</v>
      </c>
      <c r="R139" t="str">
        <v>Excedió el límite de velocidad</v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F2F-768</v>
      </c>
      <c r="D140" t="str">
        <v>F2F-768</v>
      </c>
      <c r="E140" t="str">
        <v/>
      </c>
      <c r="F140" t="str">
        <v>867162029832136</v>
      </c>
      <c r="G140" t="str">
        <v>TBD</v>
      </c>
      <c r="H140" t="str">
        <v/>
      </c>
      <c r="I140" t="str">
        <v>28/09/2026</v>
      </c>
      <c r="J140" t="str">
        <v>12:12:25</v>
      </c>
      <c r="K140">
        <v>-12.307128</v>
      </c>
      <c r="L140">
        <v>-76.83768</v>
      </c>
      <c r="M140">
        <f>HYPERLINK("https://www.google.com/maps/search/?api=1&amp;query=-12.307128,-76.83768","Carretera Panamericana Sur, Punta Hermosa, Lima")</f>
      </c>
      <c r="N140">
        <v>81.8</v>
      </c>
      <c r="O140">
        <v>100</v>
      </c>
      <c r="P140">
        <v>3169.4</v>
      </c>
      <c r="Q140" t="str">
        <v>116.53</v>
      </c>
      <c r="R140" t="str">
        <v>Exceso de velocidad en segmento vial</v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F2F-768</v>
      </c>
      <c r="D141" t="str">
        <v>F2F-768</v>
      </c>
      <c r="E141" t="str">
        <v/>
      </c>
      <c r="F141" t="str">
        <v>867162029832136</v>
      </c>
      <c r="G141" t="str">
        <v>TBD</v>
      </c>
      <c r="H141" t="str">
        <v/>
      </c>
      <c r="I141" t="str">
        <v>28/09/2026</v>
      </c>
      <c r="J141" t="str">
        <v>12:13:25</v>
      </c>
      <c r="K141">
        <v>-12.317361</v>
      </c>
      <c r="L141">
        <v>-76.83071</v>
      </c>
      <c r="M141">
        <f>HYPERLINK("https://www.google.com/maps/search/?api=1&amp;query=-12.317361,-76.83071","Carretera Panamericana Sur, Punta Hermosa, Lima")</f>
      </c>
      <c r="N141">
        <v>79.3</v>
      </c>
      <c r="O141">
        <v>100</v>
      </c>
      <c r="P141">
        <v>3170.7</v>
      </c>
      <c r="Q141" t="str">
        <v>116.53</v>
      </c>
      <c r="R141" t="str">
        <v/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F2F-768</v>
      </c>
      <c r="D142" t="str">
        <v>F2F-768</v>
      </c>
      <c r="E142" t="str">
        <v/>
      </c>
      <c r="F142" t="str">
        <v>867162029832136</v>
      </c>
      <c r="G142" t="str">
        <v>TBD</v>
      </c>
      <c r="H142" t="str">
        <v/>
      </c>
      <c r="I142" t="str">
        <v>28/09/2026</v>
      </c>
      <c r="J142" t="str">
        <v>12:13:35</v>
      </c>
      <c r="K142">
        <v>-12.319403</v>
      </c>
      <c r="L142">
        <v>-76.82934</v>
      </c>
      <c r="M142">
        <f>HYPERLINK("https://www.google.com/maps/search/?api=1&amp;query=-12.319403,-76.82934","Carretera Panamericana Sur, Punta Hermosa, Lima")</f>
      </c>
      <c r="N142">
        <v>82.4</v>
      </c>
      <c r="O142">
        <v>100</v>
      </c>
      <c r="P142">
        <v>3171</v>
      </c>
      <c r="Q142" t="str">
        <v>116.53</v>
      </c>
      <c r="R142" t="str">
        <v>Excedió el límite de velocidad</v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F2F-768</v>
      </c>
      <c r="D143" t="str">
        <v>F2F-768</v>
      </c>
      <c r="E143" t="str">
        <v/>
      </c>
      <c r="F143" t="str">
        <v>867162029832136</v>
      </c>
      <c r="G143" t="str">
        <v>TBD</v>
      </c>
      <c r="H143" t="str">
        <v/>
      </c>
      <c r="I143" t="str">
        <v>28/09/2026</v>
      </c>
      <c r="J143" t="str">
        <v>12:14:25</v>
      </c>
      <c r="K143">
        <v>-12.327845</v>
      </c>
      <c r="L143">
        <v>-76.82371</v>
      </c>
      <c r="M143">
        <f>HYPERLINK("https://www.google.com/maps/search/?api=1&amp;query=-12.327845,-76.82371","Carretera Panamericana Sur, Punta Hermosa, Lima")</f>
      </c>
      <c r="N143">
        <v>83.4</v>
      </c>
      <c r="O143">
        <v>100</v>
      </c>
      <c r="P143">
        <v>3172.1</v>
      </c>
      <c r="Q143" t="str">
        <v>116.53</v>
      </c>
      <c r="R143" t="str">
        <v>Exceso de velocidad en segmento vial</v>
      </c>
      <c r="S143" t="str">
        <v/>
      </c>
      <c r="T143" t="str">
        <v/>
      </c>
      <c r="U143" t="str">
        <v/>
      </c>
    </row>
    <row r="144">
      <c r="A144" t="str">
        <v>143</v>
      </c>
      <c r="B144" t="str">
        <v>MASS BSF</v>
      </c>
      <c r="C144" t="str">
        <v>F2F-768</v>
      </c>
      <c r="D144" t="str">
        <v>F2F-768</v>
      </c>
      <c r="E144" t="str">
        <v/>
      </c>
      <c r="F144" t="str">
        <v>867162029832136</v>
      </c>
      <c r="G144" t="str">
        <v>TBD</v>
      </c>
      <c r="H144" t="str">
        <v/>
      </c>
      <c r="I144" t="str">
        <v>28/09/2026</v>
      </c>
      <c r="J144" t="str">
        <v>12:15:25</v>
      </c>
      <c r="K144">
        <v>-12.335489</v>
      </c>
      <c r="L144">
        <v>-76.81882</v>
      </c>
      <c r="M144">
        <f>HYPERLINK("https://www.google.com/maps/search/?api=1&amp;query=-12.335489,-76.81882","Carretera Panamericana Sur, Punta Hermosa, Lima")</f>
      </c>
      <c r="N144">
        <v>20.2</v>
      </c>
      <c r="O144">
        <v>100</v>
      </c>
      <c r="P144">
        <v>3173.1</v>
      </c>
      <c r="Q144" t="str">
        <v>116.53</v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>144</v>
      </c>
      <c r="B145" t="str">
        <v>MASS BSF</v>
      </c>
      <c r="C145" t="str">
        <v>F2F-768</v>
      </c>
      <c r="D145" t="str">
        <v>F2F-768</v>
      </c>
      <c r="E145" t="str">
        <v/>
      </c>
      <c r="F145" t="str">
        <v>867162029832136</v>
      </c>
      <c r="G145" t="str">
        <v>TBD</v>
      </c>
      <c r="H145" t="str">
        <v/>
      </c>
      <c r="I145" t="str">
        <v>28/09/2026</v>
      </c>
      <c r="J145" t="str">
        <v>12:15:26</v>
      </c>
      <c r="K145">
        <v>-12.335638</v>
      </c>
      <c r="L145">
        <v>-76.81882</v>
      </c>
      <c r="M145">
        <f>HYPERLINK("https://www.google.com/maps/search/?api=1&amp;query=-12.335638,-76.81882","Carretera Panamericana Sur, Punta Hermosa, Lima")</f>
      </c>
      <c r="N145">
        <v>20</v>
      </c>
      <c r="O145">
        <v>100</v>
      </c>
      <c r="P145">
        <v>3173.1</v>
      </c>
      <c r="Q145" t="str">
        <v>116.53</v>
      </c>
      <c r="R145" t="str">
        <v/>
      </c>
      <c r="S145" t="str">
        <v/>
      </c>
      <c r="T145" t="str">
        <v/>
      </c>
      <c r="U145" t="str">
        <v/>
      </c>
    </row>
    <row r="146">
      <c r="A146" t="str">
        <v>145</v>
      </c>
      <c r="B146" t="str">
        <v>MASS BSF</v>
      </c>
      <c r="C146" t="str">
        <v>F2F-768</v>
      </c>
      <c r="D146" t="str">
        <v>F2F-768</v>
      </c>
      <c r="E146" t="str">
        <v/>
      </c>
      <c r="F146" t="str">
        <v>867162029832136</v>
      </c>
      <c r="G146" t="str">
        <v>TBD</v>
      </c>
      <c r="H146" t="str">
        <v/>
      </c>
      <c r="I146" t="str">
        <v>28/09/2026</v>
      </c>
      <c r="J146" t="str">
        <v>12:15:32</v>
      </c>
      <c r="K146">
        <v>-12.335834</v>
      </c>
      <c r="L146">
        <v>-76.81895</v>
      </c>
      <c r="M146">
        <f>HYPERLINK("https://www.google.com/maps/search/?api=1&amp;query=-12.335834,-76.81895","Antigua Panamericana Sur, Punta Hermosa, Lima")</f>
      </c>
      <c r="N146">
        <v>11.9</v>
      </c>
      <c r="O146">
        <v>100</v>
      </c>
      <c r="P146">
        <v>3173.1</v>
      </c>
      <c r="Q146" t="str">
        <v>116.53</v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>146</v>
      </c>
      <c r="B147" t="str">
        <v>MASS BSF</v>
      </c>
      <c r="C147" t="str">
        <v>F2F-768</v>
      </c>
      <c r="D147" t="str">
        <v>F2F-768</v>
      </c>
      <c r="E147" t="str">
        <v/>
      </c>
      <c r="F147" t="str">
        <v>867162029832136</v>
      </c>
      <c r="G147" t="str">
        <v>TBD</v>
      </c>
      <c r="H147" t="str">
        <v/>
      </c>
      <c r="I147" t="str">
        <v>28/09/2026</v>
      </c>
      <c r="J147" t="str">
        <v>12:15:38</v>
      </c>
      <c r="K147">
        <v>-12.335853</v>
      </c>
      <c r="L147">
        <v>-76.81913</v>
      </c>
      <c r="M147">
        <f>HYPERLINK("https://www.google.com/maps/search/?api=1&amp;query=-12.335853,-76.81913","Antigua Panamericana Sur, Punta Hermosa, Lima")</f>
      </c>
      <c r="N147">
        <v>16.6</v>
      </c>
      <c r="O147">
        <v>100</v>
      </c>
      <c r="P147">
        <v>3173.1</v>
      </c>
      <c r="Q147" t="str">
        <v>116.53</v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>147</v>
      </c>
      <c r="B148" t="str">
        <v>MASS BSF</v>
      </c>
      <c r="C148" t="str">
        <v>F2F-768</v>
      </c>
      <c r="D148" t="str">
        <v>F2F-768</v>
      </c>
      <c r="E148" t="str">
        <v/>
      </c>
      <c r="F148" t="str">
        <v>867162029832136</v>
      </c>
      <c r="G148" t="str">
        <v>TBD</v>
      </c>
      <c r="H148" t="str">
        <v/>
      </c>
      <c r="I148" t="str">
        <v>28/09/2026</v>
      </c>
      <c r="J148" t="str">
        <v>12:16:14</v>
      </c>
      <c r="K148">
        <v>-12.33378</v>
      </c>
      <c r="L148">
        <v>-76.82052</v>
      </c>
      <c r="M148">
        <f>HYPERLINK("https://www.google.com/maps/search/?api=1&amp;query=-12.33378,-76.82052","Antigua Panamericana Sur, Punta Hermosa, Lima")</f>
      </c>
      <c r="N148">
        <v>14.8</v>
      </c>
      <c r="O148">
        <v>100</v>
      </c>
      <c r="P148">
        <v>3173.4</v>
      </c>
      <c r="Q148" t="str">
        <v>116.53</v>
      </c>
      <c r="R148" t="str">
        <v/>
      </c>
      <c r="S148" t="str">
        <v/>
      </c>
      <c r="T148" t="str">
        <v/>
      </c>
      <c r="U148" t="str">
        <v/>
      </c>
    </row>
    <row r="149">
      <c r="A149" t="str">
        <v>148</v>
      </c>
      <c r="B149" t="str">
        <v>MASS BSF</v>
      </c>
      <c r="C149" t="str">
        <v>F2F-768</v>
      </c>
      <c r="D149" t="str">
        <v>F2F-768</v>
      </c>
      <c r="E149" t="str">
        <v/>
      </c>
      <c r="F149" t="str">
        <v>867162029832136</v>
      </c>
      <c r="G149" t="str">
        <v>TBD</v>
      </c>
      <c r="H149" t="str">
        <v/>
      </c>
      <c r="I149" t="str">
        <v>28/09/2026</v>
      </c>
      <c r="J149" t="str">
        <v>12:16:17</v>
      </c>
      <c r="K149">
        <v>-12.33371</v>
      </c>
      <c r="L149">
        <v>-76.820435</v>
      </c>
      <c r="M149">
        <f>HYPERLINK("https://www.google.com/maps/search/?api=1&amp;query=-12.33371,-76.820435","Antigua Panamericana Sur, Punta Hermosa, Lima")</f>
      </c>
      <c r="N149">
        <v>18.2</v>
      </c>
      <c r="O149">
        <v>100</v>
      </c>
      <c r="P149">
        <v>3173.4</v>
      </c>
      <c r="Q149" t="str">
        <v>116.53</v>
      </c>
      <c r="R149" t="str">
        <v/>
      </c>
      <c r="S149" t="str">
        <v/>
      </c>
      <c r="T149" t="str">
        <v/>
      </c>
      <c r="U149" t="str">
        <v/>
      </c>
    </row>
    <row r="150">
      <c r="A150" t="str">
        <v>149</v>
      </c>
      <c r="B150" t="str">
        <v>MASS BSF</v>
      </c>
      <c r="C150" t="str">
        <v>F2F-768</v>
      </c>
      <c r="D150" t="str">
        <v>F2F-768</v>
      </c>
      <c r="E150" t="str">
        <v/>
      </c>
      <c r="F150" t="str">
        <v>867162029832136</v>
      </c>
      <c r="G150" t="str">
        <v>TBD</v>
      </c>
      <c r="H150" t="str">
        <v/>
      </c>
      <c r="I150" t="str">
        <v>28/09/2026</v>
      </c>
      <c r="J150" t="str">
        <v>12:16:25</v>
      </c>
      <c r="K150">
        <v>-12.333723</v>
      </c>
      <c r="L150">
        <v>-76.82006</v>
      </c>
      <c r="M150">
        <f>HYPERLINK("https://www.google.com/maps/search/?api=1&amp;query=-12.333723,-76.82006","Carretera Panamericana Sur, Punta Hermosa, Lima")</f>
      </c>
      <c r="N150">
        <v>27.6</v>
      </c>
      <c r="O150">
        <v>100</v>
      </c>
      <c r="P150">
        <v>3173.5</v>
      </c>
      <c r="Q150" t="str">
        <v>116.53</v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150</v>
      </c>
      <c r="B151" t="str">
        <v>MASS BSF</v>
      </c>
      <c r="C151" t="str">
        <v>F2F-768</v>
      </c>
      <c r="D151" t="str">
        <v>F2F-768</v>
      </c>
      <c r="E151" t="str">
        <v/>
      </c>
      <c r="F151" t="str">
        <v>867162029832136</v>
      </c>
      <c r="G151" t="str">
        <v>TBD</v>
      </c>
      <c r="H151" t="str">
        <v/>
      </c>
      <c r="I151" t="str">
        <v>28/09/2026</v>
      </c>
      <c r="J151" t="str">
        <v>12:16:29</v>
      </c>
      <c r="K151">
        <v>-12.333548</v>
      </c>
      <c r="L151">
        <v>-76.81972</v>
      </c>
      <c r="M151">
        <f>HYPERLINK("https://www.google.com/maps/search/?api=1&amp;query=-12.333548,-76.81972","Carretera Panamericana Sur, Punta Hermosa, Lima")</f>
      </c>
      <c r="N151">
        <v>27.2</v>
      </c>
      <c r="O151">
        <v>100</v>
      </c>
      <c r="P151">
        <v>3173.5</v>
      </c>
      <c r="Q151" t="str">
        <v>116.53</v>
      </c>
      <c r="R151" t="str">
        <v/>
      </c>
      <c r="S151" t="str">
        <v/>
      </c>
      <c r="T151" t="str">
        <v/>
      </c>
      <c r="U151" t="str">
        <v/>
      </c>
    </row>
    <row r="152">
      <c r="A152" t="str">
        <v>151</v>
      </c>
      <c r="B152" t="str">
        <v>MASS BSF</v>
      </c>
      <c r="C152" t="str">
        <v>F2F-768</v>
      </c>
      <c r="D152" t="str">
        <v>F2F-768</v>
      </c>
      <c r="E152" t="str">
        <v/>
      </c>
      <c r="F152" t="str">
        <v>867162029832136</v>
      </c>
      <c r="G152" t="str">
        <v>TBD</v>
      </c>
      <c r="H152" t="str">
        <v/>
      </c>
      <c r="I152" t="str">
        <v>28/09/2026</v>
      </c>
      <c r="J152" t="str">
        <v>12:16:35</v>
      </c>
      <c r="K152">
        <v>-12.333162</v>
      </c>
      <c r="L152">
        <v>-76.81966</v>
      </c>
      <c r="M152">
        <f>HYPERLINK("https://www.google.com/maps/search/?api=1&amp;query=-12.333162,-76.81966","Punta Hermosa, Lima")</f>
      </c>
      <c r="N152">
        <v>29.3</v>
      </c>
      <c r="O152">
        <v>100</v>
      </c>
      <c r="P152">
        <v>3173.6</v>
      </c>
      <c r="Q152" t="str">
        <v>116.53</v>
      </c>
      <c r="R152" t="str">
        <v/>
      </c>
      <c r="S152" t="str">
        <v/>
      </c>
      <c r="T152" t="str">
        <v/>
      </c>
      <c r="U152" t="str">
        <v/>
      </c>
    </row>
    <row r="153">
      <c r="A153" t="str">
        <v>152</v>
      </c>
      <c r="B153" t="str">
        <v>MASS BSF</v>
      </c>
      <c r="C153" t="str">
        <v>F2F-768</v>
      </c>
      <c r="D153" t="str">
        <v>F2F-768</v>
      </c>
      <c r="E153" t="str">
        <v/>
      </c>
      <c r="F153" t="str">
        <v>867162029832136</v>
      </c>
      <c r="G153" t="str">
        <v>TBD</v>
      </c>
      <c r="H153" t="str">
        <v/>
      </c>
      <c r="I153" t="str">
        <v>28/09/2026</v>
      </c>
      <c r="J153" t="str">
        <v>12:17:25</v>
      </c>
      <c r="K153">
        <v>-12.328012</v>
      </c>
      <c r="L153">
        <v>-76.82345</v>
      </c>
      <c r="M153">
        <f>HYPERLINK("https://www.google.com/maps/search/?api=1&amp;query=-12.328012,-76.82345","Carretera Panamericana Sur, Punta Hermosa, Lima")</f>
      </c>
      <c r="N153">
        <v>74.3</v>
      </c>
      <c r="O153">
        <v>100</v>
      </c>
      <c r="P153">
        <v>3174.3</v>
      </c>
      <c r="Q153" t="str">
        <v>116.53</v>
      </c>
      <c r="R153" t="str">
        <v/>
      </c>
      <c r="S153" t="str">
        <v/>
      </c>
      <c r="T153" t="str">
        <v/>
      </c>
      <c r="U153" t="str">
        <v/>
      </c>
    </row>
    <row r="154">
      <c r="A154" t="str">
        <v>153</v>
      </c>
      <c r="B154" t="str">
        <v>MASS BSF</v>
      </c>
      <c r="C154" t="str">
        <v>F2F-768</v>
      </c>
      <c r="D154" t="str">
        <v>F2F-768</v>
      </c>
      <c r="E154" t="str">
        <v/>
      </c>
      <c r="F154" t="str">
        <v>867162029832136</v>
      </c>
      <c r="G154" t="str">
        <v>TBD</v>
      </c>
      <c r="H154" t="str">
        <v/>
      </c>
      <c r="I154" t="str">
        <v>28/09/2026</v>
      </c>
      <c r="J154" t="str">
        <v>12:18:25</v>
      </c>
      <c r="K154">
        <v>-12.318926</v>
      </c>
      <c r="L154">
        <v>-76.82945</v>
      </c>
      <c r="M154">
        <f>HYPERLINK("https://www.google.com/maps/search/?api=1&amp;query=-12.318926,-76.82945","Carretera Panamericana Sur, Punta Hermosa, Lima")</f>
      </c>
      <c r="N154">
        <v>43</v>
      </c>
      <c r="O154">
        <v>100</v>
      </c>
      <c r="P154">
        <v>3175.5</v>
      </c>
      <c r="Q154" t="str">
        <v>116.53</v>
      </c>
      <c r="R154" t="str">
        <v/>
      </c>
      <c r="S154" t="str">
        <v/>
      </c>
      <c r="T154" t="str">
        <v/>
      </c>
      <c r="U154" t="str">
        <v/>
      </c>
    </row>
    <row r="155">
      <c r="A155" t="str">
        <v>154</v>
      </c>
      <c r="B155" t="str">
        <v>MASS BSF</v>
      </c>
      <c r="C155" t="str">
        <v>F2F-768</v>
      </c>
      <c r="D155" t="str">
        <v>F2F-768</v>
      </c>
      <c r="E155" t="str">
        <v/>
      </c>
      <c r="F155" t="str">
        <v>867162029832136</v>
      </c>
      <c r="G155" t="str">
        <v>TBD</v>
      </c>
      <c r="H155" t="str">
        <v/>
      </c>
      <c r="I155" t="str">
        <v>28/09/2026</v>
      </c>
      <c r="J155" t="str">
        <v>12:18:35</v>
      </c>
      <c r="K155">
        <v>-12.318028</v>
      </c>
      <c r="L155">
        <v>-76.82983</v>
      </c>
      <c r="M155">
        <f>HYPERLINK("https://www.google.com/maps/search/?api=1&amp;query=-12.318028,-76.82983","Carretera Panamericana Sur, Punta Hermosa, Lima")</f>
      </c>
      <c r="N155">
        <v>16.6</v>
      </c>
      <c r="O155">
        <v>100</v>
      </c>
      <c r="P155">
        <v>3175.6</v>
      </c>
      <c r="Q155" t="str">
        <v>116.53</v>
      </c>
      <c r="R155" t="str">
        <v/>
      </c>
      <c r="S155" t="str">
        <v/>
      </c>
      <c r="T155" t="str">
        <v/>
      </c>
      <c r="U155" t="str">
        <v/>
      </c>
    </row>
    <row r="156">
      <c r="A156" t="str">
        <v>155</v>
      </c>
      <c r="B156" t="str">
        <v>MASS BSF</v>
      </c>
      <c r="C156" t="str">
        <v>F2F-768</v>
      </c>
      <c r="D156" t="str">
        <v>F2F-768</v>
      </c>
      <c r="E156" t="str">
        <v/>
      </c>
      <c r="F156" t="str">
        <v>867162029832136</v>
      </c>
      <c r="G156" t="str">
        <v>TBD</v>
      </c>
      <c r="H156" t="str">
        <v/>
      </c>
      <c r="I156" t="str">
        <v>28/09/2026</v>
      </c>
      <c r="J156" t="str">
        <v>12:18:53</v>
      </c>
      <c r="K156">
        <v>-12.317477</v>
      </c>
      <c r="L156">
        <v>-76.82955</v>
      </c>
      <c r="M156">
        <f>HYPERLINK("https://www.google.com/maps/search/?api=1&amp;query=-12.317477,-76.82955","Punta Hermosa, Lima")</f>
      </c>
      <c r="N156">
        <v>10.2</v>
      </c>
      <c r="O156">
        <v>100</v>
      </c>
      <c r="P156">
        <v>3175.6</v>
      </c>
      <c r="Q156" t="str">
        <v>116.53</v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>156</v>
      </c>
      <c r="B157" t="str">
        <v>MASS BSF</v>
      </c>
      <c r="C157" t="str">
        <v>F2F-768</v>
      </c>
      <c r="D157" t="str">
        <v>F2F-768</v>
      </c>
      <c r="E157" t="str">
        <v/>
      </c>
      <c r="F157" t="str">
        <v>867162029832136</v>
      </c>
      <c r="G157" t="str">
        <v>TBD</v>
      </c>
      <c r="H157" t="str">
        <v/>
      </c>
      <c r="I157" t="str">
        <v>28/09/2026</v>
      </c>
      <c r="J157" t="str">
        <v>12:18:53</v>
      </c>
      <c r="K157">
        <v>-12.317477</v>
      </c>
      <c r="L157">
        <v>-76.82955</v>
      </c>
      <c r="M157">
        <f>HYPERLINK("https://www.google.com/maps/search/?api=1&amp;query=-12.317477,-76.82955","Punta Hermosa, Lima")</f>
      </c>
      <c r="N157">
        <v>10.2</v>
      </c>
      <c r="O157">
        <v>100</v>
      </c>
      <c r="P157">
        <v>3175.5</v>
      </c>
      <c r="Q157" t="str">
        <v>116.62</v>
      </c>
      <c r="R157" t="str">
        <v>Llegó a la zona</v>
      </c>
      <c r="S157" t="str">
        <v>MASS BSF 1</v>
      </c>
      <c r="T157" t="str">
        <v xml:space="preserve"> </v>
      </c>
      <c r="U157" t="str">
        <v/>
      </c>
    </row>
    <row r="158">
      <c r="A158" t="str">
        <v>157</v>
      </c>
      <c r="B158" t="str">
        <v>MASS BSF</v>
      </c>
      <c r="C158" t="str">
        <v>F2F-768</v>
      </c>
      <c r="D158" t="str">
        <v>F2F-768</v>
      </c>
      <c r="E158" t="str">
        <v/>
      </c>
      <c r="F158" t="str">
        <v>867162029832136</v>
      </c>
      <c r="G158" t="str">
        <v>TBD</v>
      </c>
      <c r="H158" t="str">
        <v/>
      </c>
      <c r="I158" t="str">
        <v>28/09/2026</v>
      </c>
      <c r="J158" t="str">
        <v>12:19:25</v>
      </c>
      <c r="K158">
        <v>-12.317087</v>
      </c>
      <c r="L158">
        <v>-76.82885</v>
      </c>
      <c r="M158">
        <f>HYPERLINK("https://www.google.com/maps/search/?api=1&amp;query=-12.317087,-76.82885","Punta Hermosa, Lima")</f>
      </c>
      <c r="N158">
        <v>13.1</v>
      </c>
      <c r="O158">
        <v>100</v>
      </c>
      <c r="P158">
        <v>3175.7</v>
      </c>
      <c r="Q158" t="str">
        <v>116.53</v>
      </c>
      <c r="R158" t="str">
        <v/>
      </c>
      <c r="S158" t="str">
        <v/>
      </c>
      <c r="T158" t="str">
        <v/>
      </c>
      <c r="U158" t="str">
        <v/>
      </c>
    </row>
    <row r="159">
      <c r="A159" t="str">
        <v>158</v>
      </c>
      <c r="B159" t="str">
        <v>MASS BSF</v>
      </c>
      <c r="C159" t="str">
        <v>F2F-768</v>
      </c>
      <c r="D159" t="str">
        <v>F2F-768</v>
      </c>
      <c r="E159" t="str">
        <v/>
      </c>
      <c r="F159" t="str">
        <v>867162029832136</v>
      </c>
      <c r="G159" t="str">
        <v>TBD</v>
      </c>
      <c r="H159" t="str">
        <v/>
      </c>
      <c r="I159" t="str">
        <v>28/09/2026</v>
      </c>
      <c r="J159" t="str">
        <v>12:20:25</v>
      </c>
      <c r="K159">
        <v>-12.315882</v>
      </c>
      <c r="L159">
        <v>-76.82682</v>
      </c>
      <c r="M159">
        <f>HYPERLINK("https://www.google.com/maps/search/?api=1&amp;query=-12.315882,-76.82682","Punta Hermosa, Lima")</f>
      </c>
      <c r="N159">
        <v>12.9</v>
      </c>
      <c r="O159">
        <v>100</v>
      </c>
      <c r="P159">
        <v>3176</v>
      </c>
      <c r="Q159" t="str">
        <v>116.53</v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159</v>
      </c>
      <c r="B160" t="str">
        <v>MASS BSF</v>
      </c>
      <c r="C160" t="str">
        <v>F2F-768</v>
      </c>
      <c r="D160" t="str">
        <v>F2F-768</v>
      </c>
      <c r="E160" t="str">
        <v/>
      </c>
      <c r="F160" t="str">
        <v>867162029832136</v>
      </c>
      <c r="G160" t="str">
        <v>TBD</v>
      </c>
      <c r="H160" t="str">
        <v/>
      </c>
      <c r="I160" t="str">
        <v>28/09/2026</v>
      </c>
      <c r="J160" t="str">
        <v>12:20:56</v>
      </c>
      <c r="K160">
        <v>-12.315439</v>
      </c>
      <c r="L160">
        <v>-76.82584</v>
      </c>
      <c r="M160">
        <f>HYPERLINK("https://www.google.com/maps/search/?api=1&amp;query=-12.315439,-76.82584","Punta Hermosa, Lima")</f>
      </c>
      <c r="N160">
        <v>15.5</v>
      </c>
      <c r="O160">
        <v>100</v>
      </c>
      <c r="P160">
        <v>3176.1</v>
      </c>
      <c r="Q160" t="str">
        <v>116.53</v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160</v>
      </c>
      <c r="B161" t="str">
        <v>MASS BSF</v>
      </c>
      <c r="C161" t="str">
        <v>F2F-768</v>
      </c>
      <c r="D161" t="str">
        <v>F2F-768</v>
      </c>
      <c r="E161" t="str">
        <v/>
      </c>
      <c r="F161" t="str">
        <v>867162029832136</v>
      </c>
      <c r="G161" t="str">
        <v>TBD</v>
      </c>
      <c r="H161" t="str">
        <v/>
      </c>
      <c r="I161" t="str">
        <v>28/09/2026</v>
      </c>
      <c r="J161" t="str">
        <v>12:21:25</v>
      </c>
      <c r="K161">
        <v>-12.316436</v>
      </c>
      <c r="L161">
        <v>-76.82526</v>
      </c>
      <c r="M161">
        <f>HYPERLINK("https://www.google.com/maps/search/?api=1&amp;query=-12.316436,-76.82526","Punta Hermosa, Lima")</f>
      </c>
      <c r="N161">
        <v>19.2</v>
      </c>
      <c r="O161">
        <v>100</v>
      </c>
      <c r="P161">
        <v>3176.3</v>
      </c>
      <c r="Q161" t="str">
        <v>116.53</v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161</v>
      </c>
      <c r="B162" t="str">
        <v>MASS BSF</v>
      </c>
      <c r="C162" t="str">
        <v>F2F-768</v>
      </c>
      <c r="D162" t="str">
        <v>F2F-768</v>
      </c>
      <c r="E162" t="str">
        <v/>
      </c>
      <c r="F162" t="str">
        <v>867162029832136</v>
      </c>
      <c r="G162" t="str">
        <v>TBD</v>
      </c>
      <c r="H162" t="str">
        <v/>
      </c>
      <c r="I162" t="str">
        <v>28/09/2026</v>
      </c>
      <c r="J162" t="str">
        <v>12:22:25</v>
      </c>
      <c r="K162">
        <v>-12.317925</v>
      </c>
      <c r="L162">
        <v>-76.824196</v>
      </c>
      <c r="M162">
        <f>HYPERLINK("https://www.google.com/maps/search/?api=1&amp;query=-12.317925,-76.824196","Punta Hermosa, Lima")</f>
      </c>
      <c r="N162">
        <v>0</v>
      </c>
      <c r="O162">
        <v>100</v>
      </c>
      <c r="P162">
        <v>3176.4</v>
      </c>
      <c r="Q162" t="str">
        <v>116.53</v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>162</v>
      </c>
      <c r="B163" t="str">
        <v>MASS BSF</v>
      </c>
      <c r="C163" t="str">
        <v>F2F-768</v>
      </c>
      <c r="D163" t="str">
        <v>F2F-768</v>
      </c>
      <c r="E163" t="str">
        <v/>
      </c>
      <c r="F163" t="str">
        <v>867162029832136</v>
      </c>
      <c r="G163" t="str">
        <v>TBD</v>
      </c>
      <c r="H163" t="str">
        <v/>
      </c>
      <c r="I163" t="str">
        <v>28/09/2026</v>
      </c>
      <c r="J163" t="str">
        <v>12:23:25</v>
      </c>
      <c r="K163">
        <v>-12.317925</v>
      </c>
      <c r="L163">
        <v>-76.824196</v>
      </c>
      <c r="M163">
        <f>HYPERLINK("https://www.google.com/maps/search/?api=1&amp;query=-12.317925,-76.824196","Punta Hermosa, Lima")</f>
      </c>
      <c r="N163">
        <v>0</v>
      </c>
      <c r="O163">
        <v>100</v>
      </c>
      <c r="P163">
        <v>3176.4</v>
      </c>
      <c r="Q163" t="str">
        <v>116.53</v>
      </c>
      <c r="R163" t="str">
        <v/>
      </c>
      <c r="S163" t="str">
        <v/>
      </c>
      <c r="T163" t="str">
        <v/>
      </c>
      <c r="U163" t="str">
        <v/>
      </c>
    </row>
    <row r="164">
      <c r="A164" t="str">
        <v>163</v>
      </c>
      <c r="B164" t="str">
        <v>MASS BSF</v>
      </c>
      <c r="C164" t="str">
        <v>F2F-768</v>
      </c>
      <c r="D164" t="str">
        <v>F2F-768</v>
      </c>
      <c r="E164" t="str">
        <v/>
      </c>
      <c r="F164" t="str">
        <v>867162029832136</v>
      </c>
      <c r="G164" t="str">
        <v>TBD</v>
      </c>
      <c r="H164" t="str">
        <v/>
      </c>
      <c r="I164" t="str">
        <v>28/09/2026</v>
      </c>
      <c r="J164" t="str">
        <v>12:23:56</v>
      </c>
      <c r="K164">
        <v>-12.318458</v>
      </c>
      <c r="L164">
        <v>-76.82379</v>
      </c>
      <c r="M164">
        <f>HYPERLINK("https://www.google.com/maps/search/?api=1&amp;query=-12.318458,-76.82379","Punta Hermosa, Lima")</f>
      </c>
      <c r="N164">
        <v>14.4</v>
      </c>
      <c r="O164">
        <v>100</v>
      </c>
      <c r="P164">
        <v>3176.5</v>
      </c>
      <c r="Q164" t="str">
        <v>116.53</v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164</v>
      </c>
      <c r="B165" t="str">
        <v>MASS BSF</v>
      </c>
      <c r="C165" t="str">
        <v>F2F-768</v>
      </c>
      <c r="D165" t="str">
        <v>F2F-768</v>
      </c>
      <c r="E165" t="str">
        <v/>
      </c>
      <c r="F165" t="str">
        <v>867162029832136</v>
      </c>
      <c r="G165" t="str">
        <v>TBD</v>
      </c>
      <c r="H165" t="str">
        <v/>
      </c>
      <c r="I165" t="str">
        <v>28/09/2026</v>
      </c>
      <c r="J165" t="str">
        <v>12:24:08</v>
      </c>
      <c r="K165">
        <v>-12.318259</v>
      </c>
      <c r="L165">
        <v>-76.823364</v>
      </c>
      <c r="M165">
        <f>HYPERLINK("https://www.google.com/maps/search/?api=1&amp;query=-12.318259,-76.823364","Punta Hermosa, Lima")</f>
      </c>
      <c r="N165">
        <v>16.9</v>
      </c>
      <c r="O165">
        <v>100</v>
      </c>
      <c r="P165">
        <v>3176.6</v>
      </c>
      <c r="Q165" t="str">
        <v>116.53</v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165</v>
      </c>
      <c r="B166" t="str">
        <v>MASS BSF</v>
      </c>
      <c r="C166" t="str">
        <v>F2F-768</v>
      </c>
      <c r="D166" t="str">
        <v>F2F-768</v>
      </c>
      <c r="E166" t="str">
        <v/>
      </c>
      <c r="F166" t="str">
        <v>867162029832136</v>
      </c>
      <c r="G166" t="str">
        <v>TBD</v>
      </c>
      <c r="H166" t="str">
        <v/>
      </c>
      <c r="I166" t="str">
        <v>28/09/2026</v>
      </c>
      <c r="J166" t="str">
        <v>12:24:25</v>
      </c>
      <c r="K166">
        <v>-12.317867</v>
      </c>
      <c r="L166">
        <v>-76.82293</v>
      </c>
      <c r="M166">
        <f>HYPERLINK("https://www.google.com/maps/search/?api=1&amp;query=-12.317867,-76.82293","Punta Hermosa, Lima")</f>
      </c>
      <c r="N166">
        <v>16.5</v>
      </c>
      <c r="O166">
        <v>100</v>
      </c>
      <c r="P166">
        <v>3176.6</v>
      </c>
      <c r="Q166" t="str">
        <v>116.53</v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>166</v>
      </c>
      <c r="B167" t="str">
        <v>MASS BSF</v>
      </c>
      <c r="C167" t="str">
        <v>F2F-768</v>
      </c>
      <c r="D167" t="str">
        <v>F2F-768</v>
      </c>
      <c r="E167" t="str">
        <v/>
      </c>
      <c r="F167" t="str">
        <v>867162029832136</v>
      </c>
      <c r="G167" t="str">
        <v>TBD</v>
      </c>
      <c r="H167" t="str">
        <v/>
      </c>
      <c r="I167" t="str">
        <v>28/09/2026</v>
      </c>
      <c r="J167" t="str">
        <v>12:24:47</v>
      </c>
      <c r="K167">
        <v>-12.317342</v>
      </c>
      <c r="L167">
        <v>-76.82293</v>
      </c>
      <c r="M167">
        <f>HYPERLINK("https://www.google.com/maps/search/?api=1&amp;query=-12.317342,-76.82293","Punta Hermosa, Lima")</f>
      </c>
      <c r="N167">
        <v>6</v>
      </c>
      <c r="O167">
        <v>100</v>
      </c>
      <c r="P167">
        <v>3176.7</v>
      </c>
      <c r="Q167" t="str">
        <v>116.53</v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167</v>
      </c>
      <c r="B168" t="str">
        <v>MASS BSF</v>
      </c>
      <c r="C168" t="str">
        <v>F2F-768</v>
      </c>
      <c r="D168" t="str">
        <v>F2F-768</v>
      </c>
      <c r="E168" t="str">
        <v/>
      </c>
      <c r="F168" t="str">
        <v>867162029832136</v>
      </c>
      <c r="G168" t="str">
        <v>TBD</v>
      </c>
      <c r="H168" t="str">
        <v/>
      </c>
      <c r="I168" t="str">
        <v>28/09/2026</v>
      </c>
      <c r="J168" t="str">
        <v>12:24:59</v>
      </c>
      <c r="K168">
        <v>-12.317183</v>
      </c>
      <c r="L168">
        <v>-76.82307</v>
      </c>
      <c r="M168">
        <f>HYPERLINK("https://www.google.com/maps/search/?api=1&amp;query=-12.317183,-76.82307","Punta Hermosa, Lima")</f>
      </c>
      <c r="N168">
        <v>6.6</v>
      </c>
      <c r="O168">
        <v>100</v>
      </c>
      <c r="P168">
        <v>3176.7</v>
      </c>
      <c r="Q168" t="str">
        <v>116.53</v>
      </c>
      <c r="R168" t="str">
        <v/>
      </c>
      <c r="S168" t="str">
        <v/>
      </c>
      <c r="T168" t="str">
        <v/>
      </c>
      <c r="U168" t="str">
        <v/>
      </c>
    </row>
    <row r="169">
      <c r="A169" t="str">
        <v>168</v>
      </c>
      <c r="B169" t="str">
        <v>MASS BSF</v>
      </c>
      <c r="C169" t="str">
        <v>F2F-768</v>
      </c>
      <c r="D169" t="str">
        <v>F2F-768</v>
      </c>
      <c r="E169" t="str">
        <v/>
      </c>
      <c r="F169" t="str">
        <v>867162029832136</v>
      </c>
      <c r="G169" t="str">
        <v>TBD</v>
      </c>
      <c r="H169" t="str">
        <v/>
      </c>
      <c r="I169" t="str">
        <v>28/09/2026</v>
      </c>
      <c r="J169" t="str">
        <v>12:25:02</v>
      </c>
      <c r="K169">
        <v>-12.317235</v>
      </c>
      <c r="L169">
        <v>-76.82307</v>
      </c>
      <c r="M169">
        <f>HYPERLINK("https://www.google.com/maps/search/?api=1&amp;query=-12.317235,-76.82307","Punta Hermosa, Lima")</f>
      </c>
      <c r="N169">
        <v>6.1</v>
      </c>
      <c r="O169">
        <v>100</v>
      </c>
      <c r="P169">
        <v>3176.7</v>
      </c>
      <c r="Q169" t="str">
        <v>116.53</v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169</v>
      </c>
      <c r="B170" t="str">
        <v>MASS BSF</v>
      </c>
      <c r="C170" t="str">
        <v>F2F-768</v>
      </c>
      <c r="D170" t="str">
        <v>F2F-768</v>
      </c>
      <c r="E170" t="str">
        <v/>
      </c>
      <c r="F170" t="str">
        <v>867162029832136</v>
      </c>
      <c r="G170" t="str">
        <v>TBD</v>
      </c>
      <c r="H170" t="str">
        <v/>
      </c>
      <c r="I170" t="str">
        <v>28/09/2026</v>
      </c>
      <c r="J170" t="str">
        <v>12:25:25</v>
      </c>
      <c r="K170">
        <v>-12.317267</v>
      </c>
      <c r="L170">
        <v>-76.82304</v>
      </c>
      <c r="M170">
        <f>HYPERLINK("https://www.google.com/maps/search/?api=1&amp;query=-12.317267,-76.82304","Punta Hermosa, Lima")</f>
      </c>
      <c r="N170">
        <v>0</v>
      </c>
      <c r="O170">
        <v>100</v>
      </c>
      <c r="P170">
        <v>3176.7</v>
      </c>
      <c r="Q170" t="str">
        <v>116.53</v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>170</v>
      </c>
      <c r="B171" t="str">
        <v>MASS BSF</v>
      </c>
      <c r="C171" t="str">
        <v>F2F-768</v>
      </c>
      <c r="D171" t="str">
        <v>F2F-768</v>
      </c>
      <c r="E171" t="str">
        <v/>
      </c>
      <c r="F171" t="str">
        <v>867162029832136</v>
      </c>
      <c r="G171" t="str">
        <v>TBD</v>
      </c>
      <c r="H171" t="str">
        <v/>
      </c>
      <c r="I171" t="str">
        <v>28/09/2026</v>
      </c>
      <c r="J171" t="str">
        <v>12:25:59</v>
      </c>
      <c r="K171">
        <v>-12.317267</v>
      </c>
      <c r="L171">
        <v>-76.82304</v>
      </c>
      <c r="M171">
        <f>HYPERLINK("https://www.google.com/maps/search/?api=1&amp;query=-12.317267,-76.82304","Punta Hermosa, Lima")</f>
      </c>
      <c r="N171">
        <v>0</v>
      </c>
      <c r="O171">
        <v>100</v>
      </c>
      <c r="P171">
        <v>3176.7</v>
      </c>
      <c r="Q171" t="str">
        <v>117.30</v>
      </c>
      <c r="R171" t="str">
        <v>Vehículo apagado</v>
      </c>
      <c r="S171" t="str">
        <v/>
      </c>
      <c r="T171" t="str">
        <v/>
      </c>
      <c r="U171" t="str">
        <v/>
      </c>
    </row>
    <row r="172">
      <c r="A172" t="str">
        <v>171</v>
      </c>
      <c r="B172" t="str">
        <v>MASS BSF</v>
      </c>
      <c r="C172" t="str">
        <v>F2F-768</v>
      </c>
      <c r="D172" t="str">
        <v>F2F-768</v>
      </c>
      <c r="E172" t="str">
        <v/>
      </c>
      <c r="F172" t="str">
        <v>867162029832136</v>
      </c>
      <c r="G172" t="str">
        <v>TBD</v>
      </c>
      <c r="H172" t="str">
        <v/>
      </c>
      <c r="I172" t="str">
        <v>28/09/2026</v>
      </c>
      <c r="J172" t="str">
        <v>12:26:01</v>
      </c>
      <c r="K172">
        <v>-12.317267</v>
      </c>
      <c r="L172">
        <v>-76.82304</v>
      </c>
      <c r="M172">
        <f>HYPERLINK("https://www.google.com/maps/search/?api=1&amp;query=-12.317267,-76.82304","Punta Hermosa, Lima")</f>
      </c>
      <c r="N172">
        <v>0</v>
      </c>
      <c r="O172">
        <v>100</v>
      </c>
      <c r="P172">
        <v>3176.7</v>
      </c>
      <c r="Q172" t="str">
        <v>117.30</v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172</v>
      </c>
      <c r="B173" t="str">
        <v>MASS BSF</v>
      </c>
      <c r="C173" t="str">
        <v>F2F-768</v>
      </c>
      <c r="D173" t="str">
        <v>F2F-768</v>
      </c>
      <c r="E173" t="str">
        <v/>
      </c>
      <c r="F173" t="str">
        <v>867162029832136</v>
      </c>
      <c r="G173" t="str">
        <v>TBD</v>
      </c>
      <c r="H173" t="str">
        <v/>
      </c>
      <c r="I173" t="str">
        <v>28/09/2026</v>
      </c>
      <c r="J173" t="str">
        <v>12:26:55</v>
      </c>
      <c r="K173">
        <v>-12.317323</v>
      </c>
      <c r="L173">
        <v>-76.82308</v>
      </c>
      <c r="M173">
        <f>HYPERLINK("https://www.google.com/maps/search/?api=1&amp;query=-12.317323,-76.82308","Punta Hermosa, Lima")</f>
      </c>
      <c r="N173">
        <v>0</v>
      </c>
      <c r="O173">
        <v>100</v>
      </c>
      <c r="P173">
        <v>3176.7</v>
      </c>
      <c r="Q173" t="str">
        <v>117.30</v>
      </c>
      <c r="R173" t="str">
        <v>Vehículo encendido</v>
      </c>
      <c r="S173" t="str">
        <v/>
      </c>
      <c r="T173" t="str">
        <v/>
      </c>
      <c r="U173" t="str">
        <v/>
      </c>
    </row>
    <row r="174">
      <c r="A174" t="str">
        <v>173</v>
      </c>
      <c r="B174" t="str">
        <v>MASS BSF</v>
      </c>
      <c r="C174" t="str">
        <v>F2F-768</v>
      </c>
      <c r="D174" t="str">
        <v>F2F-768</v>
      </c>
      <c r="E174" t="str">
        <v/>
      </c>
      <c r="F174" t="str">
        <v>867162029832136</v>
      </c>
      <c r="G174" t="str">
        <v>TBD</v>
      </c>
      <c r="H174" t="str">
        <v/>
      </c>
      <c r="I174" t="str">
        <v>28/09/2026</v>
      </c>
      <c r="J174" t="str">
        <v>12:27:01</v>
      </c>
      <c r="K174">
        <v>-12.317323</v>
      </c>
      <c r="L174">
        <v>-76.82308</v>
      </c>
      <c r="M174">
        <f>HYPERLINK("https://www.google.com/maps/search/?api=1&amp;query=-12.317323,-76.82308","Punta Hermosa, Lima")</f>
      </c>
      <c r="N174">
        <v>0</v>
      </c>
      <c r="O174">
        <v>100</v>
      </c>
      <c r="P174">
        <v>3176.7</v>
      </c>
      <c r="Q174" t="str">
        <v>117.30</v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>174</v>
      </c>
      <c r="B175" t="str">
        <v>MASS BSF</v>
      </c>
      <c r="C175" t="str">
        <v>F2F-768</v>
      </c>
      <c r="D175" t="str">
        <v>F2F-768</v>
      </c>
      <c r="E175" t="str">
        <v/>
      </c>
      <c r="F175" t="str">
        <v>867162029832136</v>
      </c>
      <c r="G175" t="str">
        <v>TBD</v>
      </c>
      <c r="H175" t="str">
        <v/>
      </c>
      <c r="I175" t="str">
        <v>28/09/2026</v>
      </c>
      <c r="J175" t="str">
        <v>12:27:43</v>
      </c>
      <c r="K175">
        <v>-12.317388</v>
      </c>
      <c r="L175">
        <v>-76.822914</v>
      </c>
      <c r="M175">
        <f>HYPERLINK("https://www.google.com/maps/search/?api=1&amp;query=-12.317388,-76.822914","Punta Hermosa, Lima")</f>
      </c>
      <c r="N175">
        <v>7.8</v>
      </c>
      <c r="O175">
        <v>100</v>
      </c>
      <c r="P175">
        <v>3176.7</v>
      </c>
      <c r="Q175" t="str">
        <v>117.30</v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>175</v>
      </c>
      <c r="B176" t="str">
        <v>MASS BSF</v>
      </c>
      <c r="C176" t="str">
        <v>F2F-768</v>
      </c>
      <c r="D176" t="str">
        <v>F2F-768</v>
      </c>
      <c r="E176" t="str">
        <v/>
      </c>
      <c r="F176" t="str">
        <v>867162029832136</v>
      </c>
      <c r="G176" t="str">
        <v>TBD</v>
      </c>
      <c r="H176" t="str">
        <v/>
      </c>
      <c r="I176" t="str">
        <v>28/09/2026</v>
      </c>
      <c r="J176" t="str">
        <v>12:28:00</v>
      </c>
      <c r="K176">
        <v>-12.317376</v>
      </c>
      <c r="L176">
        <v>-76.8229</v>
      </c>
      <c r="M176">
        <f>HYPERLINK("https://www.google.com/maps/search/?api=1&amp;query=-12.317376,-76.8229","Punta Hermosa, Lima")</f>
      </c>
      <c r="N176">
        <v>0</v>
      </c>
      <c r="O176">
        <v>100</v>
      </c>
      <c r="P176">
        <v>3176.7</v>
      </c>
      <c r="Q176" t="str">
        <v>117.30</v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176</v>
      </c>
      <c r="B177" t="str">
        <v>MASS BSF</v>
      </c>
      <c r="C177" t="str">
        <v>F2F-768</v>
      </c>
      <c r="D177" t="str">
        <v>F2F-768</v>
      </c>
      <c r="E177" t="str">
        <v/>
      </c>
      <c r="F177" t="str">
        <v>867162029832136</v>
      </c>
      <c r="G177" t="str">
        <v>TBD</v>
      </c>
      <c r="H177" t="str">
        <v/>
      </c>
      <c r="I177" t="str">
        <v>28/09/2026</v>
      </c>
      <c r="J177" t="str">
        <v>12:28:35</v>
      </c>
      <c r="K177">
        <v>-12.317376</v>
      </c>
      <c r="L177">
        <v>-76.8229</v>
      </c>
      <c r="M177">
        <f>HYPERLINK("https://www.google.com/maps/search/?api=1&amp;query=-12.317376,-76.8229","Punta Hermosa, Lima")</f>
      </c>
      <c r="N177">
        <v>0</v>
      </c>
      <c r="O177">
        <v>100</v>
      </c>
      <c r="P177">
        <v>3176.7</v>
      </c>
      <c r="Q177" t="str">
        <v>117.33</v>
      </c>
      <c r="R177" t="str">
        <v>Vehículo apagado</v>
      </c>
      <c r="S177" t="str">
        <v/>
      </c>
      <c r="T177" t="str">
        <v/>
      </c>
      <c r="U177" t="str">
        <v/>
      </c>
    </row>
    <row r="178">
      <c r="A178" t="str">
        <v>177</v>
      </c>
      <c r="B178" t="str">
        <v>MASS BSF</v>
      </c>
      <c r="C178" t="str">
        <v>F2F-768</v>
      </c>
      <c r="D178" t="str">
        <v>F2F-768</v>
      </c>
      <c r="E178" t="str">
        <v/>
      </c>
      <c r="F178" t="str">
        <v>867162029832136</v>
      </c>
      <c r="G178" t="str">
        <v>TBD</v>
      </c>
      <c r="H178" t="str">
        <v/>
      </c>
      <c r="I178" t="str">
        <v>28/09/2026</v>
      </c>
      <c r="J178" t="str">
        <v>12:28:39</v>
      </c>
      <c r="K178">
        <v>-12.317376</v>
      </c>
      <c r="L178">
        <v>-76.8229</v>
      </c>
      <c r="M178">
        <f>HYPERLINK("https://www.google.com/maps/search/?api=1&amp;query=-12.317376,-76.8229","Punta Hermosa, Lima")</f>
      </c>
      <c r="N178">
        <v>0</v>
      </c>
      <c r="O178">
        <v>100</v>
      </c>
      <c r="P178">
        <v>3176.7</v>
      </c>
      <c r="Q178" t="str">
        <v>117.30</v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178</v>
      </c>
      <c r="B179" t="str">
        <v>MASS BSF</v>
      </c>
      <c r="C179" t="str">
        <v>F2F-768</v>
      </c>
      <c r="D179" t="str">
        <v>F2F-768</v>
      </c>
      <c r="E179" t="str">
        <v/>
      </c>
      <c r="F179" t="str">
        <v>867162029832136</v>
      </c>
      <c r="G179" t="str">
        <v>TBD</v>
      </c>
      <c r="H179" t="str">
        <v/>
      </c>
      <c r="I179" t="str">
        <v>28/09/2026</v>
      </c>
      <c r="J179" t="str">
        <v>12:54:34</v>
      </c>
      <c r="K179">
        <v>-12.317376</v>
      </c>
      <c r="L179">
        <v>-76.8229</v>
      </c>
      <c r="M179">
        <f>HYPERLINK("https://www.google.com/maps/search/?api=1&amp;query=-12.317376,-76.8229","Punta Hermosa, Lima")</f>
      </c>
      <c r="N179">
        <v>0</v>
      </c>
      <c r="O179">
        <v>100</v>
      </c>
      <c r="P179">
        <v>3176.7</v>
      </c>
      <c r="Q179" t="str">
        <v>117.33</v>
      </c>
      <c r="R179" t="str">
        <v>Vehículo encendido</v>
      </c>
      <c r="S179" t="str">
        <v/>
      </c>
      <c r="T179" t="str">
        <v/>
      </c>
      <c r="U179" t="str">
        <v/>
      </c>
    </row>
    <row r="180">
      <c r="A180" t="str">
        <v>179</v>
      </c>
      <c r="B180" t="str">
        <v>MASS BSF</v>
      </c>
      <c r="C180" t="str">
        <v>F2F-768</v>
      </c>
      <c r="D180" t="str">
        <v>F2F-768</v>
      </c>
      <c r="E180" t="str">
        <v/>
      </c>
      <c r="F180" t="str">
        <v>867162029832136</v>
      </c>
      <c r="G180" t="str">
        <v>TBD</v>
      </c>
      <c r="H180" t="str">
        <v/>
      </c>
      <c r="I180" t="str">
        <v>28/09/2026</v>
      </c>
      <c r="J180" t="str">
        <v>12:54:41</v>
      </c>
      <c r="K180">
        <v>-12.317416</v>
      </c>
      <c r="L180">
        <v>-76.82294</v>
      </c>
      <c r="M180">
        <f>HYPERLINK("https://www.google.com/maps/search/?api=1&amp;query=-12.317416,-76.82294","Punta Hermosa, Lima")</f>
      </c>
      <c r="N180">
        <v>2.9</v>
      </c>
      <c r="O180">
        <v>100</v>
      </c>
      <c r="P180">
        <v>3176.7</v>
      </c>
      <c r="Q180" t="str">
        <v>117.33</v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180</v>
      </c>
      <c r="B181" t="str">
        <v>MASS BSF</v>
      </c>
      <c r="C181" t="str">
        <v>F2F-768</v>
      </c>
      <c r="D181" t="str">
        <v>F2F-768</v>
      </c>
      <c r="E181" t="str">
        <v/>
      </c>
      <c r="F181" t="str">
        <v>867162029832136</v>
      </c>
      <c r="G181" t="str">
        <v>TBD</v>
      </c>
      <c r="H181" t="str">
        <v/>
      </c>
      <c r="I181" t="str">
        <v>28/09/2026</v>
      </c>
      <c r="J181" t="str">
        <v>12:55:32</v>
      </c>
      <c r="K181">
        <v>-12.31748</v>
      </c>
      <c r="L181">
        <v>-76.82282</v>
      </c>
      <c r="M181">
        <f>HYPERLINK("https://www.google.com/maps/search/?api=1&amp;query=-12.31748,-76.82282","Punta Hermosa, Lima")</f>
      </c>
      <c r="N181">
        <v>16.8</v>
      </c>
      <c r="O181">
        <v>100</v>
      </c>
      <c r="P181">
        <v>3176.7</v>
      </c>
      <c r="Q181" t="str">
        <v>117.33</v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>181</v>
      </c>
      <c r="B182" t="str">
        <v>MASS BSF</v>
      </c>
      <c r="C182" t="str">
        <v>F2F-768</v>
      </c>
      <c r="D182" t="str">
        <v>F2F-768</v>
      </c>
      <c r="E182" t="str">
        <v/>
      </c>
      <c r="F182" t="str">
        <v>867162029832136</v>
      </c>
      <c r="G182" t="str">
        <v>TBD</v>
      </c>
      <c r="H182" t="str">
        <v/>
      </c>
      <c r="I182" t="str">
        <v>28/09/2026</v>
      </c>
      <c r="J182" t="str">
        <v>12:55:39</v>
      </c>
      <c r="K182">
        <v>-12.317622</v>
      </c>
      <c r="L182">
        <v>-76.82284</v>
      </c>
      <c r="M182">
        <f>HYPERLINK("https://www.google.com/maps/search/?api=1&amp;query=-12.317622,-76.82284","Punta Hermosa, Lima")</f>
      </c>
      <c r="N182">
        <v>22.6</v>
      </c>
      <c r="O182">
        <v>100</v>
      </c>
      <c r="P182">
        <v>3176.8</v>
      </c>
      <c r="Q182" t="str">
        <v>117.33</v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>182</v>
      </c>
      <c r="B183" t="str">
        <v>MASS BSF</v>
      </c>
      <c r="C183" t="str">
        <v>F2F-768</v>
      </c>
      <c r="D183" t="str">
        <v>F2F-768</v>
      </c>
      <c r="E183" t="str">
        <v/>
      </c>
      <c r="F183" t="str">
        <v>867162029832136</v>
      </c>
      <c r="G183" t="str">
        <v>TBD</v>
      </c>
      <c r="H183" t="str">
        <v/>
      </c>
      <c r="I183" t="str">
        <v>28/09/2026</v>
      </c>
      <c r="J183" t="str">
        <v>12:55:44</v>
      </c>
      <c r="K183">
        <v>-12.318068</v>
      </c>
      <c r="L183">
        <v>-76.823044</v>
      </c>
      <c r="M183">
        <f>HYPERLINK("https://www.google.com/maps/search/?api=1&amp;query=-12.318068,-76.823044","Punta Hermosa, Lima")</f>
      </c>
      <c r="N183">
        <v>22.7</v>
      </c>
      <c r="O183">
        <v>100</v>
      </c>
      <c r="P183">
        <v>3176.8</v>
      </c>
      <c r="Q183" t="str">
        <v>117.33</v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183</v>
      </c>
      <c r="B184" t="str">
        <v>MASS BSF</v>
      </c>
      <c r="C184" t="str">
        <v>F2F-768</v>
      </c>
      <c r="D184" t="str">
        <v>F2F-768</v>
      </c>
      <c r="E184" t="str">
        <v/>
      </c>
      <c r="F184" t="str">
        <v>867162029832136</v>
      </c>
      <c r="G184" t="str">
        <v>TBD</v>
      </c>
      <c r="H184" t="str">
        <v/>
      </c>
      <c r="I184" t="str">
        <v>28/09/2026</v>
      </c>
      <c r="J184" t="str">
        <v>12:56:02</v>
      </c>
      <c r="K184">
        <v>-12.318438</v>
      </c>
      <c r="L184">
        <v>-76.82384</v>
      </c>
      <c r="M184">
        <f>HYPERLINK("https://www.google.com/maps/search/?api=1&amp;query=-12.318438,-76.82384","Punta Hermosa, Lima")</f>
      </c>
      <c r="N184">
        <v>17.1</v>
      </c>
      <c r="O184">
        <v>100</v>
      </c>
      <c r="P184">
        <v>3176.9</v>
      </c>
      <c r="Q184" t="str">
        <v>117.33</v>
      </c>
      <c r="R184" t="str">
        <v/>
      </c>
      <c r="S184" t="str">
        <v/>
      </c>
      <c r="T184" t="str">
        <v/>
      </c>
      <c r="U184" t="str">
        <v/>
      </c>
    </row>
    <row r="185">
      <c r="A185" t="str">
        <v>184</v>
      </c>
      <c r="B185" t="str">
        <v>MASS BSF</v>
      </c>
      <c r="C185" t="str">
        <v>F2F-768</v>
      </c>
      <c r="D185" t="str">
        <v>F2F-768</v>
      </c>
      <c r="E185" t="str">
        <v/>
      </c>
      <c r="F185" t="str">
        <v>867162029832136</v>
      </c>
      <c r="G185" t="str">
        <v>TBD</v>
      </c>
      <c r="H185" t="str">
        <v/>
      </c>
      <c r="I185" t="str">
        <v>28/09/2026</v>
      </c>
      <c r="J185" t="str">
        <v>12:56:08</v>
      </c>
      <c r="K185">
        <v>-12.318286</v>
      </c>
      <c r="L185">
        <v>-76.82401</v>
      </c>
      <c r="M185">
        <f>HYPERLINK("https://www.google.com/maps/search/?api=1&amp;query=-12.318286,-76.82401","Punta Hermosa, Lima")</f>
      </c>
      <c r="N185">
        <v>16.2</v>
      </c>
      <c r="O185">
        <v>100</v>
      </c>
      <c r="P185">
        <v>3176.9</v>
      </c>
      <c r="Q185" t="str">
        <v>117.33</v>
      </c>
      <c r="R185" t="str">
        <v/>
      </c>
      <c r="S185" t="str">
        <v/>
      </c>
      <c r="T185" t="str">
        <v/>
      </c>
      <c r="U185" t="str">
        <v/>
      </c>
    </row>
    <row r="186">
      <c r="A186" t="str">
        <v>185</v>
      </c>
      <c r="B186" t="str">
        <v>MASS BSF</v>
      </c>
      <c r="C186" t="str">
        <v>F2F-768</v>
      </c>
      <c r="D186" t="str">
        <v>F2F-768</v>
      </c>
      <c r="E186" t="str">
        <v/>
      </c>
      <c r="F186" t="str">
        <v>867162029832136</v>
      </c>
      <c r="G186" t="str">
        <v>TBD</v>
      </c>
      <c r="H186" t="str">
        <v/>
      </c>
      <c r="I186" t="str">
        <v>28/09/2026</v>
      </c>
      <c r="J186" t="str">
        <v>12:56:32</v>
      </c>
      <c r="K186">
        <v>-12.317871</v>
      </c>
      <c r="L186">
        <v>-76.82426</v>
      </c>
      <c r="M186">
        <f>HYPERLINK("https://www.google.com/maps/search/?api=1&amp;query=-12.317871,-76.82426","Punta Hermosa, Lima")</f>
      </c>
      <c r="N186">
        <v>6.9</v>
      </c>
      <c r="O186">
        <v>100</v>
      </c>
      <c r="P186">
        <v>3177</v>
      </c>
      <c r="Q186" t="str">
        <v>117.33</v>
      </c>
      <c r="R186" t="str">
        <v/>
      </c>
      <c r="S186" t="str">
        <v/>
      </c>
      <c r="T186" t="str">
        <v/>
      </c>
      <c r="U186" t="str">
        <v/>
      </c>
    </row>
    <row r="187">
      <c r="A187" t="str">
        <v>186</v>
      </c>
      <c r="B187" t="str">
        <v>MASS BSF</v>
      </c>
      <c r="C187" t="str">
        <v>F2F-768</v>
      </c>
      <c r="D187" t="str">
        <v>F2F-768</v>
      </c>
      <c r="E187" t="str">
        <v/>
      </c>
      <c r="F187" t="str">
        <v>867162029832136</v>
      </c>
      <c r="G187" t="str">
        <v>TBD</v>
      </c>
      <c r="H187" t="str">
        <v/>
      </c>
      <c r="I187" t="str">
        <v>28/09/2026</v>
      </c>
      <c r="J187" t="str">
        <v>12:56:38</v>
      </c>
      <c r="K187">
        <v>-12.31787</v>
      </c>
      <c r="L187">
        <v>-76.82428</v>
      </c>
      <c r="M187">
        <f>HYPERLINK("https://www.google.com/maps/search/?api=1&amp;query=-12.31787,-76.82428","Punta Hermosa, Lima")</f>
      </c>
      <c r="N187">
        <v>0.4</v>
      </c>
      <c r="O187">
        <v>100</v>
      </c>
      <c r="P187">
        <v>3177</v>
      </c>
      <c r="Q187" t="str">
        <v>117.33</v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187</v>
      </c>
      <c r="B188" t="str">
        <v>MASS BSF</v>
      </c>
      <c r="C188" t="str">
        <v>F2F-768</v>
      </c>
      <c r="D188" t="str">
        <v>F2F-768</v>
      </c>
      <c r="E188" t="str">
        <v/>
      </c>
      <c r="F188" t="str">
        <v>867162029832136</v>
      </c>
      <c r="G188" t="str">
        <v>TBD</v>
      </c>
      <c r="H188" t="str">
        <v/>
      </c>
      <c r="I188" t="str">
        <v>28/09/2026</v>
      </c>
      <c r="J188" t="str">
        <v>12:56:38</v>
      </c>
      <c r="K188">
        <v>-12.317881</v>
      </c>
      <c r="L188">
        <v>-76.824265</v>
      </c>
      <c r="M188">
        <f>HYPERLINK("https://www.google.com/maps/search/?api=1&amp;query=-12.317881,-76.824265","Punta Hermosa, Lima")</f>
      </c>
      <c r="N188">
        <v>3.8</v>
      </c>
      <c r="O188">
        <v>100</v>
      </c>
      <c r="P188">
        <v>3177</v>
      </c>
      <c r="Q188" t="str">
        <v>117.33</v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>188</v>
      </c>
      <c r="B189" t="str">
        <v>MASS BSF</v>
      </c>
      <c r="C189" t="str">
        <v>F2F-768</v>
      </c>
      <c r="D189" t="str">
        <v>F2F-768</v>
      </c>
      <c r="E189" t="str">
        <v/>
      </c>
      <c r="F189" t="str">
        <v>867162029832136</v>
      </c>
      <c r="G189" t="str">
        <v>TBD</v>
      </c>
      <c r="H189" t="str">
        <v/>
      </c>
      <c r="I189" t="str">
        <v>28/09/2026</v>
      </c>
      <c r="J189" t="str">
        <v>12:57:09</v>
      </c>
      <c r="K189">
        <v>-12.317886</v>
      </c>
      <c r="L189">
        <v>-76.82425</v>
      </c>
      <c r="M189">
        <f>HYPERLINK("https://www.google.com/maps/search/?api=1&amp;query=-12.317886,-76.82425","Punta Hermosa, Lima")</f>
      </c>
      <c r="N189">
        <v>0</v>
      </c>
      <c r="O189">
        <v>100</v>
      </c>
      <c r="P189">
        <v>3177</v>
      </c>
      <c r="Q189" t="str">
        <v>117.38</v>
      </c>
      <c r="R189" t="str">
        <v>Vehículo apagado</v>
      </c>
      <c r="S189" t="str">
        <v/>
      </c>
      <c r="T189" t="str">
        <v/>
      </c>
      <c r="U189" t="str">
        <v/>
      </c>
    </row>
    <row r="190">
      <c r="A190" t="str">
        <v>189</v>
      </c>
      <c r="B190" t="str">
        <v>MASS BSF</v>
      </c>
      <c r="C190" t="str">
        <v>F2F-768</v>
      </c>
      <c r="D190" t="str">
        <v>F2F-768</v>
      </c>
      <c r="E190" t="str">
        <v/>
      </c>
      <c r="F190" t="str">
        <v>867162029832136</v>
      </c>
      <c r="G190" t="str">
        <v>TBD</v>
      </c>
      <c r="H190" t="str">
        <v/>
      </c>
      <c r="I190" t="str">
        <v>28/09/2026</v>
      </c>
      <c r="J190" t="str">
        <v>12:57:13</v>
      </c>
      <c r="K190">
        <v>-12.317886</v>
      </c>
      <c r="L190">
        <v>-76.82425</v>
      </c>
      <c r="M190">
        <f>HYPERLINK("https://www.google.com/maps/search/?api=1&amp;query=-12.317886,-76.82425","Punta Hermosa, Lima")</f>
      </c>
      <c r="N190">
        <v>0</v>
      </c>
      <c r="O190">
        <v>100</v>
      </c>
      <c r="P190">
        <v>3177</v>
      </c>
      <c r="Q190" t="str">
        <v>117.33</v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190</v>
      </c>
      <c r="B191" t="str">
        <v>MASS BSF</v>
      </c>
      <c r="C191" t="str">
        <v>F2F-768</v>
      </c>
      <c r="D191" t="str">
        <v>F2F-768</v>
      </c>
      <c r="E191" t="str">
        <v/>
      </c>
      <c r="F191" t="str">
        <v>867162029832136</v>
      </c>
      <c r="G191" t="str">
        <v>TBD</v>
      </c>
      <c r="H191" t="str">
        <v/>
      </c>
      <c r="I191" t="str">
        <v>28/09/2026</v>
      </c>
      <c r="J191" t="str">
        <v>13:26:29</v>
      </c>
      <c r="K191">
        <v>-12.317886</v>
      </c>
      <c r="L191">
        <v>-76.82425</v>
      </c>
      <c r="M191">
        <f>HYPERLINK("https://www.google.com/maps/search/?api=1&amp;query=-12.317886,-76.82425","Punta Hermosa, Lima")</f>
      </c>
      <c r="N191">
        <v>0</v>
      </c>
      <c r="O191">
        <v>100</v>
      </c>
      <c r="P191">
        <v>3177</v>
      </c>
      <c r="Q191" t="str">
        <v>117.38</v>
      </c>
      <c r="R191" t="str">
        <v>Vehículo encendido</v>
      </c>
      <c r="S191" t="str">
        <v/>
      </c>
      <c r="T191" t="str">
        <v/>
      </c>
      <c r="U191" t="str">
        <v/>
      </c>
    </row>
    <row r="192">
      <c r="A192" t="str">
        <v>191</v>
      </c>
      <c r="B192" t="str">
        <v>MASS BSF</v>
      </c>
      <c r="C192" t="str">
        <v>F2F-768</v>
      </c>
      <c r="D192" t="str">
        <v>F2F-768</v>
      </c>
      <c r="E192" t="str">
        <v/>
      </c>
      <c r="F192" t="str">
        <v>867162029832136</v>
      </c>
      <c r="G192" t="str">
        <v>TBD</v>
      </c>
      <c r="H192" t="str">
        <v/>
      </c>
      <c r="I192" t="str">
        <v>28/09/2026</v>
      </c>
      <c r="J192" t="str">
        <v>13:26:35</v>
      </c>
      <c r="K192">
        <v>-12.317884</v>
      </c>
      <c r="L192">
        <v>-76.824165</v>
      </c>
      <c r="M192">
        <f>HYPERLINK("https://www.google.com/maps/search/?api=1&amp;query=-12.317884,-76.824165","Punta Hermosa, Lima")</f>
      </c>
      <c r="N192">
        <v>0.2</v>
      </c>
      <c r="O192">
        <v>100</v>
      </c>
      <c r="P192">
        <v>3177</v>
      </c>
      <c r="Q192" t="str">
        <v>117.38</v>
      </c>
      <c r="R192" t="str">
        <v/>
      </c>
      <c r="S192" t="str">
        <v/>
      </c>
      <c r="T192" t="str">
        <v/>
      </c>
      <c r="U192" t="str">
        <v/>
      </c>
    </row>
    <row r="193">
      <c r="A193" t="str">
        <v>192</v>
      </c>
      <c r="B193" t="str">
        <v>MASS BSF</v>
      </c>
      <c r="C193" t="str">
        <v>F2F-768</v>
      </c>
      <c r="D193" t="str">
        <v>F2F-768</v>
      </c>
      <c r="E193" t="str">
        <v/>
      </c>
      <c r="F193" t="str">
        <v>867162029832136</v>
      </c>
      <c r="G193" t="str">
        <v>TBD</v>
      </c>
      <c r="H193" t="str">
        <v/>
      </c>
      <c r="I193" t="str">
        <v>28/09/2026</v>
      </c>
      <c r="J193" t="str">
        <v>13:26:37</v>
      </c>
      <c r="K193">
        <v>-12.317884</v>
      </c>
      <c r="L193">
        <v>-76.824165</v>
      </c>
      <c r="M193">
        <f>HYPERLINK("https://www.google.com/maps/search/?api=1&amp;query=-12.317884,-76.824165","Punta Hermosa, Lima")</f>
      </c>
      <c r="N193">
        <v>0</v>
      </c>
      <c r="O193">
        <v>100</v>
      </c>
      <c r="P193">
        <v>3177</v>
      </c>
      <c r="Q193" t="str">
        <v>117.38</v>
      </c>
      <c r="R193" t="str">
        <v>Vehículo apagado</v>
      </c>
      <c r="S193" t="str">
        <v/>
      </c>
      <c r="T193" t="str">
        <v/>
      </c>
      <c r="U193" t="str">
        <v/>
      </c>
    </row>
    <row r="194">
      <c r="A194" t="str">
        <v>193</v>
      </c>
      <c r="B194" t="str">
        <v>MASS BSF</v>
      </c>
      <c r="C194" t="str">
        <v>F2F-768</v>
      </c>
      <c r="D194" t="str">
        <v>F2F-768</v>
      </c>
      <c r="E194" t="str">
        <v/>
      </c>
      <c r="F194" t="str">
        <v>867162029832136</v>
      </c>
      <c r="G194" t="str">
        <v>TBD</v>
      </c>
      <c r="H194" t="str">
        <v/>
      </c>
      <c r="I194" t="str">
        <v>28/09/2026</v>
      </c>
      <c r="J194" t="str">
        <v>13:26:40</v>
      </c>
      <c r="K194">
        <v>-12.317884</v>
      </c>
      <c r="L194">
        <v>-76.824165</v>
      </c>
      <c r="M194">
        <f>HYPERLINK("https://www.google.com/maps/search/?api=1&amp;query=-12.317884,-76.824165","Punta Hermosa, Lima")</f>
      </c>
      <c r="N194">
        <v>0</v>
      </c>
      <c r="O194">
        <v>100</v>
      </c>
      <c r="P194">
        <v>3177</v>
      </c>
      <c r="Q194" t="str">
        <v>117.38</v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194</v>
      </c>
      <c r="B195" t="str">
        <v>MASS BSF</v>
      </c>
      <c r="C195" t="str">
        <v>F2F-768</v>
      </c>
      <c r="D195" t="str">
        <v>F2F-768</v>
      </c>
      <c r="E195" t="str">
        <v/>
      </c>
      <c r="F195" t="str">
        <v>867162029832136</v>
      </c>
      <c r="G195" t="str">
        <v>TBD</v>
      </c>
      <c r="H195" t="str">
        <v/>
      </c>
      <c r="I195" t="str">
        <v>28/09/2026</v>
      </c>
      <c r="J195" t="str">
        <v>13:31:03</v>
      </c>
      <c r="K195">
        <v>-12.317884</v>
      </c>
      <c r="L195">
        <v>-76.824165</v>
      </c>
      <c r="M195">
        <f>HYPERLINK("https://www.google.com/maps/search/?api=1&amp;query=-12.317884,-76.824165","Punta Hermosa, Lima")</f>
      </c>
      <c r="N195">
        <v>0</v>
      </c>
      <c r="O195">
        <v>100</v>
      </c>
      <c r="P195">
        <v>3177</v>
      </c>
      <c r="Q195" t="str">
        <v>117.38</v>
      </c>
      <c r="R195" t="str">
        <v>Vehículo encendido</v>
      </c>
      <c r="S195" t="str">
        <v/>
      </c>
      <c r="T195" t="str">
        <v/>
      </c>
      <c r="U195" t="str">
        <v/>
      </c>
    </row>
    <row r="196">
      <c r="A196" t="str">
        <v>195</v>
      </c>
      <c r="B196" t="str">
        <v>MASS BSF</v>
      </c>
      <c r="C196" t="str">
        <v>F2F-768</v>
      </c>
      <c r="D196" t="str">
        <v>F2F-768</v>
      </c>
      <c r="E196" t="str">
        <v/>
      </c>
      <c r="F196" t="str">
        <v>867162029832136</v>
      </c>
      <c r="G196" t="str">
        <v>TBD</v>
      </c>
      <c r="H196" t="str">
        <v/>
      </c>
      <c r="I196" t="str">
        <v>28/09/2026</v>
      </c>
      <c r="J196" t="str">
        <v>13:31:11</v>
      </c>
      <c r="K196">
        <v>-12.317881</v>
      </c>
      <c r="L196">
        <v>-76.82414</v>
      </c>
      <c r="M196">
        <f>HYPERLINK("https://www.google.com/maps/search/?api=1&amp;query=-12.317881,-76.82414","Punta Hermosa, Lima")</f>
      </c>
      <c r="N196">
        <v>3.8</v>
      </c>
      <c r="O196">
        <v>100</v>
      </c>
      <c r="P196">
        <v>3177</v>
      </c>
      <c r="Q196" t="str">
        <v>117.38</v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196</v>
      </c>
      <c r="B197" t="str">
        <v>MASS BSF</v>
      </c>
      <c r="C197" t="str">
        <v>F2F-768</v>
      </c>
      <c r="D197" t="str">
        <v>F2F-768</v>
      </c>
      <c r="E197" t="str">
        <v/>
      </c>
      <c r="F197" t="str">
        <v>867162029832136</v>
      </c>
      <c r="G197" t="str">
        <v>TBD</v>
      </c>
      <c r="H197" t="str">
        <v/>
      </c>
      <c r="I197" t="str">
        <v>28/09/2026</v>
      </c>
      <c r="J197" t="str">
        <v>13:31:17</v>
      </c>
      <c r="K197">
        <v>-12.317839</v>
      </c>
      <c r="L197">
        <v>-76.824196</v>
      </c>
      <c r="M197">
        <f>HYPERLINK("https://www.google.com/maps/search/?api=1&amp;query=-12.317839,-76.824196","Punta Hermosa, Lima")</f>
      </c>
      <c r="N197">
        <v>4.7</v>
      </c>
      <c r="O197">
        <v>100</v>
      </c>
      <c r="P197">
        <v>3177</v>
      </c>
      <c r="Q197" t="str">
        <v>117.38</v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>197</v>
      </c>
      <c r="B198" t="str">
        <v>MASS BSF</v>
      </c>
      <c r="C198" t="str">
        <v>F2F-768</v>
      </c>
      <c r="D198" t="str">
        <v>F2F-768</v>
      </c>
      <c r="E198" t="str">
        <v/>
      </c>
      <c r="F198" t="str">
        <v>867162029832136</v>
      </c>
      <c r="G198" t="str">
        <v>TBD</v>
      </c>
      <c r="H198" t="str">
        <v/>
      </c>
      <c r="I198" t="str">
        <v>28/09/2026</v>
      </c>
      <c r="J198" t="str">
        <v>13:31:26</v>
      </c>
      <c r="K198">
        <v>-12.317845</v>
      </c>
      <c r="L198">
        <v>-76.824265</v>
      </c>
      <c r="M198">
        <f>HYPERLINK("https://www.google.com/maps/search/?api=1&amp;query=-12.317845,-76.824265","Punta Hermosa, Lima")</f>
      </c>
      <c r="N198">
        <v>4.3</v>
      </c>
      <c r="O198">
        <v>100</v>
      </c>
      <c r="P198">
        <v>3177</v>
      </c>
      <c r="Q198" t="str">
        <v>117.38</v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>198</v>
      </c>
      <c r="B199" t="str">
        <v>MASS BSF</v>
      </c>
      <c r="C199" t="str">
        <v>F2F-768</v>
      </c>
      <c r="D199" t="str">
        <v>F2F-768</v>
      </c>
      <c r="E199" t="str">
        <v/>
      </c>
      <c r="F199" t="str">
        <v>867162029832136</v>
      </c>
      <c r="G199" t="str">
        <v>TBD</v>
      </c>
      <c r="H199" t="str">
        <v/>
      </c>
      <c r="I199" t="str">
        <v>28/09/2026</v>
      </c>
      <c r="J199" t="str">
        <v>13:31:32</v>
      </c>
      <c r="K199">
        <v>-12.317828</v>
      </c>
      <c r="L199">
        <v>-76.824196</v>
      </c>
      <c r="M199">
        <f>HYPERLINK("https://www.google.com/maps/search/?api=1&amp;query=-12.317828,-76.824196","Punta Hermosa, Lima")</f>
      </c>
      <c r="N199">
        <v>3.7</v>
      </c>
      <c r="O199">
        <v>100</v>
      </c>
      <c r="P199">
        <v>3177</v>
      </c>
      <c r="Q199" t="str">
        <v>117.38</v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>199</v>
      </c>
      <c r="B200" t="str">
        <v>MASS BSF</v>
      </c>
      <c r="C200" t="str">
        <v>F2F-768</v>
      </c>
      <c r="D200" t="str">
        <v>F2F-768</v>
      </c>
      <c r="E200" t="str">
        <v/>
      </c>
      <c r="F200" t="str">
        <v>867162029832136</v>
      </c>
      <c r="G200" t="str">
        <v>TBD</v>
      </c>
      <c r="H200" t="str">
        <v/>
      </c>
      <c r="I200" t="str">
        <v>28/09/2026</v>
      </c>
      <c r="J200" t="str">
        <v>13:31:40</v>
      </c>
      <c r="K200">
        <v>-12.317828</v>
      </c>
      <c r="L200">
        <v>-76.824196</v>
      </c>
      <c r="M200">
        <f>HYPERLINK("https://www.google.com/maps/search/?api=1&amp;query=-12.317828,-76.824196","Punta Hermosa, Lima")</f>
      </c>
      <c r="N200">
        <v>3.7</v>
      </c>
      <c r="O200">
        <v>100</v>
      </c>
      <c r="P200">
        <v>3177</v>
      </c>
      <c r="Q200" t="str">
        <v>117.40</v>
      </c>
      <c r="R200" t="str">
        <v>Vehículo apagado</v>
      </c>
      <c r="S200" t="str">
        <v/>
      </c>
      <c r="T200" t="str">
        <v/>
      </c>
      <c r="U200" t="str">
        <v/>
      </c>
    </row>
    <row r="201">
      <c r="A201" t="str">
        <v>200</v>
      </c>
      <c r="B201" t="str">
        <v>MASS BSF</v>
      </c>
      <c r="C201" t="str">
        <v>F2F-768</v>
      </c>
      <c r="D201" t="str">
        <v>F2F-768</v>
      </c>
      <c r="E201" t="str">
        <v/>
      </c>
      <c r="F201" t="str">
        <v>867162029832136</v>
      </c>
      <c r="G201" t="str">
        <v>TBD</v>
      </c>
      <c r="H201" t="str">
        <v/>
      </c>
      <c r="I201" t="str">
        <v>28/09/2026</v>
      </c>
      <c r="J201" t="str">
        <v>13:31:43</v>
      </c>
      <c r="K201">
        <v>-12.317805</v>
      </c>
      <c r="L201">
        <v>-76.82414</v>
      </c>
      <c r="M201">
        <f>HYPERLINK("https://www.google.com/maps/search/?api=1&amp;query=-12.317805,-76.82414","Punta Hermosa, Lima")</f>
      </c>
      <c r="N201">
        <v>0</v>
      </c>
      <c r="O201">
        <v>100</v>
      </c>
      <c r="P201">
        <v>3177</v>
      </c>
      <c r="Q201" t="str">
        <v>117.38</v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201</v>
      </c>
      <c r="B202" t="str">
        <v>MASS BSF</v>
      </c>
      <c r="C202" t="str">
        <v>F2F-768</v>
      </c>
      <c r="D202" t="str">
        <v>F2F-768</v>
      </c>
      <c r="E202" t="str">
        <v/>
      </c>
      <c r="F202" t="str">
        <v>867162029832136</v>
      </c>
      <c r="G202" t="str">
        <v>TBD</v>
      </c>
      <c r="H202" t="str">
        <v/>
      </c>
      <c r="I202" t="str">
        <v>28/09/2026</v>
      </c>
      <c r="J202" t="str">
        <v>14:01:41</v>
      </c>
      <c r="K202">
        <v>-12.317805</v>
      </c>
      <c r="L202">
        <v>-76.82414</v>
      </c>
      <c r="M202">
        <f>HYPERLINK("https://www.google.com/maps/search/?api=1&amp;query=-12.317805,-76.82414","Punta Hermosa, Lima")</f>
      </c>
      <c r="N202">
        <v>0</v>
      </c>
      <c r="O202">
        <v>100</v>
      </c>
      <c r="P202">
        <v>3177</v>
      </c>
      <c r="Q202" t="str">
        <v>117.38</v>
      </c>
      <c r="R202" t="str">
        <v/>
      </c>
      <c r="S202" t="str">
        <v/>
      </c>
      <c r="T202" t="str">
        <v/>
      </c>
      <c r="U202" t="str">
        <v/>
      </c>
    </row>
    <row r="203">
      <c r="A203" t="str">
        <v>202</v>
      </c>
      <c r="B203" t="str">
        <v>MASS BSF</v>
      </c>
      <c r="C203" t="str">
        <v>F2F-768</v>
      </c>
      <c r="D203" t="str">
        <v>F2F-768</v>
      </c>
      <c r="E203" t="str">
        <v/>
      </c>
      <c r="F203" t="str">
        <v>867162029832136</v>
      </c>
      <c r="G203" t="str">
        <v>TBD</v>
      </c>
      <c r="H203" t="str">
        <v/>
      </c>
      <c r="I203" t="str">
        <v>28/09/2026</v>
      </c>
      <c r="J203" t="str">
        <v>14:27:57</v>
      </c>
      <c r="K203">
        <v>-12.317805</v>
      </c>
      <c r="L203">
        <v>-76.82414</v>
      </c>
      <c r="M203">
        <f>HYPERLINK("https://www.google.com/maps/search/?api=1&amp;query=-12.317805,-76.82414","Punta Hermosa, Lima")</f>
      </c>
      <c r="N203">
        <v>0</v>
      </c>
      <c r="O203">
        <v>100</v>
      </c>
      <c r="P203">
        <v>3177</v>
      </c>
      <c r="Q203" t="str">
        <v>117.38</v>
      </c>
      <c r="R203" t="str">
        <v>Vehículo encendido</v>
      </c>
      <c r="S203" t="str">
        <v/>
      </c>
      <c r="T203" t="str">
        <v/>
      </c>
      <c r="U203" t="str">
        <v/>
      </c>
    </row>
    <row r="204">
      <c r="A204" t="str">
        <v>203</v>
      </c>
      <c r="B204" t="str">
        <v>MASS BSF</v>
      </c>
      <c r="C204" t="str">
        <v>F2F-768</v>
      </c>
      <c r="D204" t="str">
        <v>F2F-768</v>
      </c>
      <c r="E204" t="str">
        <v/>
      </c>
      <c r="F204" t="str">
        <v>867162029832136</v>
      </c>
      <c r="G204" t="str">
        <v>TBD</v>
      </c>
      <c r="H204" t="str">
        <v/>
      </c>
      <c r="I204" t="str">
        <v>28/09/2026</v>
      </c>
      <c r="J204" t="str">
        <v>14:28:04</v>
      </c>
      <c r="K204">
        <v>-12.317824</v>
      </c>
      <c r="L204">
        <v>-76.824234</v>
      </c>
      <c r="M204">
        <f>HYPERLINK("https://www.google.com/maps/search/?api=1&amp;query=-12.317824,-76.824234","Punta Hermosa, Lima")</f>
      </c>
      <c r="N204">
        <v>0.6</v>
      </c>
      <c r="O204">
        <v>100</v>
      </c>
      <c r="P204">
        <v>3177</v>
      </c>
      <c r="Q204" t="str">
        <v>117.38</v>
      </c>
      <c r="R204" t="str">
        <v/>
      </c>
      <c r="S204" t="str">
        <v/>
      </c>
      <c r="T204" t="str">
        <v/>
      </c>
      <c r="U204" t="str">
        <v/>
      </c>
    </row>
    <row r="205">
      <c r="A205" t="str">
        <v>204</v>
      </c>
      <c r="B205" t="str">
        <v>MASS BSF</v>
      </c>
      <c r="C205" t="str">
        <v>F2F-768</v>
      </c>
      <c r="D205" t="str">
        <v>F2F-768</v>
      </c>
      <c r="E205" t="str">
        <v/>
      </c>
      <c r="F205" t="str">
        <v>867162029832136</v>
      </c>
      <c r="G205" t="str">
        <v>TBD</v>
      </c>
      <c r="H205" t="str">
        <v/>
      </c>
      <c r="I205" t="str">
        <v>28/09/2026</v>
      </c>
      <c r="J205" t="str">
        <v>14:29:04</v>
      </c>
      <c r="K205">
        <v>-12.317837</v>
      </c>
      <c r="L205">
        <v>-76.82424</v>
      </c>
      <c r="M205">
        <f>HYPERLINK("https://www.google.com/maps/search/?api=1&amp;query=-12.317837,-76.82424","Punta Hermosa, Lima")</f>
      </c>
      <c r="N205">
        <v>0</v>
      </c>
      <c r="O205">
        <v>100</v>
      </c>
      <c r="P205">
        <v>3177</v>
      </c>
      <c r="Q205" t="str">
        <v>117.38</v>
      </c>
      <c r="R205" t="str">
        <v/>
      </c>
      <c r="S205" t="str">
        <v/>
      </c>
      <c r="T205" t="str">
        <v/>
      </c>
      <c r="U205" t="str">
        <v/>
      </c>
    </row>
    <row r="206">
      <c r="A206" t="str">
        <v>205</v>
      </c>
      <c r="B206" t="str">
        <v>MASS BSF</v>
      </c>
      <c r="C206" t="str">
        <v>F2F-768</v>
      </c>
      <c r="D206" t="str">
        <v>F2F-768</v>
      </c>
      <c r="E206" t="str">
        <v/>
      </c>
      <c r="F206" t="str">
        <v>867162029832136</v>
      </c>
      <c r="G206" t="str">
        <v>TBD</v>
      </c>
      <c r="H206" t="str">
        <v/>
      </c>
      <c r="I206" t="str">
        <v>28/09/2026</v>
      </c>
      <c r="J206" t="str">
        <v>14:29:39</v>
      </c>
      <c r="K206">
        <v>-12.317837</v>
      </c>
      <c r="L206">
        <v>-76.82424</v>
      </c>
      <c r="M206">
        <f>HYPERLINK("https://www.google.com/maps/search/?api=1&amp;query=-12.317837,-76.82424","Punta Hermosa, Lima")</f>
      </c>
      <c r="N206">
        <v>0</v>
      </c>
      <c r="O206">
        <v>100</v>
      </c>
      <c r="P206">
        <v>3177</v>
      </c>
      <c r="Q206" t="str">
        <v>117.42</v>
      </c>
      <c r="R206" t="str">
        <v>Vehículo apagado</v>
      </c>
      <c r="S206" t="str">
        <v/>
      </c>
      <c r="T206" t="str">
        <v/>
      </c>
      <c r="U206" t="str">
        <v/>
      </c>
    </row>
    <row r="207">
      <c r="A207" t="str">
        <v>206</v>
      </c>
      <c r="B207" t="str">
        <v>MASS BSF</v>
      </c>
      <c r="C207" t="str">
        <v>F2F-768</v>
      </c>
      <c r="D207" t="str">
        <v>F2F-768</v>
      </c>
      <c r="E207" t="str">
        <v/>
      </c>
      <c r="F207" t="str">
        <v>867162029832136</v>
      </c>
      <c r="G207" t="str">
        <v>TBD</v>
      </c>
      <c r="H207" t="str">
        <v/>
      </c>
      <c r="I207" t="str">
        <v>28/09/2026</v>
      </c>
      <c r="J207" t="str">
        <v>14:29:43</v>
      </c>
      <c r="K207">
        <v>-12.317837</v>
      </c>
      <c r="L207">
        <v>-76.82424</v>
      </c>
      <c r="M207">
        <f>HYPERLINK("https://www.google.com/maps/search/?api=1&amp;query=-12.317837,-76.82424","Punta Hermosa, Lima")</f>
      </c>
      <c r="N207">
        <v>0</v>
      </c>
      <c r="O207">
        <v>100</v>
      </c>
      <c r="P207">
        <v>3177</v>
      </c>
      <c r="Q207" t="str">
        <v>117.42</v>
      </c>
      <c r="R207" t="str">
        <v/>
      </c>
      <c r="S207" t="str">
        <v/>
      </c>
      <c r="T207" t="str">
        <v/>
      </c>
      <c r="U207" t="str">
        <v/>
      </c>
    </row>
    <row r="208">
      <c r="A208" t="str">
        <v>207</v>
      </c>
      <c r="B208" t="str">
        <v>MASS BSF</v>
      </c>
      <c r="C208" t="str">
        <v>F2F-768</v>
      </c>
      <c r="D208" t="str">
        <v>F2F-768</v>
      </c>
      <c r="E208" t="str">
        <v/>
      </c>
      <c r="F208" t="str">
        <v>867162029832136</v>
      </c>
      <c r="G208" t="str">
        <v>TBD</v>
      </c>
      <c r="H208" t="str">
        <v/>
      </c>
      <c r="I208" t="str">
        <v>28/09/2026</v>
      </c>
      <c r="J208" t="str">
        <v>14:59:39</v>
      </c>
      <c r="K208">
        <v>-12.317837</v>
      </c>
      <c r="L208">
        <v>-76.82424</v>
      </c>
      <c r="M208">
        <f>HYPERLINK("https://www.google.com/maps/search/?api=1&amp;query=-12.317837,-76.82424","Punta Hermosa, Lima")</f>
      </c>
      <c r="N208">
        <v>0</v>
      </c>
      <c r="O208">
        <v>100</v>
      </c>
      <c r="P208">
        <v>3177</v>
      </c>
      <c r="Q208" t="str">
        <v>117.42</v>
      </c>
      <c r="R208" t="str">
        <v/>
      </c>
      <c r="S208" t="str">
        <v/>
      </c>
      <c r="T208" t="str">
        <v/>
      </c>
      <c r="U208" t="str">
        <v/>
      </c>
    </row>
    <row r="209">
      <c r="A209" t="str">
        <v>208</v>
      </c>
      <c r="B209" t="str">
        <v>MASS BSF</v>
      </c>
      <c r="C209" t="str">
        <v>F2F-768</v>
      </c>
      <c r="D209" t="str">
        <v>F2F-768</v>
      </c>
      <c r="E209" t="str">
        <v/>
      </c>
      <c r="F209" t="str">
        <v>867162029832136</v>
      </c>
      <c r="G209" t="str">
        <v>TBD</v>
      </c>
      <c r="H209" t="str">
        <v/>
      </c>
      <c r="I209" t="str">
        <v>28/09/2026</v>
      </c>
      <c r="J209" t="str">
        <v>15:28:09</v>
      </c>
      <c r="K209">
        <v>-12.317837</v>
      </c>
      <c r="L209">
        <v>-76.82424</v>
      </c>
      <c r="M209">
        <f>HYPERLINK("https://www.google.com/maps/search/?api=1&amp;query=-12.317837,-76.82424","Punta Hermosa, Lima")</f>
      </c>
      <c r="N209">
        <v>0</v>
      </c>
      <c r="O209">
        <v>100</v>
      </c>
      <c r="P209">
        <v>3177</v>
      </c>
      <c r="Q209" t="str">
        <v>117.42</v>
      </c>
      <c r="R209" t="str">
        <v>Vehículo encendido</v>
      </c>
      <c r="S209" t="str">
        <v/>
      </c>
      <c r="T209" t="str">
        <v/>
      </c>
      <c r="U209" t="str">
        <v/>
      </c>
    </row>
    <row r="210">
      <c r="A210" t="str">
        <v>209</v>
      </c>
      <c r="B210" t="str">
        <v>MASS BSF</v>
      </c>
      <c r="C210" t="str">
        <v>F2F-768</v>
      </c>
      <c r="D210" t="str">
        <v>F2F-768</v>
      </c>
      <c r="E210" t="str">
        <v/>
      </c>
      <c r="F210" t="str">
        <v>867162029832136</v>
      </c>
      <c r="G210" t="str">
        <v>TBD</v>
      </c>
      <c r="H210" t="str">
        <v/>
      </c>
      <c r="I210" t="str">
        <v>28/09/2026</v>
      </c>
      <c r="J210" t="str">
        <v>15:28:17</v>
      </c>
      <c r="K210">
        <v>-12.317839</v>
      </c>
      <c r="L210">
        <v>-76.82416</v>
      </c>
      <c r="M210">
        <f>HYPERLINK("https://www.google.com/maps/search/?api=1&amp;query=-12.317839,-76.82416","Punta Hermosa, Lima")</f>
      </c>
      <c r="N210">
        <v>3.7</v>
      </c>
      <c r="O210">
        <v>100</v>
      </c>
      <c r="P210">
        <v>3177</v>
      </c>
      <c r="Q210" t="str">
        <v>117.42</v>
      </c>
      <c r="R210" t="str">
        <v/>
      </c>
      <c r="S210" t="str">
        <v/>
      </c>
      <c r="T210" t="str">
        <v/>
      </c>
      <c r="U210" t="str">
        <v/>
      </c>
    </row>
    <row r="211">
      <c r="A211" t="str">
        <v>210</v>
      </c>
      <c r="B211" t="str">
        <v>MASS BSF</v>
      </c>
      <c r="C211" t="str">
        <v>F2F-768</v>
      </c>
      <c r="D211" t="str">
        <v>F2F-768</v>
      </c>
      <c r="E211" t="str">
        <v/>
      </c>
      <c r="F211" t="str">
        <v>867162029832136</v>
      </c>
      <c r="G211" t="str">
        <v>TBD</v>
      </c>
      <c r="H211" t="str">
        <v/>
      </c>
      <c r="I211" t="str">
        <v>28/09/2026</v>
      </c>
      <c r="J211" t="str">
        <v>15:28:21</v>
      </c>
      <c r="K211">
        <v>-12.31785</v>
      </c>
      <c r="L211">
        <v>-76.82418</v>
      </c>
      <c r="M211">
        <f>HYPERLINK("https://www.google.com/maps/search/?api=1&amp;query=-12.31785,-76.82418","Punta Hermosa, Lima")</f>
      </c>
      <c r="N211">
        <v>0</v>
      </c>
      <c r="O211">
        <v>100</v>
      </c>
      <c r="P211">
        <v>3177</v>
      </c>
      <c r="Q211" t="str">
        <v>117.42</v>
      </c>
      <c r="R211" t="str">
        <v>Vehículo apagado</v>
      </c>
      <c r="S211" t="str">
        <v/>
      </c>
      <c r="T211" t="str">
        <v/>
      </c>
      <c r="U211" t="str">
        <v/>
      </c>
    </row>
    <row r="212">
      <c r="A212" t="str">
        <v>211</v>
      </c>
      <c r="B212" t="str">
        <v>MASS BSF</v>
      </c>
      <c r="C212" t="str">
        <v>F2F-768</v>
      </c>
      <c r="D212" t="str">
        <v>F2F-768</v>
      </c>
      <c r="E212" t="str">
        <v/>
      </c>
      <c r="F212" t="str">
        <v>867162029832136</v>
      </c>
      <c r="G212" t="str">
        <v>TBD</v>
      </c>
      <c r="H212" t="str">
        <v/>
      </c>
      <c r="I212" t="str">
        <v>28/09/2026</v>
      </c>
      <c r="J212" t="str">
        <v>15:28:25</v>
      </c>
      <c r="K212">
        <v>-12.31785</v>
      </c>
      <c r="L212">
        <v>-76.82418</v>
      </c>
      <c r="M212">
        <f>HYPERLINK("https://www.google.com/maps/search/?api=1&amp;query=-12.31785,-76.82418","Punta Hermosa, Lima")</f>
      </c>
      <c r="N212">
        <v>0</v>
      </c>
      <c r="O212">
        <v>100</v>
      </c>
      <c r="P212">
        <v>3177</v>
      </c>
      <c r="Q212" t="str">
        <v>117.42</v>
      </c>
      <c r="R212" t="str">
        <v/>
      </c>
      <c r="S212" t="str">
        <v/>
      </c>
      <c r="T212" t="str">
        <v/>
      </c>
      <c r="U212" t="str">
        <v/>
      </c>
    </row>
    <row r="213">
      <c r="A213" t="str">
        <v>212</v>
      </c>
      <c r="B213" t="str">
        <v>MASS BSF</v>
      </c>
      <c r="C213" t="str">
        <v>F2F-768</v>
      </c>
      <c r="D213" t="str">
        <v>F2F-768</v>
      </c>
      <c r="E213" t="str">
        <v/>
      </c>
      <c r="F213" t="str">
        <v>867162029832136</v>
      </c>
      <c r="G213" t="str">
        <v>TBD</v>
      </c>
      <c r="H213" t="str">
        <v/>
      </c>
      <c r="I213" t="str">
        <v>28/09/2026</v>
      </c>
      <c r="J213" t="str">
        <v>15:36:54</v>
      </c>
      <c r="K213">
        <v>-12.31785</v>
      </c>
      <c r="L213">
        <v>-76.82418</v>
      </c>
      <c r="M213">
        <f>HYPERLINK("https://www.google.com/maps/search/?api=1&amp;query=-12.31785,-76.82418","Punta Hermosa, Lima")</f>
      </c>
      <c r="N213">
        <v>0</v>
      </c>
      <c r="O213">
        <v>100</v>
      </c>
      <c r="P213">
        <v>3177</v>
      </c>
      <c r="Q213" t="str">
        <v>117.42</v>
      </c>
      <c r="R213" t="str">
        <v>Vehículo encendido</v>
      </c>
      <c r="S213" t="str">
        <v/>
      </c>
      <c r="T213" t="str">
        <v/>
      </c>
      <c r="U213" t="str">
        <v/>
      </c>
    </row>
    <row r="214">
      <c r="A214" t="str">
        <v>213</v>
      </c>
      <c r="B214" t="str">
        <v>MASS BSF</v>
      </c>
      <c r="C214" t="str">
        <v>F2F-768</v>
      </c>
      <c r="D214" t="str">
        <v>F2F-768</v>
      </c>
      <c r="E214" t="str">
        <v/>
      </c>
      <c r="F214" t="str">
        <v>867162029832136</v>
      </c>
      <c r="G214" t="str">
        <v>TBD</v>
      </c>
      <c r="H214" t="str">
        <v/>
      </c>
      <c r="I214" t="str">
        <v>28/09/2026</v>
      </c>
      <c r="J214" t="str">
        <v>15:37:14</v>
      </c>
      <c r="K214">
        <v>-12.317599</v>
      </c>
      <c r="L214">
        <v>-76.82468</v>
      </c>
      <c r="M214">
        <f>HYPERLINK("https://www.google.com/maps/search/?api=1&amp;query=-12.317599,-76.82468","Punta Hermosa, Lima")</f>
      </c>
      <c r="N214">
        <v>8</v>
      </c>
      <c r="O214">
        <v>100</v>
      </c>
      <c r="P214">
        <v>3177.1</v>
      </c>
      <c r="Q214" t="str">
        <v>117.42</v>
      </c>
      <c r="R214" t="str">
        <v/>
      </c>
      <c r="S214" t="str">
        <v/>
      </c>
      <c r="T214" t="str">
        <v/>
      </c>
      <c r="U214" t="str">
        <v/>
      </c>
    </row>
    <row r="215">
      <c r="A215" t="str">
        <v>214</v>
      </c>
      <c r="B215" t="str">
        <v>MASS BSF</v>
      </c>
      <c r="C215" t="str">
        <v>F2F-768</v>
      </c>
      <c r="D215" t="str">
        <v>F2F-768</v>
      </c>
      <c r="E215" t="str">
        <v/>
      </c>
      <c r="F215" t="str">
        <v>867162029832136</v>
      </c>
      <c r="G215" t="str">
        <v>TBD</v>
      </c>
      <c r="H215" t="str">
        <v/>
      </c>
      <c r="I215" t="str">
        <v>28/09/2026</v>
      </c>
      <c r="J215" t="str">
        <v>15:38:10</v>
      </c>
      <c r="K215">
        <v>-12.316877</v>
      </c>
      <c r="L215">
        <v>-76.825</v>
      </c>
      <c r="M215">
        <f>HYPERLINK("https://www.google.com/maps/search/?api=1&amp;query=-12.316877,-76.825","Punta Hermosa, Lima")</f>
      </c>
      <c r="N215">
        <v>11.3</v>
      </c>
      <c r="O215">
        <v>100</v>
      </c>
      <c r="P215">
        <v>3177.2</v>
      </c>
      <c r="Q215" t="str">
        <v>117.42</v>
      </c>
      <c r="R215" t="str">
        <v/>
      </c>
      <c r="S215" t="str">
        <v/>
      </c>
      <c r="T215" t="str">
        <v/>
      </c>
      <c r="U215" t="str">
        <v/>
      </c>
    </row>
    <row r="216">
      <c r="A216" t="str">
        <v>215</v>
      </c>
      <c r="B216" t="str">
        <v>MASS BSF</v>
      </c>
      <c r="C216" t="str">
        <v>F2F-768</v>
      </c>
      <c r="D216" t="str">
        <v>F2F-768</v>
      </c>
      <c r="E216" t="str">
        <v/>
      </c>
      <c r="F216" t="str">
        <v>867162029832136</v>
      </c>
      <c r="G216" t="str">
        <v>TBD</v>
      </c>
      <c r="H216" t="str">
        <v/>
      </c>
      <c r="I216" t="str">
        <v>28/09/2026</v>
      </c>
      <c r="J216" t="str">
        <v>15:38:56</v>
      </c>
      <c r="K216">
        <v>-12.315365</v>
      </c>
      <c r="L216">
        <v>-76.826035</v>
      </c>
      <c r="M216">
        <f>HYPERLINK("https://www.google.com/maps/search/?api=1&amp;query=-12.315365,-76.826035","Punta Hermosa, Lima")</f>
      </c>
      <c r="N216">
        <v>11.2</v>
      </c>
      <c r="O216">
        <v>100</v>
      </c>
      <c r="P216">
        <v>3177.3</v>
      </c>
      <c r="Q216" t="str">
        <v>117.42</v>
      </c>
      <c r="R216" t="str">
        <v/>
      </c>
      <c r="S216" t="str">
        <v/>
      </c>
      <c r="T216" t="str">
        <v/>
      </c>
      <c r="U216" t="str">
        <v/>
      </c>
    </row>
    <row r="217">
      <c r="A217" t="str">
        <v>216</v>
      </c>
      <c r="B217" t="str">
        <v>MASS BSF</v>
      </c>
      <c r="C217" t="str">
        <v>F2F-768</v>
      </c>
      <c r="D217" t="str">
        <v>F2F-768</v>
      </c>
      <c r="E217" t="str">
        <v/>
      </c>
      <c r="F217" t="str">
        <v>867162029832136</v>
      </c>
      <c r="G217" t="str">
        <v>TBD</v>
      </c>
      <c r="H217" t="str">
        <v/>
      </c>
      <c r="I217" t="str">
        <v>28/09/2026</v>
      </c>
      <c r="J217" t="str">
        <v>15:38:56</v>
      </c>
      <c r="K217">
        <v>-12.315355</v>
      </c>
      <c r="L217">
        <v>-76.82612</v>
      </c>
      <c r="M217">
        <f>HYPERLINK("https://www.google.com/maps/search/?api=1&amp;query=-12.315355,-76.82612","Punta Hermosa, Lima")</f>
      </c>
      <c r="N217">
        <v>12.6</v>
      </c>
      <c r="O217">
        <v>100</v>
      </c>
      <c r="P217">
        <v>3177.3</v>
      </c>
      <c r="Q217" t="str">
        <v>117.42</v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>217</v>
      </c>
      <c r="B218" t="str">
        <v>MASS BSF</v>
      </c>
      <c r="C218" t="str">
        <v>F2F-768</v>
      </c>
      <c r="D218" t="str">
        <v>F2F-768</v>
      </c>
      <c r="E218" t="str">
        <v/>
      </c>
      <c r="F218" t="str">
        <v>867162029832136</v>
      </c>
      <c r="G218" t="str">
        <v>TBD</v>
      </c>
      <c r="H218" t="str">
        <v/>
      </c>
      <c r="I218" t="str">
        <v>28/09/2026</v>
      </c>
      <c r="J218" t="str">
        <v>15:39:55</v>
      </c>
      <c r="K218">
        <v>-12.316329</v>
      </c>
      <c r="L218">
        <v>-76.827805</v>
      </c>
      <c r="M218">
        <f>HYPERLINK("https://www.google.com/maps/search/?api=1&amp;query=-12.316329,-76.827805","Punta Hermosa, Lima")</f>
      </c>
      <c r="N218">
        <v>13.7</v>
      </c>
      <c r="O218">
        <v>100</v>
      </c>
      <c r="P218">
        <v>3177.6</v>
      </c>
      <c r="Q218" t="str">
        <v>117.42</v>
      </c>
      <c r="R218" t="str">
        <v/>
      </c>
      <c r="S218" t="str">
        <v/>
      </c>
      <c r="T218" t="str">
        <v/>
      </c>
      <c r="U218" t="str">
        <v/>
      </c>
    </row>
    <row r="219">
      <c r="A219" t="str">
        <v>218</v>
      </c>
      <c r="B219" t="str">
        <v>MASS BSF</v>
      </c>
      <c r="C219" t="str">
        <v>F2F-768</v>
      </c>
      <c r="D219" t="str">
        <v>F2F-768</v>
      </c>
      <c r="E219" t="str">
        <v/>
      </c>
      <c r="F219" t="str">
        <v>867162029832136</v>
      </c>
      <c r="G219" t="str">
        <v>TBD</v>
      </c>
      <c r="H219" t="str">
        <v/>
      </c>
      <c r="I219" t="str">
        <v>28/09/2026</v>
      </c>
      <c r="J219" t="str">
        <v>15:40:55</v>
      </c>
      <c r="K219">
        <v>-12.317241</v>
      </c>
      <c r="L219">
        <v>-76.82925</v>
      </c>
      <c r="M219">
        <f>HYPERLINK("https://www.google.com/maps/search/?api=1&amp;query=-12.317241,-76.82925","Punta Hermosa, Lima")</f>
      </c>
      <c r="N219">
        <v>9.7</v>
      </c>
      <c r="O219">
        <v>100</v>
      </c>
      <c r="P219">
        <v>3177.7</v>
      </c>
      <c r="Q219" t="str">
        <v>117.42</v>
      </c>
      <c r="R219" t="str">
        <v/>
      </c>
      <c r="S219" t="str">
        <v/>
      </c>
      <c r="T219" t="str">
        <v/>
      </c>
      <c r="U219" t="str">
        <v/>
      </c>
    </row>
    <row r="220">
      <c r="A220" t="str">
        <v>219</v>
      </c>
      <c r="B220" t="str">
        <v>MASS BSF</v>
      </c>
      <c r="C220" t="str">
        <v>F2F-768</v>
      </c>
      <c r="D220" t="str">
        <v>F2F-768</v>
      </c>
      <c r="E220" t="str">
        <v/>
      </c>
      <c r="F220" t="str">
        <v>867162029832136</v>
      </c>
      <c r="G220" t="str">
        <v>TBD</v>
      </c>
      <c r="H220" t="str">
        <v/>
      </c>
      <c r="I220" t="str">
        <v>28/09/2026</v>
      </c>
      <c r="J220" t="str">
        <v>15:41:38</v>
      </c>
      <c r="K220">
        <v>-12.317509</v>
      </c>
      <c r="L220">
        <v>-76.82996</v>
      </c>
      <c r="M220">
        <f>HYPERLINK("https://www.google.com/maps/search/?api=1&amp;query=-12.317509,-76.82996","Punta Hermosa, Lima")</f>
      </c>
      <c r="N220">
        <v>17.6</v>
      </c>
      <c r="O220">
        <v>100</v>
      </c>
      <c r="P220">
        <v>3177.6</v>
      </c>
      <c r="Q220" t="str">
        <v>117.48</v>
      </c>
      <c r="R220" t="str">
        <v>Salió de zona</v>
      </c>
      <c r="S220" t="str">
        <v>MASS BSF 1</v>
      </c>
      <c r="T220" t="str">
        <v xml:space="preserve"> </v>
      </c>
      <c r="U220" t="str">
        <v/>
      </c>
    </row>
    <row r="221">
      <c r="A221" t="str">
        <v>220</v>
      </c>
      <c r="B221" t="str">
        <v>MASS BSF</v>
      </c>
      <c r="C221" t="str">
        <v>F2F-768</v>
      </c>
      <c r="D221" t="str">
        <v>F2F-768</v>
      </c>
      <c r="E221" t="str">
        <v/>
      </c>
      <c r="F221" t="str">
        <v>867162029832136</v>
      </c>
      <c r="G221" t="str">
        <v>TBD</v>
      </c>
      <c r="H221" t="str">
        <v/>
      </c>
      <c r="I221" t="str">
        <v>28/09/2026</v>
      </c>
      <c r="J221" t="str">
        <v>15:41:38</v>
      </c>
      <c r="K221">
        <v>-12.317509</v>
      </c>
      <c r="L221">
        <v>-76.82996</v>
      </c>
      <c r="M221">
        <f>HYPERLINK("https://www.google.com/maps/search/?api=1&amp;query=-12.317509,-76.82996","Punta Hermosa, Lima")</f>
      </c>
      <c r="N221">
        <v>17.6</v>
      </c>
      <c r="O221">
        <v>100</v>
      </c>
      <c r="P221">
        <v>3177.8</v>
      </c>
      <c r="Q221" t="str">
        <v>117.42</v>
      </c>
      <c r="R221" t="str">
        <v/>
      </c>
      <c r="S221" t="str">
        <v/>
      </c>
      <c r="T221" t="str">
        <v/>
      </c>
      <c r="U221" t="str">
        <v/>
      </c>
    </row>
    <row r="222">
      <c r="A222" t="str">
        <v>221</v>
      </c>
      <c r="B222" t="str">
        <v>MASS BSF</v>
      </c>
      <c r="C222" t="str">
        <v>F2F-768</v>
      </c>
      <c r="D222" t="str">
        <v>F2F-768</v>
      </c>
      <c r="E222" t="str">
        <v/>
      </c>
      <c r="F222" t="str">
        <v>867162029832136</v>
      </c>
      <c r="G222" t="str">
        <v>TBD</v>
      </c>
      <c r="H222" t="str">
        <v/>
      </c>
      <c r="I222" t="str">
        <v>28/09/2026</v>
      </c>
      <c r="J222" t="str">
        <v>15:41:47</v>
      </c>
      <c r="K222">
        <v>-12.317331</v>
      </c>
      <c r="L222">
        <v>-76.83039</v>
      </c>
      <c r="M222">
        <f>HYPERLINK("https://www.google.com/maps/search/?api=1&amp;query=-12.317331,-76.83039","Carretera Panamericana Sur, Punta Hermosa, Lima")</f>
      </c>
      <c r="N222">
        <v>21.8</v>
      </c>
      <c r="O222">
        <v>100</v>
      </c>
      <c r="P222">
        <v>3177.9</v>
      </c>
      <c r="Q222" t="str">
        <v>117.42</v>
      </c>
      <c r="R222" t="str">
        <v/>
      </c>
      <c r="S222" t="str">
        <v/>
      </c>
      <c r="T222" t="str">
        <v/>
      </c>
      <c r="U222" t="str">
        <v/>
      </c>
    </row>
    <row r="223">
      <c r="A223" t="str">
        <v>222</v>
      </c>
      <c r="B223" t="str">
        <v>MASS BSF</v>
      </c>
      <c r="C223" t="str">
        <v>F2F-768</v>
      </c>
      <c r="D223" t="str">
        <v>F2F-768</v>
      </c>
      <c r="E223" t="str">
        <v/>
      </c>
      <c r="F223" t="str">
        <v>867162029832136</v>
      </c>
      <c r="G223" t="str">
        <v>TBD</v>
      </c>
      <c r="H223" t="str">
        <v/>
      </c>
      <c r="I223" t="str">
        <v>28/09/2026</v>
      </c>
      <c r="J223" t="str">
        <v>15:41:55</v>
      </c>
      <c r="K223">
        <v>-12.317077</v>
      </c>
      <c r="L223">
        <v>-76.830635</v>
      </c>
      <c r="M223">
        <f>HYPERLINK("https://www.google.com/maps/search/?api=1&amp;query=-12.317077,-76.830635","Carretera Panamericana Sur, Punta Hermosa, Lima")</f>
      </c>
      <c r="N223">
        <v>24.1</v>
      </c>
      <c r="O223">
        <v>100</v>
      </c>
      <c r="P223">
        <v>3177.9</v>
      </c>
      <c r="Q223" t="str">
        <v>117.42</v>
      </c>
      <c r="R223" t="str">
        <v/>
      </c>
      <c r="S223" t="str">
        <v/>
      </c>
      <c r="T223" t="str">
        <v/>
      </c>
      <c r="U223" t="str">
        <v/>
      </c>
    </row>
    <row r="224">
      <c r="A224" t="str">
        <v>223</v>
      </c>
      <c r="B224" t="str">
        <v>MASS BSF</v>
      </c>
      <c r="C224" t="str">
        <v>F2F-768</v>
      </c>
      <c r="D224" t="str">
        <v>F2F-768</v>
      </c>
      <c r="E224" t="str">
        <v/>
      </c>
      <c r="F224" t="str">
        <v>867162029832136</v>
      </c>
      <c r="G224" t="str">
        <v>TBD</v>
      </c>
      <c r="H224" t="str">
        <v/>
      </c>
      <c r="I224" t="str">
        <v>28/09/2026</v>
      </c>
      <c r="J224" t="str">
        <v>15:42:55</v>
      </c>
      <c r="K224">
        <v>-12.311242</v>
      </c>
      <c r="L224">
        <v>-76.8347</v>
      </c>
      <c r="M224">
        <f>HYPERLINK("https://www.google.com/maps/search/?api=1&amp;query=-12.311242,-76.8347","Carretera Panamericana Sur, Punta Hermosa, Lima")</f>
      </c>
      <c r="N224">
        <v>57.2</v>
      </c>
      <c r="O224">
        <v>100</v>
      </c>
      <c r="P224">
        <v>3178.7</v>
      </c>
      <c r="Q224" t="str">
        <v>117.42</v>
      </c>
      <c r="R224" t="str">
        <v/>
      </c>
      <c r="S224" t="str">
        <v/>
      </c>
      <c r="T224" t="str">
        <v/>
      </c>
      <c r="U224" t="str">
        <v/>
      </c>
    </row>
    <row r="225">
      <c r="A225" t="str">
        <v>224</v>
      </c>
      <c r="B225" t="str">
        <v>MASS BSF</v>
      </c>
      <c r="C225" t="str">
        <v>F2F-768</v>
      </c>
      <c r="D225" t="str">
        <v>F2F-768</v>
      </c>
      <c r="E225" t="str">
        <v/>
      </c>
      <c r="F225" t="str">
        <v>867162029832136</v>
      </c>
      <c r="G225" t="str">
        <v>TBD</v>
      </c>
      <c r="H225" t="str">
        <v/>
      </c>
      <c r="I225" t="str">
        <v>28/09/2026</v>
      </c>
      <c r="J225" t="str">
        <v>15:43:55</v>
      </c>
      <c r="K225">
        <v>-12.304783</v>
      </c>
      <c r="L225">
        <v>-76.839905</v>
      </c>
      <c r="M225">
        <f>HYPERLINK("https://www.google.com/maps/search/?api=1&amp;query=-12.304783,-76.839905","Carretera Panamericana Sur, Lurín, Lima")</f>
      </c>
      <c r="N225">
        <v>50.8</v>
      </c>
      <c r="O225">
        <v>100</v>
      </c>
      <c r="P225">
        <v>3179.6</v>
      </c>
      <c r="Q225" t="str">
        <v>117.42</v>
      </c>
      <c r="R225" t="str">
        <v/>
      </c>
      <c r="S225" t="str">
        <v/>
      </c>
      <c r="T225" t="str">
        <v/>
      </c>
      <c r="U225" t="str">
        <v/>
      </c>
    </row>
    <row r="226">
      <c r="A226" t="str">
        <v>225</v>
      </c>
      <c r="B226" t="str">
        <v>MASS BSF</v>
      </c>
      <c r="C226" t="str">
        <v>F2F-768</v>
      </c>
      <c r="D226" t="str">
        <v>F2F-768</v>
      </c>
      <c r="E226" t="str">
        <v/>
      </c>
      <c r="F226" t="str">
        <v>867162029832136</v>
      </c>
      <c r="G226" t="str">
        <v>TBD</v>
      </c>
      <c r="H226" t="str">
        <v/>
      </c>
      <c r="I226" t="str">
        <v>28/09/2026</v>
      </c>
      <c r="J226" t="str">
        <v>15:44:55</v>
      </c>
      <c r="K226">
        <v>-12.300886</v>
      </c>
      <c r="L226">
        <v>-76.847015</v>
      </c>
      <c r="M226">
        <f>HYPERLINK("https://www.google.com/maps/search/?api=1&amp;query=-12.300886,-76.847015","Carretera Panamericana Sur, Lurín, Lima")</f>
      </c>
      <c r="N226">
        <v>57.6</v>
      </c>
      <c r="O226">
        <v>100</v>
      </c>
      <c r="P226">
        <v>3180.5</v>
      </c>
      <c r="Q226" t="str">
        <v>117.42</v>
      </c>
      <c r="R226" t="str">
        <v/>
      </c>
      <c r="S226" t="str">
        <v/>
      </c>
      <c r="T226" t="str">
        <v/>
      </c>
      <c r="U226" t="str">
        <v/>
      </c>
    </row>
    <row r="227">
      <c r="A227" t="str">
        <v>226</v>
      </c>
      <c r="B227" t="str">
        <v>MASS BSF</v>
      </c>
      <c r="C227" t="str">
        <v>F2F-768</v>
      </c>
      <c r="D227" t="str">
        <v>F2F-768</v>
      </c>
      <c r="E227" t="str">
        <v/>
      </c>
      <c r="F227" t="str">
        <v>867162029832136</v>
      </c>
      <c r="G227" t="str">
        <v>TBD</v>
      </c>
      <c r="H227" t="str">
        <v/>
      </c>
      <c r="I227" t="str">
        <v>28/09/2026</v>
      </c>
      <c r="J227" t="str">
        <v>15:45:55</v>
      </c>
      <c r="K227">
        <v>-12.297572</v>
      </c>
      <c r="L227">
        <v>-76.854515</v>
      </c>
      <c r="M227">
        <f>HYPERLINK("https://www.google.com/maps/search/?api=1&amp;query=-12.297572,-76.854515","Carretera Panamericana Sur, Lurín, Lima")</f>
      </c>
      <c r="N227">
        <v>50.9</v>
      </c>
      <c r="O227">
        <v>100</v>
      </c>
      <c r="P227">
        <v>3181.4</v>
      </c>
      <c r="Q227" t="str">
        <v>117.42</v>
      </c>
      <c r="R227" t="str">
        <v/>
      </c>
      <c r="S227" t="str">
        <v/>
      </c>
      <c r="T227" t="str">
        <v/>
      </c>
      <c r="U227" t="str">
        <v/>
      </c>
    </row>
    <row r="228">
      <c r="A228" t="str">
        <v>227</v>
      </c>
      <c r="B228" t="str">
        <v>MASS BSF</v>
      </c>
      <c r="C228" t="str">
        <v>F2F-768</v>
      </c>
      <c r="D228" t="str">
        <v>F2F-768</v>
      </c>
      <c r="E228" t="str">
        <v/>
      </c>
      <c r="F228" t="str">
        <v>867162029832136</v>
      </c>
      <c r="G228" t="str">
        <v>TBD</v>
      </c>
      <c r="H228" t="str">
        <v/>
      </c>
      <c r="I228" t="str">
        <v>28/09/2026</v>
      </c>
      <c r="J228" t="str">
        <v>15:46:55</v>
      </c>
      <c r="K228">
        <v>-12.294167</v>
      </c>
      <c r="L228">
        <v>-76.860985</v>
      </c>
      <c r="M228">
        <f>HYPERLINK("https://www.google.com/maps/search/?api=1&amp;query=-12.294167,-76.860985","Carretera Panamericana Sur, Lurín, Lima")</f>
      </c>
      <c r="N228">
        <v>50.1</v>
      </c>
      <c r="O228">
        <v>100</v>
      </c>
      <c r="P228">
        <v>3182.2</v>
      </c>
      <c r="Q228" t="str">
        <v>117.42</v>
      </c>
      <c r="R228" t="str">
        <v/>
      </c>
      <c r="S228" t="str">
        <v/>
      </c>
      <c r="T228" t="str">
        <v/>
      </c>
      <c r="U228" t="str">
        <v/>
      </c>
    </row>
    <row r="229">
      <c r="A229" t="str">
        <v>228</v>
      </c>
      <c r="B229" t="str">
        <v>MASS BSF</v>
      </c>
      <c r="C229" t="str">
        <v>F2F-768</v>
      </c>
      <c r="D229" t="str">
        <v>F2F-768</v>
      </c>
      <c r="E229" t="str">
        <v/>
      </c>
      <c r="F229" t="str">
        <v>867162029832136</v>
      </c>
      <c r="G229" t="str">
        <v>TBD</v>
      </c>
      <c r="H229" t="str">
        <v/>
      </c>
      <c r="I229" t="str">
        <v>28/09/2026</v>
      </c>
      <c r="J229" t="str">
        <v>15:47:55</v>
      </c>
      <c r="K229">
        <v>-12.290352</v>
      </c>
      <c r="L229">
        <v>-76.867065</v>
      </c>
      <c r="M229">
        <f>HYPERLINK("https://www.google.com/maps/search/?api=1&amp;query=-12.290352,-76.867065","Carretera Panamericana Sur, Lurín, Lima")</f>
      </c>
      <c r="N229">
        <v>54.9</v>
      </c>
      <c r="O229">
        <v>100</v>
      </c>
      <c r="P229">
        <v>3183</v>
      </c>
      <c r="Q229" t="str">
        <v>117.42</v>
      </c>
      <c r="R229" t="str">
        <v/>
      </c>
      <c r="S229" t="str">
        <v/>
      </c>
      <c r="T229" t="str">
        <v/>
      </c>
      <c r="U229" t="str">
        <v/>
      </c>
    </row>
    <row r="230">
      <c r="A230" t="str">
        <v>229</v>
      </c>
      <c r="B230" t="str">
        <v>MASS BSF</v>
      </c>
      <c r="C230" t="str">
        <v>F2F-768</v>
      </c>
      <c r="D230" t="str">
        <v>F2F-768</v>
      </c>
      <c r="E230" t="str">
        <v/>
      </c>
      <c r="F230" t="str">
        <v>867162029832136</v>
      </c>
      <c r="G230" t="str">
        <v>TBD</v>
      </c>
      <c r="H230" t="str">
        <v/>
      </c>
      <c r="I230" t="str">
        <v>28/09/2026</v>
      </c>
      <c r="J230" t="str">
        <v>15:48:56</v>
      </c>
      <c r="K230">
        <v>-12.286176</v>
      </c>
      <c r="L230">
        <v>-76.87372</v>
      </c>
      <c r="M230">
        <f>HYPERLINK("https://www.google.com/maps/search/?api=1&amp;query=-12.286176,-76.87372","Carretera Panamericana Sur, Lurín, Lima")</f>
      </c>
      <c r="N230">
        <v>59.4</v>
      </c>
      <c r="O230">
        <v>100</v>
      </c>
      <c r="P230">
        <v>3183.9</v>
      </c>
      <c r="Q230" t="str">
        <v>117.42</v>
      </c>
      <c r="R230" t="str">
        <v/>
      </c>
      <c r="S230" t="str">
        <v/>
      </c>
      <c r="T230" t="str">
        <v/>
      </c>
      <c r="U230" t="str">
        <v/>
      </c>
    </row>
    <row r="231">
      <c r="A231" t="str">
        <v>230</v>
      </c>
      <c r="B231" t="str">
        <v>MASS BSF</v>
      </c>
      <c r="C231" t="str">
        <v>F2F-768</v>
      </c>
      <c r="D231" t="str">
        <v>F2F-768</v>
      </c>
      <c r="E231" t="str">
        <v/>
      </c>
      <c r="F231" t="str">
        <v>867162029832136</v>
      </c>
      <c r="G231" t="str">
        <v>TBD</v>
      </c>
      <c r="H231" t="str">
        <v/>
      </c>
      <c r="I231" t="str">
        <v>28/09/2026</v>
      </c>
      <c r="J231" t="str">
        <v>15:49:56</v>
      </c>
      <c r="K231">
        <v>-12.280993</v>
      </c>
      <c r="L231">
        <v>-76.88197</v>
      </c>
      <c r="M231">
        <f>HYPERLINK("https://www.google.com/maps/search/?api=1&amp;query=-12.280993,-76.88197","Carretera Panamericana Sur, Lurín, Lima")</f>
      </c>
      <c r="N231">
        <v>64.4</v>
      </c>
      <c r="O231">
        <v>100</v>
      </c>
      <c r="P231">
        <v>3184.9</v>
      </c>
      <c r="Q231" t="str">
        <v>117.42</v>
      </c>
      <c r="R231" t="str">
        <v/>
      </c>
      <c r="S231" t="str">
        <v/>
      </c>
      <c r="T231" t="str">
        <v/>
      </c>
      <c r="U231" t="str">
        <v/>
      </c>
    </row>
    <row r="232">
      <c r="A232" t="str">
        <v>231</v>
      </c>
      <c r="B232" t="str">
        <v>MASS BSF</v>
      </c>
      <c r="C232" t="str">
        <v>F2F-768</v>
      </c>
      <c r="D232" t="str">
        <v>F2F-768</v>
      </c>
      <c r="E232" t="str">
        <v/>
      </c>
      <c r="F232" t="str">
        <v>867162029832136</v>
      </c>
      <c r="G232" t="str">
        <v>TBD</v>
      </c>
      <c r="H232" t="str">
        <v/>
      </c>
      <c r="I232" t="str">
        <v>28/09/2026</v>
      </c>
      <c r="J232" t="str">
        <v>15:50:56</v>
      </c>
      <c r="K232">
        <v>-12.275592</v>
      </c>
      <c r="L232">
        <v>-76.890594</v>
      </c>
      <c r="M232">
        <f>HYPERLINK("https://www.google.com/maps/search/?api=1&amp;query=-12.275592,-76.890594","Carretera Panamericana Sur, Lurín, Lima")</f>
      </c>
      <c r="N232">
        <v>66</v>
      </c>
      <c r="O232">
        <v>100</v>
      </c>
      <c r="P232">
        <v>3186</v>
      </c>
      <c r="Q232" t="str">
        <v>117.42</v>
      </c>
      <c r="R232" t="str">
        <v/>
      </c>
      <c r="S232" t="str">
        <v/>
      </c>
      <c r="T232" t="str">
        <v/>
      </c>
      <c r="U232" t="str">
        <v/>
      </c>
    </row>
    <row r="233">
      <c r="A233" t="str">
        <v>232</v>
      </c>
      <c r="B233" t="str">
        <v>MASS BSF</v>
      </c>
      <c r="C233" t="str">
        <v>F2F-768</v>
      </c>
      <c r="D233" t="str">
        <v>F2F-768</v>
      </c>
      <c r="E233" t="str">
        <v/>
      </c>
      <c r="F233" t="str">
        <v>867162029832136</v>
      </c>
      <c r="G233" t="str">
        <v>TBD</v>
      </c>
      <c r="H233" t="str">
        <v/>
      </c>
      <c r="I233" t="str">
        <v>28/09/2026</v>
      </c>
      <c r="J233" t="str">
        <v>15:51:56</v>
      </c>
      <c r="K233">
        <v>-12.270288</v>
      </c>
      <c r="L233">
        <v>-76.89903</v>
      </c>
      <c r="M233">
        <f>HYPERLINK("https://www.google.com/maps/search/?api=1&amp;query=-12.270288,-76.89903","Carretera Panamericana Sur, Lurín, Lima")</f>
      </c>
      <c r="N233">
        <v>69.5</v>
      </c>
      <c r="O233">
        <v>100</v>
      </c>
      <c r="P233">
        <v>3187.1</v>
      </c>
      <c r="Q233" t="str">
        <v>117.42</v>
      </c>
      <c r="R233" t="str">
        <v/>
      </c>
      <c r="S233" t="str">
        <v/>
      </c>
      <c r="T233" t="str">
        <v/>
      </c>
      <c r="U233" t="str">
        <v/>
      </c>
    </row>
    <row r="234">
      <c r="A234" t="str">
        <v>233</v>
      </c>
      <c r="B234" t="str">
        <v>MASS BSF</v>
      </c>
      <c r="C234" t="str">
        <v>F2F-768</v>
      </c>
      <c r="D234" t="str">
        <v>F2F-768</v>
      </c>
      <c r="E234" t="str">
        <v/>
      </c>
      <c r="F234" t="str">
        <v>867162029832136</v>
      </c>
      <c r="G234" t="str">
        <v>TBD</v>
      </c>
      <c r="H234" t="str">
        <v/>
      </c>
      <c r="I234" t="str">
        <v>28/09/2026</v>
      </c>
      <c r="J234" t="str">
        <v>15:52:56</v>
      </c>
      <c r="K234">
        <v>-12.265073</v>
      </c>
      <c r="L234">
        <v>-76.9073</v>
      </c>
      <c r="M234">
        <f>HYPERLINK("https://www.google.com/maps/search/?api=1&amp;query=-12.265073,-76.9073","Carretera Panamericana Sur, Lurín, Lima")</f>
      </c>
      <c r="N234">
        <v>61.8</v>
      </c>
      <c r="O234">
        <v>100</v>
      </c>
      <c r="P234">
        <v>3188.2</v>
      </c>
      <c r="Q234" t="str">
        <v>117.42</v>
      </c>
      <c r="R234" t="str">
        <v/>
      </c>
      <c r="S234" t="str">
        <v/>
      </c>
      <c r="T234" t="str">
        <v/>
      </c>
      <c r="U234" t="str">
        <v/>
      </c>
    </row>
    <row r="235">
      <c r="A235" t="str">
        <v>234</v>
      </c>
      <c r="B235" t="str">
        <v>MASS BSF</v>
      </c>
      <c r="C235" t="str">
        <v>F2F-768</v>
      </c>
      <c r="D235" t="str">
        <v>F2F-768</v>
      </c>
      <c r="E235" t="str">
        <v/>
      </c>
      <c r="F235" t="str">
        <v>867162029832136</v>
      </c>
      <c r="G235" t="str">
        <v>TBD</v>
      </c>
      <c r="H235" t="str">
        <v/>
      </c>
      <c r="I235" t="str">
        <v>28/09/2026</v>
      </c>
      <c r="J235" t="str">
        <v>15:53:56</v>
      </c>
      <c r="K235">
        <v>-12.259765</v>
      </c>
      <c r="L235">
        <v>-76.915726</v>
      </c>
      <c r="M235">
        <f>HYPERLINK("https://www.google.com/maps/search/?api=1&amp;query=-12.259765,-76.915726","Carretera Panamericana Sur, Lurín, Lima")</f>
      </c>
      <c r="N235">
        <v>67.3</v>
      </c>
      <c r="O235">
        <v>100</v>
      </c>
      <c r="P235">
        <v>3189.3</v>
      </c>
      <c r="Q235" t="str">
        <v>117.42</v>
      </c>
      <c r="R235" t="str">
        <v/>
      </c>
      <c r="S235" t="str">
        <v/>
      </c>
      <c r="T235" t="str">
        <v/>
      </c>
      <c r="U235" t="str">
        <v/>
      </c>
    </row>
    <row r="236">
      <c r="A236" t="str">
        <v>235</v>
      </c>
      <c r="B236" t="str">
        <v>MASS BSF</v>
      </c>
      <c r="C236" t="str">
        <v>F2F-768</v>
      </c>
      <c r="D236" t="str">
        <v>F2F-768</v>
      </c>
      <c r="E236" t="str">
        <v/>
      </c>
      <c r="F236" t="str">
        <v>867162029832136</v>
      </c>
      <c r="G236" t="str">
        <v>TBD</v>
      </c>
      <c r="H236" t="str">
        <v/>
      </c>
      <c r="I236" t="str">
        <v>28/09/2026</v>
      </c>
      <c r="J236" t="str">
        <v>15:54:41</v>
      </c>
      <c r="K236">
        <v>-12.255712</v>
      </c>
      <c r="L236">
        <v>-76.92093</v>
      </c>
      <c r="M236">
        <f>HYPERLINK("https://www.google.com/maps/search/?api=1&amp;query=-12.255712,-76.92093","Lurín, Lima")</f>
      </c>
      <c r="N236">
        <v>28.9</v>
      </c>
      <c r="O236">
        <v>100</v>
      </c>
      <c r="P236">
        <v>3190</v>
      </c>
      <c r="Q236" t="str">
        <v>117.42</v>
      </c>
      <c r="R236" t="str">
        <v/>
      </c>
      <c r="S236" t="str">
        <v/>
      </c>
      <c r="T236" t="str">
        <v/>
      </c>
      <c r="U236" t="str">
        <v/>
      </c>
    </row>
    <row r="237">
      <c r="A237" t="str">
        <v>236</v>
      </c>
      <c r="B237" t="str">
        <v>MASS BSF</v>
      </c>
      <c r="C237" t="str">
        <v>F2F-768</v>
      </c>
      <c r="D237" t="str">
        <v>F2F-768</v>
      </c>
      <c r="E237" t="str">
        <v/>
      </c>
      <c r="F237" t="str">
        <v>867162029832136</v>
      </c>
      <c r="G237" t="str">
        <v>TBD</v>
      </c>
      <c r="H237" t="str">
        <v/>
      </c>
      <c r="I237" t="str">
        <v>28/09/2026</v>
      </c>
      <c r="J237" t="str">
        <v>15:54:56</v>
      </c>
      <c r="K237">
        <v>-12.255118</v>
      </c>
      <c r="L237">
        <v>-76.92081</v>
      </c>
      <c r="M237">
        <f>HYPERLINK("https://www.google.com/maps/search/?api=1&amp;query=-12.255118,-76.92081","Lurín, Lima")</f>
      </c>
      <c r="N237">
        <v>25.7</v>
      </c>
      <c r="O237">
        <v>100</v>
      </c>
      <c r="P237">
        <v>3190.1</v>
      </c>
      <c r="Q237" t="str">
        <v>117.42</v>
      </c>
      <c r="R237" t="str">
        <v/>
      </c>
      <c r="S237" t="str">
        <v/>
      </c>
      <c r="T237" t="str">
        <v/>
      </c>
      <c r="U237" t="str">
        <v/>
      </c>
    </row>
    <row r="238">
      <c r="A238" t="str">
        <v>237</v>
      </c>
      <c r="B238" t="str">
        <v>MASS BSF</v>
      </c>
      <c r="C238" t="str">
        <v>F2F-768</v>
      </c>
      <c r="D238" t="str">
        <v>F2F-768</v>
      </c>
      <c r="E238" t="str">
        <v/>
      </c>
      <c r="F238" t="str">
        <v>867162029832136</v>
      </c>
      <c r="G238" t="str">
        <v>TBD</v>
      </c>
      <c r="H238" t="str">
        <v/>
      </c>
      <c r="I238" t="str">
        <v>28/09/2026</v>
      </c>
      <c r="J238" t="str">
        <v>15:54:59</v>
      </c>
      <c r="K238">
        <v>-12.254774</v>
      </c>
      <c r="L238">
        <v>-76.92059</v>
      </c>
      <c r="M238">
        <f>HYPERLINK("https://www.google.com/maps/search/?api=1&amp;query=-12.254774,-76.92059","Lurín, Lima")</f>
      </c>
      <c r="N238">
        <v>26.9</v>
      </c>
      <c r="O238">
        <v>100</v>
      </c>
      <c r="P238">
        <v>3190.2</v>
      </c>
      <c r="Q238" t="str">
        <v>117.42</v>
      </c>
      <c r="R238" t="str">
        <v/>
      </c>
      <c r="S238" t="str">
        <v/>
      </c>
      <c r="T238" t="str">
        <v/>
      </c>
      <c r="U238" t="str">
        <v/>
      </c>
    </row>
    <row r="239">
      <c r="A239" t="str">
        <v>238</v>
      </c>
      <c r="B239" t="str">
        <v>MASS BSF</v>
      </c>
      <c r="C239" t="str">
        <v>F2F-768</v>
      </c>
      <c r="D239" t="str">
        <v>F2F-768</v>
      </c>
      <c r="E239" t="str">
        <v/>
      </c>
      <c r="F239" t="str">
        <v>867162029832136</v>
      </c>
      <c r="G239" t="str">
        <v>TBD</v>
      </c>
      <c r="H239" t="str">
        <v/>
      </c>
      <c r="I239" t="str">
        <v>28/09/2026</v>
      </c>
      <c r="J239" t="str">
        <v>15:55:14</v>
      </c>
      <c r="K239">
        <v>-12.254318</v>
      </c>
      <c r="L239">
        <v>-76.92023</v>
      </c>
      <c r="M239">
        <f>HYPERLINK("https://www.google.com/maps/search/?api=1&amp;query=-12.254318,-76.92023","Antigua Panamericana Sur, Lurín, Lima")</f>
      </c>
      <c r="N239">
        <v>6.9</v>
      </c>
      <c r="O239">
        <v>100</v>
      </c>
      <c r="P239">
        <v>3190.2</v>
      </c>
      <c r="Q239" t="str">
        <v>117.42</v>
      </c>
      <c r="R239" t="str">
        <v/>
      </c>
      <c r="S239" t="str">
        <v/>
      </c>
      <c r="T239" t="str">
        <v/>
      </c>
      <c r="U239" t="str">
        <v/>
      </c>
    </row>
    <row r="240">
      <c r="A240" t="str">
        <v>239</v>
      </c>
      <c r="B240" t="str">
        <v>MASS BSF</v>
      </c>
      <c r="C240" t="str">
        <v>F2F-768</v>
      </c>
      <c r="D240" t="str">
        <v>F2F-768</v>
      </c>
      <c r="E240" t="str">
        <v/>
      </c>
      <c r="F240" t="str">
        <v>867162029832136</v>
      </c>
      <c r="G240" t="str">
        <v>TBD</v>
      </c>
      <c r="H240" t="str">
        <v/>
      </c>
      <c r="I240" t="str">
        <v>28/09/2026</v>
      </c>
      <c r="J240" t="str">
        <v>15:55:23</v>
      </c>
      <c r="K240">
        <v>-12.254229</v>
      </c>
      <c r="L240">
        <v>-76.92033</v>
      </c>
      <c r="M240">
        <f>HYPERLINK("https://www.google.com/maps/search/?api=1&amp;query=-12.254229,-76.92033","Antigua Panamericana Sur, Lurín, Lima")</f>
      </c>
      <c r="N240">
        <v>14.7</v>
      </c>
      <c r="O240">
        <v>100</v>
      </c>
      <c r="P240">
        <v>3190.2</v>
      </c>
      <c r="Q240" t="str">
        <v>117.42</v>
      </c>
      <c r="R240" t="str">
        <v/>
      </c>
      <c r="S240" t="str">
        <v/>
      </c>
      <c r="T240" t="str">
        <v/>
      </c>
      <c r="U240" t="str">
        <v/>
      </c>
    </row>
    <row r="241">
      <c r="A241" t="str">
        <v>240</v>
      </c>
      <c r="B241" t="str">
        <v>MASS BSF</v>
      </c>
      <c r="C241" t="str">
        <v>F2F-768</v>
      </c>
      <c r="D241" t="str">
        <v>F2F-768</v>
      </c>
      <c r="E241" t="str">
        <v/>
      </c>
      <c r="F241" t="str">
        <v>867162029832136</v>
      </c>
      <c r="G241" t="str">
        <v>TBD</v>
      </c>
      <c r="H241" t="str">
        <v/>
      </c>
      <c r="I241" t="str">
        <v>28/09/2026</v>
      </c>
      <c r="J241" t="str">
        <v>15:55:56</v>
      </c>
      <c r="K241">
        <v>-12.253897</v>
      </c>
      <c r="L241">
        <v>-76.92284</v>
      </c>
      <c r="M241">
        <f>HYPERLINK("https://www.google.com/maps/search/?api=1&amp;query=-12.253897,-76.92284","Antigua Panamericana Sur, Lurín, Lima")</f>
      </c>
      <c r="N241">
        <v>31.4</v>
      </c>
      <c r="O241">
        <v>100</v>
      </c>
      <c r="P241">
        <v>3190.5</v>
      </c>
      <c r="Q241" t="str">
        <v>117.42</v>
      </c>
      <c r="R241" t="str">
        <v/>
      </c>
      <c r="S241" t="str">
        <v/>
      </c>
      <c r="T241" t="str">
        <v/>
      </c>
      <c r="U241" t="str">
        <v/>
      </c>
    </row>
    <row r="242">
      <c r="A242" t="str">
        <v>241</v>
      </c>
      <c r="B242" t="str">
        <v>MASS BSF</v>
      </c>
      <c r="C242" t="str">
        <v>F2F-768</v>
      </c>
      <c r="D242" t="str">
        <v>F2F-768</v>
      </c>
      <c r="E242" t="str">
        <v/>
      </c>
      <c r="F242" t="str">
        <v>867162029832136</v>
      </c>
      <c r="G242" t="str">
        <v>TBD</v>
      </c>
      <c r="H242" t="str">
        <v/>
      </c>
      <c r="I242" t="str">
        <v>28/09/2026</v>
      </c>
      <c r="J242" t="str">
        <v>15:56:56</v>
      </c>
      <c r="K242">
        <v>-12.252505</v>
      </c>
      <c r="L242">
        <v>-76.927345</v>
      </c>
      <c r="M242">
        <f>HYPERLINK("https://www.google.com/maps/search/?api=1&amp;query=-12.252505,-76.927345","Antigua Panamericana Sur, Lurín, Lima")</f>
      </c>
      <c r="N242">
        <v>35.4</v>
      </c>
      <c r="O242">
        <v>100</v>
      </c>
      <c r="P242">
        <v>3191</v>
      </c>
      <c r="Q242" t="str">
        <v>117.42</v>
      </c>
      <c r="R242" t="str">
        <v/>
      </c>
      <c r="S242" t="str">
        <v/>
      </c>
      <c r="T242" t="str">
        <v/>
      </c>
      <c r="U242" t="str">
        <v/>
      </c>
    </row>
    <row r="243">
      <c r="A243" t="str">
        <v>242</v>
      </c>
      <c r="B243" t="str">
        <v>MASS BSF</v>
      </c>
      <c r="C243" t="str">
        <v>F2F-768</v>
      </c>
      <c r="D243" t="str">
        <v>F2F-768</v>
      </c>
      <c r="E243" t="str">
        <v/>
      </c>
      <c r="F243" t="str">
        <v>867162029832136</v>
      </c>
      <c r="G243" t="str">
        <v>TBD</v>
      </c>
      <c r="H243" t="str">
        <v/>
      </c>
      <c r="I243" t="str">
        <v>28/09/2026</v>
      </c>
      <c r="J243" t="str">
        <v>15:57:56</v>
      </c>
      <c r="K243">
        <v>-12.249667</v>
      </c>
      <c r="L243">
        <v>-76.93108</v>
      </c>
      <c r="M243">
        <f>HYPERLINK("https://www.google.com/maps/search/?api=1&amp;query=-12.249667,-76.93108","Antigua Panamericana Sur, Villa El Salvador, Lima")</f>
      </c>
      <c r="N243">
        <v>35.2</v>
      </c>
      <c r="O243">
        <v>100</v>
      </c>
      <c r="P243">
        <v>3191.5</v>
      </c>
      <c r="Q243" t="str">
        <v>117.42</v>
      </c>
      <c r="R243" t="str">
        <v/>
      </c>
      <c r="S243" t="str">
        <v/>
      </c>
      <c r="T243" t="str">
        <v/>
      </c>
      <c r="U243" t="str">
        <v/>
      </c>
    </row>
    <row r="244">
      <c r="A244" t="str">
        <v>243</v>
      </c>
      <c r="B244" t="str">
        <v>MASS BSF</v>
      </c>
      <c r="C244" t="str">
        <v>F2F-768</v>
      </c>
      <c r="D244" t="str">
        <v>F2F-768</v>
      </c>
      <c r="E244" t="str">
        <v/>
      </c>
      <c r="F244" t="str">
        <v>867162029832136</v>
      </c>
      <c r="G244" t="str">
        <v>TBD</v>
      </c>
      <c r="H244" t="str">
        <v/>
      </c>
      <c r="I244" t="str">
        <v>28/09/2026</v>
      </c>
      <c r="J244" t="str">
        <v>15:58:56</v>
      </c>
      <c r="K244">
        <v>-12.246774</v>
      </c>
      <c r="L244">
        <v>-76.93504</v>
      </c>
      <c r="M244">
        <f>HYPERLINK("https://www.google.com/maps/search/?api=1&amp;query=-12.246774,-76.93504","Antigua Panamericana Sur, Villa El Salvador, Lima")</f>
      </c>
      <c r="N244">
        <v>42.3</v>
      </c>
      <c r="O244">
        <v>100</v>
      </c>
      <c r="P244">
        <v>3192.1</v>
      </c>
      <c r="Q244" t="str">
        <v>117.42</v>
      </c>
      <c r="R244" t="str">
        <v/>
      </c>
      <c r="S244" t="str">
        <v/>
      </c>
      <c r="T244" t="str">
        <v/>
      </c>
      <c r="U244" t="str">
        <v/>
      </c>
    </row>
    <row r="245">
      <c r="A245" t="str">
        <v>244</v>
      </c>
      <c r="B245" t="str">
        <v>MASS BSF</v>
      </c>
      <c r="C245" t="str">
        <v>F2F-768</v>
      </c>
      <c r="D245" t="str">
        <v>F2F-768</v>
      </c>
      <c r="E245" t="str">
        <v/>
      </c>
      <c r="F245" t="str">
        <v>867162029832136</v>
      </c>
      <c r="G245" t="str">
        <v>TBD</v>
      </c>
      <c r="H245" t="str">
        <v/>
      </c>
      <c r="I245" t="str">
        <v>28/09/2026</v>
      </c>
      <c r="J245" t="str">
        <v>15:59:56</v>
      </c>
      <c r="K245">
        <v>-12.244176</v>
      </c>
      <c r="L245">
        <v>-76.940094</v>
      </c>
      <c r="M245">
        <f>HYPERLINK("https://www.google.com/maps/search/?api=1&amp;query=-12.244176,-76.940094","Antigua Panamericana Sur, Villa El Salvador, Lima")</f>
      </c>
      <c r="N245">
        <v>36.9</v>
      </c>
      <c r="O245">
        <v>100</v>
      </c>
      <c r="P245">
        <v>3192.7</v>
      </c>
      <c r="Q245" t="str">
        <v>117.42</v>
      </c>
      <c r="R245" t="str">
        <v/>
      </c>
      <c r="S245" t="str">
        <v/>
      </c>
      <c r="T245" t="str">
        <v/>
      </c>
      <c r="U245" t="str">
        <v/>
      </c>
    </row>
    <row r="246">
      <c r="A246" t="str">
        <v>245</v>
      </c>
      <c r="B246" t="str">
        <v>MASS BSF</v>
      </c>
      <c r="C246" t="str">
        <v>F2F-768</v>
      </c>
      <c r="D246" t="str">
        <v>F2F-768</v>
      </c>
      <c r="E246" t="str">
        <v/>
      </c>
      <c r="F246" t="str">
        <v>867162029832136</v>
      </c>
      <c r="G246" t="str">
        <v>TBD</v>
      </c>
      <c r="H246" t="str">
        <v/>
      </c>
      <c r="I246" t="str">
        <v>28/09/2026</v>
      </c>
      <c r="J246" t="str">
        <v>16:00:56</v>
      </c>
      <c r="K246">
        <v>-12.241949</v>
      </c>
      <c r="L246">
        <v>-76.94426</v>
      </c>
      <c r="M246">
        <f>HYPERLINK("https://www.google.com/maps/search/?api=1&amp;query=-12.241949,-76.94426","Antigua Panamericana Sur, Villa El Salvador, Lima")</f>
      </c>
      <c r="N246">
        <v>29.7</v>
      </c>
      <c r="O246">
        <v>100</v>
      </c>
      <c r="P246">
        <v>3193.2</v>
      </c>
      <c r="Q246" t="str">
        <v>117.42</v>
      </c>
      <c r="R246" t="str">
        <v/>
      </c>
      <c r="S246" t="str">
        <v/>
      </c>
      <c r="T246" t="str">
        <v/>
      </c>
      <c r="U246" t="str">
        <v/>
      </c>
    </row>
    <row r="247">
      <c r="A247" t="str">
        <v>246</v>
      </c>
      <c r="B247" t="str">
        <v>MASS BSF</v>
      </c>
      <c r="C247" t="str">
        <v>F2F-768</v>
      </c>
      <c r="D247" t="str">
        <v>F2F-768</v>
      </c>
      <c r="E247" t="str">
        <v/>
      </c>
      <c r="F247" t="str">
        <v>867162029832136</v>
      </c>
      <c r="G247" t="str">
        <v>TBD</v>
      </c>
      <c r="H247" t="str">
        <v/>
      </c>
      <c r="I247" t="str">
        <v>28/09/2026</v>
      </c>
      <c r="J247" t="str">
        <v>16:01:56</v>
      </c>
      <c r="K247">
        <v>-12.238813</v>
      </c>
      <c r="L247">
        <v>-76.95054</v>
      </c>
      <c r="M247">
        <f>HYPERLINK("https://www.google.com/maps/search/?api=1&amp;query=-12.238813,-76.95054","Antigua Panamericana Sur, Villa El Salvador, Lima")</f>
      </c>
      <c r="N247">
        <v>47.7</v>
      </c>
      <c r="O247">
        <v>100</v>
      </c>
      <c r="P247">
        <v>3194</v>
      </c>
      <c r="Q247" t="str">
        <v>117.42</v>
      </c>
      <c r="R247" t="str">
        <v/>
      </c>
      <c r="S247" t="str">
        <v/>
      </c>
      <c r="T247" t="str">
        <v/>
      </c>
      <c r="U247" t="str">
        <v/>
      </c>
    </row>
    <row r="248">
      <c r="A248" t="str">
        <v>247</v>
      </c>
      <c r="B248" t="str">
        <v>MASS BSF</v>
      </c>
      <c r="C248" t="str">
        <v>F2F-768</v>
      </c>
      <c r="D248" t="str">
        <v>F2F-768</v>
      </c>
      <c r="E248" t="str">
        <v/>
      </c>
      <c r="F248" t="str">
        <v>867162029832136</v>
      </c>
      <c r="G248" t="str">
        <v>TBD</v>
      </c>
      <c r="H248" t="str">
        <v/>
      </c>
      <c r="I248" t="str">
        <v>28/09/2026</v>
      </c>
      <c r="J248" t="str">
        <v>16:02:56</v>
      </c>
      <c r="K248">
        <v>-12.23611</v>
      </c>
      <c r="L248">
        <v>-76.955666</v>
      </c>
      <c r="M248">
        <f>HYPERLINK("https://www.google.com/maps/search/?api=1&amp;query=-12.23611,-76.955666","Antigua Panamericana Sur, Villa El Salvador, Lima")</f>
      </c>
      <c r="N248">
        <v>40.9</v>
      </c>
      <c r="O248">
        <v>100</v>
      </c>
      <c r="P248">
        <v>3194.6</v>
      </c>
      <c r="Q248" t="str">
        <v>117.42</v>
      </c>
      <c r="R248" t="str">
        <v/>
      </c>
      <c r="S248" t="str">
        <v/>
      </c>
      <c r="T248" t="str">
        <v/>
      </c>
      <c r="U248" t="str">
        <v/>
      </c>
    </row>
    <row r="249">
      <c r="A249" t="str">
        <v>248</v>
      </c>
      <c r="B249" t="str">
        <v>MASS BSF</v>
      </c>
      <c r="C249" t="str">
        <v>F2F-768</v>
      </c>
      <c r="D249" t="str">
        <v>F2F-768</v>
      </c>
      <c r="E249" t="str">
        <v/>
      </c>
      <c r="F249" t="str">
        <v>867162029832136</v>
      </c>
      <c r="G249" t="str">
        <v>TBD</v>
      </c>
      <c r="H249" t="str">
        <v/>
      </c>
      <c r="I249" t="str">
        <v>28/09/2026</v>
      </c>
      <c r="J249" t="str">
        <v>16:03:56</v>
      </c>
      <c r="K249">
        <v>-12.23331</v>
      </c>
      <c r="L249">
        <v>-76.96117</v>
      </c>
      <c r="M249">
        <f>HYPERLINK("https://www.google.com/maps/search/?api=1&amp;query=-12.23331,-76.96117","Antigua Panamericana Sur, Villa El Salvador, Lima")</f>
      </c>
      <c r="N249">
        <v>30.4</v>
      </c>
      <c r="O249">
        <v>100</v>
      </c>
      <c r="P249">
        <v>3195.3</v>
      </c>
      <c r="Q249" t="str">
        <v>117.42</v>
      </c>
      <c r="R249" t="str">
        <v/>
      </c>
      <c r="S249" t="str">
        <v/>
      </c>
      <c r="T249" t="str">
        <v/>
      </c>
      <c r="U249" t="str">
        <v/>
      </c>
    </row>
    <row r="250">
      <c r="A250" t="str">
        <v>249</v>
      </c>
      <c r="B250" t="str">
        <v>MASS BSF</v>
      </c>
      <c r="C250" t="str">
        <v>F2F-768</v>
      </c>
      <c r="D250" t="str">
        <v>F2F-768</v>
      </c>
      <c r="E250" t="str">
        <v/>
      </c>
      <c r="F250" t="str">
        <v>867162029832136</v>
      </c>
      <c r="G250" t="str">
        <v>TBD</v>
      </c>
      <c r="H250" t="str">
        <v/>
      </c>
      <c r="I250" t="str">
        <v>28/09/2026</v>
      </c>
      <c r="J250" t="str">
        <v>16:04:56</v>
      </c>
      <c r="K250">
        <v>-12.229737</v>
      </c>
      <c r="L250">
        <v>-76.9672</v>
      </c>
      <c r="M250">
        <f>HYPERLINK("https://www.google.com/maps/search/?api=1&amp;query=-12.229737,-76.9672","Antigua Panamericana Sur, Villa El Salvador, Lima")</f>
      </c>
      <c r="N250">
        <v>50.6</v>
      </c>
      <c r="O250">
        <v>100</v>
      </c>
      <c r="P250">
        <v>3196.1</v>
      </c>
      <c r="Q250" t="str">
        <v>117.42</v>
      </c>
      <c r="R250" t="str">
        <v/>
      </c>
      <c r="S250" t="str">
        <v/>
      </c>
      <c r="T250" t="str">
        <v/>
      </c>
      <c r="U250" t="str">
        <v/>
      </c>
    </row>
    <row r="251">
      <c r="A251" t="str">
        <v>250</v>
      </c>
      <c r="B251" t="str">
        <v>MASS BSF</v>
      </c>
      <c r="C251" t="str">
        <v>F2F-768</v>
      </c>
      <c r="D251" t="str">
        <v>F2F-768</v>
      </c>
      <c r="E251" t="str">
        <v/>
      </c>
      <c r="F251" t="str">
        <v>867162029832136</v>
      </c>
      <c r="G251" t="str">
        <v>TBD</v>
      </c>
      <c r="H251" t="str">
        <v/>
      </c>
      <c r="I251" t="str">
        <v>28/09/2026</v>
      </c>
      <c r="J251" t="str">
        <v>16:04:56</v>
      </c>
      <c r="K251">
        <v>-12.22946</v>
      </c>
      <c r="L251">
        <v>-76.96746</v>
      </c>
      <c r="M251">
        <f>HYPERLINK("https://www.google.com/maps/search/?api=1&amp;query=-12.22946,-76.96746","Antigua Panamericana Sur, Villa El Salvador, Lima")</f>
      </c>
      <c r="N251">
        <v>48.6</v>
      </c>
      <c r="O251">
        <v>100</v>
      </c>
      <c r="P251">
        <v>3196.1</v>
      </c>
      <c r="Q251" t="str">
        <v>117.42</v>
      </c>
      <c r="R251" t="str">
        <v/>
      </c>
      <c r="S251" t="str">
        <v/>
      </c>
      <c r="T251" t="str">
        <v/>
      </c>
      <c r="U251" t="str">
        <v/>
      </c>
    </row>
    <row r="252">
      <c r="A252" t="str">
        <v>251</v>
      </c>
      <c r="B252" t="str">
        <v>MASS BSF</v>
      </c>
      <c r="C252" t="str">
        <v>F2F-768</v>
      </c>
      <c r="D252" t="str">
        <v>F2F-768</v>
      </c>
      <c r="E252" t="str">
        <v/>
      </c>
      <c r="F252" t="str">
        <v>867162029832136</v>
      </c>
      <c r="G252" t="str">
        <v>TBD</v>
      </c>
      <c r="H252" t="str">
        <v/>
      </c>
      <c r="I252" t="str">
        <v>28/09/2026</v>
      </c>
      <c r="J252" t="str">
        <v>16:05:56</v>
      </c>
      <c r="K252">
        <v>-12.22573</v>
      </c>
      <c r="L252">
        <v>-76.97103</v>
      </c>
      <c r="M252">
        <f>HYPERLINK("https://www.google.com/maps/search/?api=1&amp;query=-12.22573,-76.97103","Antigua Panamericana Sur, Villa El Salvador, Lima")</f>
      </c>
      <c r="N252">
        <v>30.1</v>
      </c>
      <c r="O252">
        <v>100</v>
      </c>
      <c r="P252">
        <v>3196.7</v>
      </c>
      <c r="Q252" t="str">
        <v>117.42</v>
      </c>
      <c r="R252" t="str">
        <v/>
      </c>
      <c r="S252" t="str">
        <v/>
      </c>
      <c r="T252" t="str">
        <v/>
      </c>
      <c r="U252" t="str">
        <v/>
      </c>
    </row>
    <row r="253">
      <c r="A253" t="str">
        <v>252</v>
      </c>
      <c r="B253" t="str">
        <v>MASS BSF</v>
      </c>
      <c r="C253" t="str">
        <v>F2F-768</v>
      </c>
      <c r="D253" t="str">
        <v>F2F-768</v>
      </c>
      <c r="E253" t="str">
        <v/>
      </c>
      <c r="F253" t="str">
        <v>867162029832136</v>
      </c>
      <c r="G253" t="str">
        <v>TBD</v>
      </c>
      <c r="H253" t="str">
        <v/>
      </c>
      <c r="I253" t="str">
        <v>28/09/2026</v>
      </c>
      <c r="J253" t="str">
        <v>16:06:56</v>
      </c>
      <c r="K253">
        <v>-12.222442</v>
      </c>
      <c r="L253">
        <v>-76.97426</v>
      </c>
      <c r="M253">
        <f>HYPERLINK("https://www.google.com/maps/search/?api=1&amp;query=-12.222442,-76.97426","Antigua Panamericana Sur, Villa El Salvador, Lima")</f>
      </c>
      <c r="N253">
        <v>25.2</v>
      </c>
      <c r="O253">
        <v>100</v>
      </c>
      <c r="P253">
        <v>3197.2</v>
      </c>
      <c r="Q253" t="str">
        <v>117.42</v>
      </c>
      <c r="R253" t="str">
        <v/>
      </c>
      <c r="S253" t="str">
        <v/>
      </c>
      <c r="T253" t="str">
        <v/>
      </c>
      <c r="U253" t="str">
        <v/>
      </c>
    </row>
    <row r="254">
      <c r="A254" t="str">
        <v>253</v>
      </c>
      <c r="B254" t="str">
        <v>MASS BSF</v>
      </c>
      <c r="C254" t="str">
        <v>F2F-768</v>
      </c>
      <c r="D254" t="str">
        <v>F2F-768</v>
      </c>
      <c r="E254" t="str">
        <v/>
      </c>
      <c r="F254" t="str">
        <v>867162029832136</v>
      </c>
      <c r="G254" t="str">
        <v>TBD</v>
      </c>
      <c r="H254" t="str">
        <v/>
      </c>
      <c r="I254" t="str">
        <v>28/09/2026</v>
      </c>
      <c r="J254" t="str">
        <v>16:06:59</v>
      </c>
      <c r="K254">
        <v>-12.222223</v>
      </c>
      <c r="L254">
        <v>-76.97435</v>
      </c>
      <c r="M254">
        <f>HYPERLINK("https://www.google.com/maps/search/?api=1&amp;query=-12.222223,-76.97435","Avenida El Sol, Villa El Salvador, Lima")</f>
      </c>
      <c r="N254">
        <v>13.9</v>
      </c>
      <c r="O254">
        <v>100</v>
      </c>
      <c r="P254">
        <v>3197.2</v>
      </c>
      <c r="Q254" t="str">
        <v>117.42</v>
      </c>
      <c r="R254" t="str">
        <v/>
      </c>
      <c r="S254" t="str">
        <v/>
      </c>
      <c r="T254" t="str">
        <v/>
      </c>
      <c r="U254" t="str">
        <v/>
      </c>
    </row>
    <row r="255">
      <c r="A255" t="str">
        <v>254</v>
      </c>
      <c r="B255" t="str">
        <v>MASS BSF</v>
      </c>
      <c r="C255" t="str">
        <v>F2F-768</v>
      </c>
      <c r="D255" t="str">
        <v>F2F-768</v>
      </c>
      <c r="E255" t="str">
        <v/>
      </c>
      <c r="F255" t="str">
        <v>867162029832136</v>
      </c>
      <c r="G255" t="str">
        <v>TBD</v>
      </c>
      <c r="H255" t="str">
        <v/>
      </c>
      <c r="I255" t="str">
        <v>28/09/2026</v>
      </c>
      <c r="J255" t="str">
        <v>16:07:56</v>
      </c>
      <c r="K255">
        <v>-12.220029</v>
      </c>
      <c r="L255">
        <v>-76.97199</v>
      </c>
      <c r="M255">
        <f>HYPERLINK("https://www.google.com/maps/search/?api=1&amp;query=-12.220029,-76.97199","Avenida El Sol, Villa El Salvador, Lima")</f>
      </c>
      <c r="N255">
        <v>20.1</v>
      </c>
      <c r="O255">
        <v>100</v>
      </c>
      <c r="P255">
        <v>3197.6</v>
      </c>
      <c r="Q255" t="str">
        <v>117.42</v>
      </c>
      <c r="R255" t="str">
        <v/>
      </c>
      <c r="S255" t="str">
        <v/>
      </c>
      <c r="T255" t="str">
        <v/>
      </c>
      <c r="U255" t="str">
        <v/>
      </c>
    </row>
    <row r="256">
      <c r="A256" t="str">
        <v>255</v>
      </c>
      <c r="B256" t="str">
        <v>MASS BSF</v>
      </c>
      <c r="C256" t="str">
        <v>F2F-768</v>
      </c>
      <c r="D256" t="str">
        <v>F2F-768</v>
      </c>
      <c r="E256" t="str">
        <v/>
      </c>
      <c r="F256" t="str">
        <v>867162029832136</v>
      </c>
      <c r="G256" t="str">
        <v>TBD</v>
      </c>
      <c r="H256" t="str">
        <v/>
      </c>
      <c r="I256" t="str">
        <v>28/09/2026</v>
      </c>
      <c r="J256" t="str">
        <v>16:08:56</v>
      </c>
      <c r="K256">
        <v>-12.218204</v>
      </c>
      <c r="L256">
        <v>-76.970085</v>
      </c>
      <c r="M256">
        <f>HYPERLINK("https://www.google.com/maps/search/?api=1&amp;query=-12.218204,-76.970085","Calle 5, Villa El Salvador, Lima")</f>
      </c>
      <c r="N256">
        <v>17.3</v>
      </c>
      <c r="O256">
        <v>100</v>
      </c>
      <c r="P256">
        <v>3197.8</v>
      </c>
      <c r="Q256" t="str">
        <v>117.42</v>
      </c>
      <c r="R256" t="str">
        <v/>
      </c>
      <c r="S256" t="str">
        <v/>
      </c>
      <c r="T256" t="str">
        <v/>
      </c>
      <c r="U256" t="str">
        <v/>
      </c>
    </row>
    <row r="257">
      <c r="A257" t="str">
        <v>256</v>
      </c>
      <c r="B257" t="str">
        <v>MASS BSF</v>
      </c>
      <c r="C257" t="str">
        <v>F2F-768</v>
      </c>
      <c r="D257" t="str">
        <v>F2F-768</v>
      </c>
      <c r="E257" t="str">
        <v/>
      </c>
      <c r="F257" t="str">
        <v>867162029832136</v>
      </c>
      <c r="G257" t="str">
        <v>TBD</v>
      </c>
      <c r="H257" t="str">
        <v/>
      </c>
      <c r="I257" t="str">
        <v>28/09/2026</v>
      </c>
      <c r="J257" t="str">
        <v>16:09:56</v>
      </c>
      <c r="K257">
        <v>-12.216359</v>
      </c>
      <c r="L257">
        <v>-76.96805</v>
      </c>
      <c r="M257">
        <f>HYPERLINK("https://www.google.com/maps/search/?api=1&amp;query=-12.216359,-76.96805","Avenida El Sol, Villa El Salvador, Lima")</f>
      </c>
      <c r="N257">
        <v>22.7</v>
      </c>
      <c r="O257">
        <v>100</v>
      </c>
      <c r="P257">
        <v>3198.2</v>
      </c>
      <c r="Q257" t="str">
        <v>117.42</v>
      </c>
      <c r="R257" t="str">
        <v/>
      </c>
      <c r="S257" t="str">
        <v/>
      </c>
      <c r="T257" t="str">
        <v/>
      </c>
      <c r="U257" t="str">
        <v/>
      </c>
    </row>
    <row r="258">
      <c r="A258" t="str">
        <v>257</v>
      </c>
      <c r="B258" t="str">
        <v>MASS BSF</v>
      </c>
      <c r="C258" t="str">
        <v>F2F-768</v>
      </c>
      <c r="D258" t="str">
        <v>F2F-768</v>
      </c>
      <c r="E258" t="str">
        <v/>
      </c>
      <c r="F258" t="str">
        <v>867162029832136</v>
      </c>
      <c r="G258" t="str">
        <v>TBD</v>
      </c>
      <c r="H258" t="str">
        <v/>
      </c>
      <c r="I258" t="str">
        <v>28/09/2026</v>
      </c>
      <c r="J258" t="str">
        <v>16:10:56</v>
      </c>
      <c r="K258">
        <v>-12.213061</v>
      </c>
      <c r="L258">
        <v>-76.96523</v>
      </c>
      <c r="M258">
        <f>HYPERLINK("https://www.google.com/maps/search/?api=1&amp;query=-12.213061,-76.96523","Avenida El Sol, Villa El Salvador, Lima")</f>
      </c>
      <c r="N258">
        <v>24.6</v>
      </c>
      <c r="O258">
        <v>100</v>
      </c>
      <c r="P258">
        <v>3198.6</v>
      </c>
      <c r="Q258" t="str">
        <v>117.42</v>
      </c>
      <c r="R258" t="str">
        <v/>
      </c>
      <c r="S258" t="str">
        <v/>
      </c>
      <c r="T258" t="str">
        <v/>
      </c>
      <c r="U258" t="str">
        <v/>
      </c>
    </row>
    <row r="259">
      <c r="A259" t="str">
        <v>258</v>
      </c>
      <c r="B259" t="str">
        <v>MASS BSF</v>
      </c>
      <c r="C259" t="str">
        <v>F2F-768</v>
      </c>
      <c r="D259" t="str">
        <v>F2F-768</v>
      </c>
      <c r="E259" t="str">
        <v/>
      </c>
      <c r="F259" t="str">
        <v>867162029832136</v>
      </c>
      <c r="G259" t="str">
        <v>TBD</v>
      </c>
      <c r="H259" t="str">
        <v/>
      </c>
      <c r="I259" t="str">
        <v>28/09/2026</v>
      </c>
      <c r="J259" t="str">
        <v>16:10:56</v>
      </c>
      <c r="K259">
        <v>-12.212963</v>
      </c>
      <c r="L259">
        <v>-76.96507</v>
      </c>
      <c r="M259">
        <f>HYPERLINK("https://www.google.com/maps/search/?api=1&amp;query=-12.212963,-76.96507","Avenida El Sol, Villa El Salvador, Lima")</f>
      </c>
      <c r="N259">
        <v>24.8</v>
      </c>
      <c r="O259">
        <v>100</v>
      </c>
      <c r="P259">
        <v>3198.7</v>
      </c>
      <c r="Q259" t="str">
        <v>117.42</v>
      </c>
      <c r="R259" t="str">
        <v/>
      </c>
      <c r="S259" t="str">
        <v/>
      </c>
      <c r="T259" t="str">
        <v/>
      </c>
      <c r="U259" t="str">
        <v/>
      </c>
    </row>
    <row r="260">
      <c r="A260" t="str">
        <v>259</v>
      </c>
      <c r="B260" t="str">
        <v>MASS BSF</v>
      </c>
      <c r="C260" t="str">
        <v>F2F-768</v>
      </c>
      <c r="D260" t="str">
        <v>F2F-768</v>
      </c>
      <c r="E260" t="str">
        <v/>
      </c>
      <c r="F260" t="str">
        <v>867162029832136</v>
      </c>
      <c r="G260" t="str">
        <v>TBD</v>
      </c>
      <c r="H260" t="str">
        <v/>
      </c>
      <c r="I260" t="str">
        <v>28/09/2026</v>
      </c>
      <c r="J260" t="str">
        <v>16:11:38</v>
      </c>
      <c r="K260">
        <v>-12.211321</v>
      </c>
      <c r="L260">
        <v>-76.96201</v>
      </c>
      <c r="M260">
        <f>HYPERLINK("https://www.google.com/maps/search/?api=1&amp;query=-12.211321,-76.96201","Avenida El Sol, Villa El Salvador, Lima")</f>
      </c>
      <c r="N260">
        <v>8.2</v>
      </c>
      <c r="O260">
        <v>100</v>
      </c>
      <c r="P260">
        <v>3199</v>
      </c>
      <c r="Q260" t="str">
        <v>117.42</v>
      </c>
      <c r="R260" t="str">
        <v/>
      </c>
      <c r="S260" t="str">
        <v/>
      </c>
      <c r="T260" t="str">
        <v/>
      </c>
      <c r="U260" t="str">
        <v/>
      </c>
    </row>
    <row r="261">
      <c r="A261" t="str">
        <v>260</v>
      </c>
      <c r="B261" t="str">
        <v>MASS BSF</v>
      </c>
      <c r="C261" t="str">
        <v>F2F-768</v>
      </c>
      <c r="D261" t="str">
        <v>F2F-768</v>
      </c>
      <c r="E261" t="str">
        <v/>
      </c>
      <c r="F261" t="str">
        <v>867162029832136</v>
      </c>
      <c r="G261" t="str">
        <v>TBD</v>
      </c>
      <c r="H261" t="str">
        <v/>
      </c>
      <c r="I261" t="str">
        <v>28/09/2026</v>
      </c>
      <c r="J261" t="str">
        <v>16:11:44</v>
      </c>
      <c r="K261">
        <v>-12.211389</v>
      </c>
      <c r="L261">
        <v>-76.96195</v>
      </c>
      <c r="M261">
        <f>HYPERLINK("https://www.google.com/maps/search/?api=1&amp;query=-12.211389,-76.96195","Calle 1, Villa El Salvador, Lima")</f>
      </c>
      <c r="N261">
        <v>6.9</v>
      </c>
      <c r="O261">
        <v>100</v>
      </c>
      <c r="P261">
        <v>3199</v>
      </c>
      <c r="Q261" t="str">
        <v>117.42</v>
      </c>
      <c r="R261" t="str">
        <v/>
      </c>
      <c r="S261" t="str">
        <v/>
      </c>
      <c r="T261" t="str">
        <v/>
      </c>
      <c r="U261" t="str">
        <v/>
      </c>
    </row>
    <row r="262">
      <c r="A262" t="str">
        <v>261</v>
      </c>
      <c r="B262" t="str">
        <v>MASS BSF</v>
      </c>
      <c r="C262" t="str">
        <v>F2F-768</v>
      </c>
      <c r="D262" t="str">
        <v>F2F-768</v>
      </c>
      <c r="E262" t="str">
        <v/>
      </c>
      <c r="F262" t="str">
        <v>867162029832136</v>
      </c>
      <c r="G262" t="str">
        <v>TBD</v>
      </c>
      <c r="H262" t="str">
        <v/>
      </c>
      <c r="I262" t="str">
        <v>28/09/2026</v>
      </c>
      <c r="J262" t="str">
        <v>16:11:56</v>
      </c>
      <c r="K262">
        <v>-12.211487</v>
      </c>
      <c r="L262">
        <v>-76.96184</v>
      </c>
      <c r="M262">
        <f>HYPERLINK("https://www.google.com/maps/search/?api=1&amp;query=-12.211487,-76.96184","Calle 1, Villa El Salvador, Lima")</f>
      </c>
      <c r="N262">
        <v>7.8</v>
      </c>
      <c r="O262">
        <v>100</v>
      </c>
      <c r="P262">
        <v>3199.1</v>
      </c>
      <c r="Q262" t="str">
        <v>117.42</v>
      </c>
      <c r="R262" t="str">
        <v/>
      </c>
      <c r="S262" t="str">
        <v/>
      </c>
      <c r="T262" t="str">
        <v/>
      </c>
      <c r="U262" t="str">
        <v/>
      </c>
    </row>
    <row r="263">
      <c r="A263" t="str">
        <v>262</v>
      </c>
      <c r="B263" t="str">
        <v>MASS BSF</v>
      </c>
      <c r="C263" t="str">
        <v>F2F-768</v>
      </c>
      <c r="D263" t="str">
        <v>F2F-768</v>
      </c>
      <c r="E263" t="str">
        <v/>
      </c>
      <c r="F263" t="str">
        <v>867162029832136</v>
      </c>
      <c r="G263" t="str">
        <v>TBD</v>
      </c>
      <c r="H263" t="str">
        <v/>
      </c>
      <c r="I263" t="str">
        <v>28/09/2026</v>
      </c>
      <c r="J263" t="str">
        <v>16:12:56</v>
      </c>
      <c r="K263">
        <v>-12.212678</v>
      </c>
      <c r="L263">
        <v>-76.96101</v>
      </c>
      <c r="M263">
        <f>HYPERLINK("https://www.google.com/maps/search/?api=1&amp;query=-12.212678,-76.96101","Calle 1, Villa El Salvador, Lima")</f>
      </c>
      <c r="N263">
        <v>9.1</v>
      </c>
      <c r="O263">
        <v>100</v>
      </c>
      <c r="P263">
        <v>3199.2</v>
      </c>
      <c r="Q263" t="str">
        <v>117.42</v>
      </c>
      <c r="R263" t="str">
        <v/>
      </c>
      <c r="S263" t="str">
        <v/>
      </c>
      <c r="T263" t="str">
        <v/>
      </c>
      <c r="U263" t="str">
        <v/>
      </c>
    </row>
    <row r="264">
      <c r="A264" t="str">
        <v>263</v>
      </c>
      <c r="B264" t="str">
        <v>MASS BSF</v>
      </c>
      <c r="C264" t="str">
        <v>F2F-768</v>
      </c>
      <c r="D264" t="str">
        <v>F2F-768</v>
      </c>
      <c r="E264" t="str">
        <v/>
      </c>
      <c r="F264" t="str">
        <v>867162029832136</v>
      </c>
      <c r="G264" t="str">
        <v>TBD</v>
      </c>
      <c r="H264" t="str">
        <v/>
      </c>
      <c r="I264" t="str">
        <v>28/09/2026</v>
      </c>
      <c r="J264" t="str">
        <v>16:13:41</v>
      </c>
      <c r="K264">
        <v>-12.213579</v>
      </c>
      <c r="L264">
        <v>-76.9604</v>
      </c>
      <c r="M264">
        <f>HYPERLINK("https://www.google.com/maps/search/?api=1&amp;query=-12.213579,-76.9604","Avenida Villa del Mar, Villa El Salvador, Lima")</f>
      </c>
      <c r="N264">
        <v>8.4</v>
      </c>
      <c r="O264">
        <v>100</v>
      </c>
      <c r="P264">
        <v>3199.3</v>
      </c>
      <c r="Q264" t="str">
        <v>117.42</v>
      </c>
      <c r="R264" t="str">
        <v/>
      </c>
      <c r="S264" t="str">
        <v/>
      </c>
      <c r="T264" t="str">
        <v/>
      </c>
      <c r="U264" t="str">
        <v/>
      </c>
    </row>
    <row r="265">
      <c r="A265" t="str">
        <v>264</v>
      </c>
      <c r="B265" t="str">
        <v>MASS BSF</v>
      </c>
      <c r="C265" t="str">
        <v>F2F-768</v>
      </c>
      <c r="D265" t="str">
        <v>F2F-768</v>
      </c>
      <c r="E265" t="str">
        <v/>
      </c>
      <c r="F265" t="str">
        <v>867162029832136</v>
      </c>
      <c r="G265" t="str">
        <v>TBD</v>
      </c>
      <c r="H265" t="str">
        <v/>
      </c>
      <c r="I265" t="str">
        <v>28/09/2026</v>
      </c>
      <c r="J265" t="str">
        <v>16:13:56</v>
      </c>
      <c r="K265">
        <v>-12.213423</v>
      </c>
      <c r="L265">
        <v>-76.96018</v>
      </c>
      <c r="M265">
        <f>HYPERLINK("https://www.google.com/maps/search/?api=1&amp;query=-12.213423,-76.96018","Avenida Villa del Mar, Villa El Salvador, Lima")</f>
      </c>
      <c r="N265">
        <v>9.3</v>
      </c>
      <c r="O265">
        <v>100</v>
      </c>
      <c r="P265">
        <v>3199.4</v>
      </c>
      <c r="Q265" t="str">
        <v>117.42</v>
      </c>
      <c r="R265" t="str">
        <v/>
      </c>
      <c r="S265" t="str">
        <v/>
      </c>
      <c r="T265" t="str">
        <v/>
      </c>
      <c r="U265" t="str">
        <v/>
      </c>
    </row>
    <row r="266">
      <c r="A266" t="str">
        <v>265</v>
      </c>
      <c r="B266" t="str">
        <v>MASS BSF</v>
      </c>
      <c r="C266" t="str">
        <v>F2F-768</v>
      </c>
      <c r="D266" t="str">
        <v>F2F-768</v>
      </c>
      <c r="E266" t="str">
        <v/>
      </c>
      <c r="F266" t="str">
        <v>867162029832136</v>
      </c>
      <c r="G266" t="str">
        <v>TBD</v>
      </c>
      <c r="H266" t="str">
        <v/>
      </c>
      <c r="I266" t="str">
        <v>28/09/2026</v>
      </c>
      <c r="J266" t="str">
        <v>16:14:29</v>
      </c>
      <c r="K266">
        <v>-12.212886</v>
      </c>
      <c r="L266">
        <v>-76.95925</v>
      </c>
      <c r="M266">
        <f>HYPERLINK("https://www.google.com/maps/search/?api=1&amp;query=-12.212886,-76.95925","Avenida Villa del Mar, Villa El Salvador, Lima")</f>
      </c>
      <c r="N266">
        <v>10.7</v>
      </c>
      <c r="O266">
        <v>100</v>
      </c>
      <c r="P266">
        <v>3199.3</v>
      </c>
      <c r="Q266" t="str">
        <v>117.48</v>
      </c>
      <c r="R266" t="str">
        <v>Llegó a la zona</v>
      </c>
      <c r="S266" t="str">
        <v>BASE-OSLOGISTICS</v>
      </c>
      <c r="T266" t="str">
        <v xml:space="preserve"> </v>
      </c>
      <c r="U266" t="str">
        <v/>
      </c>
    </row>
    <row r="267">
      <c r="A267" t="str">
        <v>266</v>
      </c>
      <c r="B267" t="str">
        <v>MASS BSF</v>
      </c>
      <c r="C267" t="str">
        <v>F2F-768</v>
      </c>
      <c r="D267" t="str">
        <v>F2F-768</v>
      </c>
      <c r="E267" t="str">
        <v/>
      </c>
      <c r="F267" t="str">
        <v>867162029832136</v>
      </c>
      <c r="G267" t="str">
        <v>TBD</v>
      </c>
      <c r="H267" t="str">
        <v/>
      </c>
      <c r="I267" t="str">
        <v>28/09/2026</v>
      </c>
      <c r="J267" t="str">
        <v>16:14:29</v>
      </c>
      <c r="K267">
        <v>-12.212886</v>
      </c>
      <c r="L267">
        <v>-76.95925</v>
      </c>
      <c r="M267">
        <f>HYPERLINK("https://www.google.com/maps/search/?api=1&amp;query=-12.212886,-76.95925","Avenida Villa del Mar, Villa El Salvador, Lima")</f>
      </c>
      <c r="N267">
        <v>10.7</v>
      </c>
      <c r="O267">
        <v>100</v>
      </c>
      <c r="P267">
        <v>3199.5</v>
      </c>
      <c r="Q267" t="str">
        <v>117.42</v>
      </c>
      <c r="R267" t="str">
        <v/>
      </c>
      <c r="S267" t="str">
        <v/>
      </c>
      <c r="T267" t="str">
        <v/>
      </c>
      <c r="U267" t="str">
        <v/>
      </c>
    </row>
    <row r="268">
      <c r="A268" t="str">
        <v>267</v>
      </c>
      <c r="B268" t="str">
        <v>MASS BSF</v>
      </c>
      <c r="C268" t="str">
        <v>F2F-768</v>
      </c>
      <c r="D268" t="str">
        <v>F2F-768</v>
      </c>
      <c r="E268" t="str">
        <v/>
      </c>
      <c r="F268" t="str">
        <v>867162029832136</v>
      </c>
      <c r="G268" t="str">
        <v>TBD</v>
      </c>
      <c r="H268" t="str">
        <v/>
      </c>
      <c r="I268" t="str">
        <v>28/09/2026</v>
      </c>
      <c r="J268" t="str">
        <v>16:14:56</v>
      </c>
      <c r="K268">
        <v>-12.212923</v>
      </c>
      <c r="L268">
        <v>-76.95919</v>
      </c>
      <c r="M268">
        <f>HYPERLINK("https://www.google.com/maps/search/?api=1&amp;query=-12.212923,-76.95919","Avenida Villa del Mar, Villa El Salvador, Lima")</f>
      </c>
      <c r="N268">
        <v>0</v>
      </c>
      <c r="O268">
        <v>100</v>
      </c>
      <c r="P268">
        <v>3199.5</v>
      </c>
      <c r="Q268" t="str">
        <v>117.42</v>
      </c>
      <c r="R268" t="str">
        <v/>
      </c>
      <c r="S268" t="str">
        <v/>
      </c>
      <c r="T268" t="str">
        <v/>
      </c>
      <c r="U268" t="str">
        <v/>
      </c>
    </row>
    <row r="269">
      <c r="A269" t="str">
        <v>268</v>
      </c>
      <c r="B269" t="str">
        <v>MASS BSF</v>
      </c>
      <c r="C269" t="str">
        <v>F2F-768</v>
      </c>
      <c r="D269" t="str">
        <v>F2F-768</v>
      </c>
      <c r="E269" t="str">
        <v/>
      </c>
      <c r="F269" t="str">
        <v>867162029832136</v>
      </c>
      <c r="G269" t="str">
        <v>TBD</v>
      </c>
      <c r="H269" t="str">
        <v/>
      </c>
      <c r="I269" t="str">
        <v>28/09/2026</v>
      </c>
      <c r="J269" t="str">
        <v>16:15:29</v>
      </c>
      <c r="K269">
        <v>-12.21294</v>
      </c>
      <c r="L269">
        <v>-76.95918</v>
      </c>
      <c r="M269">
        <f>HYPERLINK("https://www.google.com/maps/search/?api=1&amp;query=-12.21294,-76.95918","Avenida Villa del Mar, Villa El Salvador, Lima")</f>
      </c>
      <c r="N269">
        <v>10.2</v>
      </c>
      <c r="O269">
        <v>100</v>
      </c>
      <c r="P269">
        <v>3199.5</v>
      </c>
      <c r="Q269" t="str">
        <v>117.42</v>
      </c>
      <c r="R269" t="str">
        <v/>
      </c>
      <c r="S269" t="str">
        <v/>
      </c>
      <c r="T269" t="str">
        <v/>
      </c>
      <c r="U269" t="str">
        <v/>
      </c>
    </row>
    <row r="270">
      <c r="A270" t="str">
        <v>269</v>
      </c>
      <c r="B270" t="str">
        <v>MASS BSF</v>
      </c>
      <c r="C270" t="str">
        <v>F2F-768</v>
      </c>
      <c r="D270" t="str">
        <v>F2F-768</v>
      </c>
      <c r="E270" t="str">
        <v/>
      </c>
      <c r="F270" t="str">
        <v>867162029832136</v>
      </c>
      <c r="G270" t="str">
        <v>TBD</v>
      </c>
      <c r="H270" t="str">
        <v/>
      </c>
      <c r="I270" t="str">
        <v>28/09/2026</v>
      </c>
      <c r="J270" t="str">
        <v>16:15:53</v>
      </c>
      <c r="K270">
        <v>-12.213087</v>
      </c>
      <c r="L270">
        <v>-76.95908</v>
      </c>
      <c r="M270">
        <f>HYPERLINK("https://www.google.com/maps/search/?api=1&amp;query=-12.213087,-76.95908","Avenida Villa del Mar, Villa El Salvador, Lima")</f>
      </c>
      <c r="N270">
        <v>0</v>
      </c>
      <c r="O270">
        <v>100</v>
      </c>
      <c r="P270">
        <v>3199.5</v>
      </c>
      <c r="Q270" t="str">
        <v>118.07</v>
      </c>
      <c r="R270" t="str">
        <v>Vehículo apagado</v>
      </c>
      <c r="S270" t="str">
        <v/>
      </c>
      <c r="T270" t="str">
        <v/>
      </c>
      <c r="U270" t="str">
        <v/>
      </c>
    </row>
    <row r="271">
      <c r="A271" t="str">
        <v>270</v>
      </c>
      <c r="B271" t="str">
        <v>MASS BSF</v>
      </c>
      <c r="C271" t="str">
        <v>F2F-768</v>
      </c>
      <c r="D271" t="str">
        <v>F2F-768</v>
      </c>
      <c r="E271" t="str">
        <v/>
      </c>
      <c r="F271" t="str">
        <v>867162029832136</v>
      </c>
      <c r="G271" t="str">
        <v>TBD</v>
      </c>
      <c r="H271" t="str">
        <v/>
      </c>
      <c r="I271" t="str">
        <v>28/09/2026</v>
      </c>
      <c r="J271" t="str">
        <v>16:15:58</v>
      </c>
      <c r="K271">
        <v>-12.213087</v>
      </c>
      <c r="L271">
        <v>-76.95908</v>
      </c>
      <c r="M271">
        <f>HYPERLINK("https://www.google.com/maps/search/?api=1&amp;query=-12.213087,-76.95908","Avenida Villa del Mar, Villa El Salvador, Lima")</f>
      </c>
      <c r="N271">
        <v>0</v>
      </c>
      <c r="O271">
        <v>100</v>
      </c>
      <c r="P271">
        <v>3199.5</v>
      </c>
      <c r="Q271" t="str">
        <v>117.42</v>
      </c>
      <c r="R271" t="str">
        <v/>
      </c>
      <c r="S271" t="str">
        <v/>
      </c>
      <c r="T271" t="str">
        <v/>
      </c>
      <c r="U271" t="str">
        <v/>
      </c>
    </row>
    <row r="272">
      <c r="A272" t="str">
        <v>271</v>
      </c>
      <c r="B272" t="str">
        <v>MASS BSF</v>
      </c>
      <c r="C272" t="str">
        <v>F2F-768</v>
      </c>
      <c r="D272" t="str">
        <v>F2F-768</v>
      </c>
      <c r="E272" t="str">
        <v/>
      </c>
      <c r="F272" t="str">
        <v>867162029832136</v>
      </c>
      <c r="G272" t="str">
        <v>TBD</v>
      </c>
      <c r="H272" t="str">
        <v/>
      </c>
      <c r="I272" t="str">
        <v>28/09/2026</v>
      </c>
      <c r="J272" t="str">
        <v>16:46:00</v>
      </c>
      <c r="K272">
        <v>-12.213087</v>
      </c>
      <c r="L272">
        <v>-76.95908</v>
      </c>
      <c r="M272">
        <f>HYPERLINK("https://www.google.com/maps/search/?api=1&amp;query=-12.213087,-76.95908","Avenida Villa del Mar, Villa El Salvador, Lima")</f>
      </c>
      <c r="N272">
        <v>0</v>
      </c>
      <c r="O272">
        <v>100</v>
      </c>
      <c r="P272">
        <v>3199.5</v>
      </c>
      <c r="Q272" t="str">
        <v>118.13</v>
      </c>
      <c r="R272" t="str">
        <v/>
      </c>
      <c r="S272" t="str">
        <v/>
      </c>
      <c r="T272" t="str">
        <v/>
      </c>
      <c r="U272" t="str">
        <v/>
      </c>
    </row>
    <row r="273">
      <c r="A273" t="str">
        <v>272</v>
      </c>
      <c r="B273" t="str">
        <v>MASS BSF</v>
      </c>
      <c r="C273" t="str">
        <v>F2F-768</v>
      </c>
      <c r="D273" t="str">
        <v>F2F-768</v>
      </c>
      <c r="E273" t="str">
        <v/>
      </c>
      <c r="F273" t="str">
        <v>867162029832136</v>
      </c>
      <c r="G273" t="str">
        <v>TBD</v>
      </c>
      <c r="H273" t="str">
        <v/>
      </c>
      <c r="I273" t="str">
        <v>28/09/2026</v>
      </c>
      <c r="J273" t="str">
        <v>17:16:03</v>
      </c>
      <c r="K273">
        <v>-12.213087</v>
      </c>
      <c r="L273">
        <v>-76.95908</v>
      </c>
      <c r="M273">
        <f>HYPERLINK("https://www.google.com/maps/search/?api=1&amp;query=-12.213087,-76.95908","Avenida Villa del Mar, Villa El Salvador, Lima")</f>
      </c>
      <c r="N273">
        <v>0</v>
      </c>
      <c r="O273">
        <v>100</v>
      </c>
      <c r="P273">
        <v>3199.5</v>
      </c>
      <c r="Q273" t="str">
        <v>118.13</v>
      </c>
      <c r="R273" t="str">
        <v/>
      </c>
      <c r="S273" t="str">
        <v/>
      </c>
      <c r="T273" t="str">
        <v/>
      </c>
      <c r="U273" t="str">
        <v/>
      </c>
    </row>
    <row r="274">
      <c r="A274" t="str">
        <v>273</v>
      </c>
      <c r="B274" t="str">
        <v>MASS BSF</v>
      </c>
      <c r="C274" t="str">
        <v>F2F-768</v>
      </c>
      <c r="D274" t="str">
        <v>F2F-768</v>
      </c>
      <c r="E274" t="str">
        <v/>
      </c>
      <c r="F274" t="str">
        <v>867162029832136</v>
      </c>
      <c r="G274" t="str">
        <v>TBD</v>
      </c>
      <c r="H274" t="str">
        <v/>
      </c>
      <c r="I274" t="str">
        <v>28/09/2026</v>
      </c>
      <c r="J274" t="str">
        <v>17:46:06</v>
      </c>
      <c r="K274">
        <v>-12.213087</v>
      </c>
      <c r="L274">
        <v>-76.95908</v>
      </c>
      <c r="M274">
        <f>HYPERLINK("https://www.google.com/maps/search/?api=1&amp;query=-12.213087,-76.95908","Avenida Villa del Mar, Villa El Salvador, Lima")</f>
      </c>
      <c r="N274">
        <v>0</v>
      </c>
      <c r="O274">
        <v>100</v>
      </c>
      <c r="P274">
        <v>3199.5</v>
      </c>
      <c r="Q274" t="str">
        <v>118.13</v>
      </c>
      <c r="R274" t="str">
        <v/>
      </c>
      <c r="S274" t="str">
        <v/>
      </c>
      <c r="T274" t="str">
        <v/>
      </c>
      <c r="U274" t="str">
        <v/>
      </c>
    </row>
    <row r="275">
      <c r="A275" t="str">
        <v>274</v>
      </c>
      <c r="B275" t="str">
        <v>MASS BSF</v>
      </c>
      <c r="C275" t="str">
        <v>F2F-768</v>
      </c>
      <c r="D275" t="str">
        <v>F2F-768</v>
      </c>
      <c r="E275" t="str">
        <v/>
      </c>
      <c r="F275" t="str">
        <v>867162029832136</v>
      </c>
      <c r="G275" t="str">
        <v>TBD</v>
      </c>
      <c r="H275" t="str">
        <v/>
      </c>
      <c r="I275" t="str">
        <v>28/09/2026</v>
      </c>
      <c r="J275" t="str">
        <v>18:16:11</v>
      </c>
      <c r="K275">
        <v>-12.213087</v>
      </c>
      <c r="L275">
        <v>-76.95908</v>
      </c>
      <c r="M275">
        <f>HYPERLINK("https://www.google.com/maps/search/?api=1&amp;query=-12.213087,-76.95908","Avenida Villa del Mar, Villa El Salvador, Lima")</f>
      </c>
      <c r="N275">
        <v>0</v>
      </c>
      <c r="O275">
        <v>100</v>
      </c>
      <c r="P275">
        <v>3199.5</v>
      </c>
      <c r="Q275" t="str">
        <v>118.13</v>
      </c>
      <c r="R275" t="str">
        <v/>
      </c>
      <c r="S275" t="str">
        <v/>
      </c>
      <c r="T275" t="str">
        <v/>
      </c>
      <c r="U275" t="str">
        <v/>
      </c>
    </row>
    <row r="276">
      <c r="A276" t="str">
        <v>275</v>
      </c>
      <c r="B276" t="str">
        <v>MASS BSF</v>
      </c>
      <c r="C276" t="str">
        <v>F2F-768</v>
      </c>
      <c r="D276" t="str">
        <v>F2F-768</v>
      </c>
      <c r="E276" t="str">
        <v/>
      </c>
      <c r="F276" t="str">
        <v>867162029832136</v>
      </c>
      <c r="G276" t="str">
        <v>TBD</v>
      </c>
      <c r="H276" t="str">
        <v/>
      </c>
      <c r="I276" t="str">
        <v>28/09/2026</v>
      </c>
      <c r="J276" t="str">
        <v>18:46:15</v>
      </c>
      <c r="K276">
        <v>-12.213087</v>
      </c>
      <c r="L276">
        <v>-76.95908</v>
      </c>
      <c r="M276">
        <f>HYPERLINK("https://www.google.com/maps/search/?api=1&amp;query=-12.213087,-76.95908","Avenida Villa del Mar, Villa El Salvador, Lima")</f>
      </c>
      <c r="N276">
        <v>0</v>
      </c>
      <c r="O276">
        <v>100</v>
      </c>
      <c r="P276">
        <v>3199.5</v>
      </c>
      <c r="Q276" t="str">
        <v>118.13</v>
      </c>
      <c r="R276" t="str">
        <v/>
      </c>
      <c r="S276" t="str">
        <v/>
      </c>
      <c r="T276" t="str">
        <v/>
      </c>
      <c r="U276" t="str">
        <v/>
      </c>
    </row>
    <row r="277">
      <c r="A277" t="str">
        <v>276</v>
      </c>
      <c r="B277" t="str">
        <v>MASS BSF</v>
      </c>
      <c r="C277" t="str">
        <v>F2F-768</v>
      </c>
      <c r="D277" t="str">
        <v>F2F-768</v>
      </c>
      <c r="E277" t="str">
        <v/>
      </c>
      <c r="F277" t="str">
        <v>867162029832136</v>
      </c>
      <c r="G277" t="str">
        <v>TBD</v>
      </c>
      <c r="H277" t="str">
        <v/>
      </c>
      <c r="I277" t="str">
        <v>28/09/2026</v>
      </c>
      <c r="J277" t="str">
        <v>19:16:18</v>
      </c>
      <c r="K277">
        <v>-12.213087</v>
      </c>
      <c r="L277">
        <v>-76.95908</v>
      </c>
      <c r="M277">
        <f>HYPERLINK("https://www.google.com/maps/search/?api=1&amp;query=-12.213087,-76.95908","Avenida Villa del Mar, Villa El Salvador, Lima")</f>
      </c>
      <c r="N277">
        <v>0</v>
      </c>
      <c r="O277">
        <v>100</v>
      </c>
      <c r="P277">
        <v>3199.5</v>
      </c>
      <c r="Q277" t="str">
        <v>118.13</v>
      </c>
      <c r="R277" t="str">
        <v/>
      </c>
      <c r="S277" t="str">
        <v/>
      </c>
      <c r="T277" t="str">
        <v/>
      </c>
      <c r="U277" t="str">
        <v/>
      </c>
    </row>
    <row r="278">
      <c r="A278" t="str">
        <v>277</v>
      </c>
      <c r="B278" t="str">
        <v>MASS BSF</v>
      </c>
      <c r="C278" t="str">
        <v>F2F-768</v>
      </c>
      <c r="D278" t="str">
        <v>F2F-768</v>
      </c>
      <c r="E278" t="str">
        <v/>
      </c>
      <c r="F278" t="str">
        <v>867162029832136</v>
      </c>
      <c r="G278" t="str">
        <v>TBD</v>
      </c>
      <c r="H278" t="str">
        <v/>
      </c>
      <c r="I278" t="str">
        <v>28/09/2026</v>
      </c>
      <c r="J278" t="str">
        <v>19:46:23</v>
      </c>
      <c r="K278">
        <v>-12.213087</v>
      </c>
      <c r="L278">
        <v>-76.95908</v>
      </c>
      <c r="M278">
        <f>HYPERLINK("https://www.google.com/maps/search/?api=1&amp;query=-12.213087,-76.95908","Avenida Villa del Mar, Villa El Salvador, Lima")</f>
      </c>
      <c r="N278">
        <v>0</v>
      </c>
      <c r="O278">
        <v>100</v>
      </c>
      <c r="P278">
        <v>3199.5</v>
      </c>
      <c r="Q278" t="str">
        <v>118.13</v>
      </c>
      <c r="R278" t="str">
        <v/>
      </c>
      <c r="S278" t="str">
        <v/>
      </c>
      <c r="T278" t="str">
        <v/>
      </c>
      <c r="U278" t="str">
        <v/>
      </c>
    </row>
    <row r="279">
      <c r="A279" t="str">
        <v>278</v>
      </c>
      <c r="B279" t="str">
        <v>MASS BSF</v>
      </c>
      <c r="C279" t="str">
        <v>F2F-768</v>
      </c>
      <c r="D279" t="str">
        <v>F2F-768</v>
      </c>
      <c r="E279" t="str">
        <v/>
      </c>
      <c r="F279" t="str">
        <v>867162029832136</v>
      </c>
      <c r="G279" t="str">
        <v>TBD</v>
      </c>
      <c r="H279" t="str">
        <v/>
      </c>
      <c r="I279" t="str">
        <v>28/09/2026</v>
      </c>
      <c r="J279" t="str">
        <v>20:16:27</v>
      </c>
      <c r="K279">
        <v>-12.213087</v>
      </c>
      <c r="L279">
        <v>-76.95908</v>
      </c>
      <c r="M279">
        <f>HYPERLINK("https://www.google.com/maps/search/?api=1&amp;query=-12.213087,-76.95908","Avenida Villa del Mar, Villa El Salvador, Lima")</f>
      </c>
      <c r="N279">
        <v>0</v>
      </c>
      <c r="O279">
        <v>100</v>
      </c>
      <c r="P279">
        <v>3199.5</v>
      </c>
      <c r="Q279" t="str">
        <v>118.13</v>
      </c>
      <c r="R279" t="str">
        <v/>
      </c>
      <c r="S279" t="str">
        <v/>
      </c>
      <c r="T279" t="str">
        <v/>
      </c>
      <c r="U279" t="str">
        <v/>
      </c>
    </row>
    <row r="280">
      <c r="A280" t="str">
        <v>279</v>
      </c>
      <c r="B280" t="str">
        <v>MASS BSF</v>
      </c>
      <c r="C280" t="str">
        <v>F2F-768</v>
      </c>
      <c r="D280" t="str">
        <v>F2F-768</v>
      </c>
      <c r="E280" t="str">
        <v/>
      </c>
      <c r="F280" t="str">
        <v>867162029832136</v>
      </c>
      <c r="G280" t="str">
        <v>TBD</v>
      </c>
      <c r="H280" t="str">
        <v/>
      </c>
      <c r="I280" t="str">
        <v>28/09/2026</v>
      </c>
      <c r="J280" t="str">
        <v>20:46:30</v>
      </c>
      <c r="K280">
        <v>-12.213087</v>
      </c>
      <c r="L280">
        <v>-76.95908</v>
      </c>
      <c r="M280">
        <f>HYPERLINK("https://www.google.com/maps/search/?api=1&amp;query=-12.213087,-76.95908","Avenida Villa del Mar, Villa El Salvador, Lima")</f>
      </c>
      <c r="N280">
        <v>0</v>
      </c>
      <c r="O280">
        <v>100</v>
      </c>
      <c r="P280">
        <v>3199.5</v>
      </c>
      <c r="Q280" t="str">
        <v>118.13</v>
      </c>
      <c r="R280" t="str">
        <v/>
      </c>
      <c r="S280" t="str">
        <v/>
      </c>
      <c r="T280" t="str">
        <v/>
      </c>
      <c r="U280" t="str">
        <v/>
      </c>
    </row>
    <row r="281">
      <c r="A281" t="str">
        <v>280</v>
      </c>
      <c r="B281" t="str">
        <v>MASS BSF</v>
      </c>
      <c r="C281" t="str">
        <v>F2F-768</v>
      </c>
      <c r="D281" t="str">
        <v>F2F-768</v>
      </c>
      <c r="E281" t="str">
        <v/>
      </c>
      <c r="F281" t="str">
        <v>867162029832136</v>
      </c>
      <c r="G281" t="str">
        <v>TBD</v>
      </c>
      <c r="H281" t="str">
        <v/>
      </c>
      <c r="I281" t="str">
        <v>28/09/2026</v>
      </c>
      <c r="J281" t="str">
        <v>21:01:11</v>
      </c>
      <c r="K281">
        <v>-12.213187</v>
      </c>
      <c r="L281">
        <v>-76.95905</v>
      </c>
      <c r="M281">
        <f>HYPERLINK("https://www.google.com/maps/search/?api=1&amp;query=-12.213187,-76.95905","Villa El Salvador, Lima")</f>
      </c>
      <c r="N281">
        <v>0.1</v>
      </c>
      <c r="O281">
        <v>100</v>
      </c>
      <c r="P281">
        <v>3199.5</v>
      </c>
      <c r="Q281" t="str">
        <v>118.13</v>
      </c>
      <c r="R281" t="str">
        <v/>
      </c>
      <c r="S281" t="str">
        <v/>
      </c>
      <c r="T281" t="str">
        <v/>
      </c>
      <c r="U281" t="str">
        <v/>
      </c>
    </row>
    <row r="282">
      <c r="A282" t="str">
        <v>281</v>
      </c>
      <c r="B282" t="str">
        <v>MASS BSF</v>
      </c>
      <c r="C282" t="str">
        <v>F2F-768</v>
      </c>
      <c r="D282" t="str">
        <v>F2F-768</v>
      </c>
      <c r="E282" t="str">
        <v/>
      </c>
      <c r="F282" t="str">
        <v>867162029832136</v>
      </c>
      <c r="G282" t="str">
        <v>TBD</v>
      </c>
      <c r="H282" t="str">
        <v/>
      </c>
      <c r="I282" t="str">
        <v>28/09/2026</v>
      </c>
      <c r="J282" t="str">
        <v>21:01:11</v>
      </c>
      <c r="K282">
        <v>-12.213187</v>
      </c>
      <c r="L282">
        <v>-76.95905</v>
      </c>
      <c r="M282">
        <f>HYPERLINK("https://www.google.com/maps/search/?api=1&amp;query=-12.213187,-76.95905","Villa El Salvador, Lima")</f>
      </c>
      <c r="N282">
        <v>0.1</v>
      </c>
      <c r="O282">
        <v>100</v>
      </c>
      <c r="P282">
        <v>3199.5</v>
      </c>
      <c r="Q282" t="str">
        <v>118.13</v>
      </c>
      <c r="R282" t="str">
        <v/>
      </c>
      <c r="S282" t="str">
        <v/>
      </c>
      <c r="T282" t="str">
        <v/>
      </c>
      <c r="U282" t="str">
        <v/>
      </c>
    </row>
    <row r="283">
      <c r="A283" t="str">
        <v>282</v>
      </c>
      <c r="B283" t="str">
        <v>MASS BSF</v>
      </c>
      <c r="C283" t="str">
        <v>F2F-768</v>
      </c>
      <c r="D283" t="str">
        <v>F2F-768</v>
      </c>
      <c r="E283" t="str">
        <v/>
      </c>
      <c r="F283" t="str">
        <v>867162029832136</v>
      </c>
      <c r="G283" t="str">
        <v>TBD</v>
      </c>
      <c r="H283" t="str">
        <v/>
      </c>
      <c r="I283" t="str">
        <v>28/09/2026</v>
      </c>
      <c r="J283" t="str">
        <v>21:31:10</v>
      </c>
      <c r="K283">
        <v>-12.213187</v>
      </c>
      <c r="L283">
        <v>-76.95905</v>
      </c>
      <c r="M283">
        <f>HYPERLINK("https://www.google.com/maps/search/?api=1&amp;query=-12.213187,-76.95905","Villa El Salvador, Lima")</f>
      </c>
      <c r="N283">
        <v>0</v>
      </c>
      <c r="O283">
        <v>100</v>
      </c>
      <c r="P283">
        <v>3199.5</v>
      </c>
      <c r="Q283" t="str">
        <v>118.13</v>
      </c>
      <c r="R283" t="str">
        <v/>
      </c>
      <c r="S283" t="str">
        <v/>
      </c>
      <c r="T283" t="str">
        <v/>
      </c>
      <c r="U283" t="str">
        <v/>
      </c>
    </row>
    <row r="284">
      <c r="A284" t="str">
        <v>283</v>
      </c>
      <c r="B284" t="str">
        <v>MASS BSF</v>
      </c>
      <c r="C284" t="str">
        <v>F2F-768</v>
      </c>
      <c r="D284" t="str">
        <v>F2F-768</v>
      </c>
      <c r="E284" t="str">
        <v/>
      </c>
      <c r="F284" t="str">
        <v>867162029832136</v>
      </c>
      <c r="G284" t="str">
        <v>TBD</v>
      </c>
      <c r="H284" t="str">
        <v/>
      </c>
      <c r="I284" t="str">
        <v>28/09/2026</v>
      </c>
      <c r="J284" t="str">
        <v>22:01:15</v>
      </c>
      <c r="K284">
        <v>-12.213187</v>
      </c>
      <c r="L284">
        <v>-76.95905</v>
      </c>
      <c r="M284">
        <f>HYPERLINK("https://www.google.com/maps/search/?api=1&amp;query=-12.213187,-76.95905","Villa El Salvador, Lima")</f>
      </c>
      <c r="N284">
        <v>0</v>
      </c>
      <c r="O284">
        <v>100</v>
      </c>
      <c r="P284">
        <v>3199.5</v>
      </c>
      <c r="Q284" t="str">
        <v>118.13</v>
      </c>
      <c r="R284" t="str">
        <v/>
      </c>
      <c r="S284" t="str">
        <v/>
      </c>
      <c r="T284" t="str">
        <v/>
      </c>
      <c r="U284" t="str">
        <v/>
      </c>
    </row>
    <row r="285">
      <c r="A285" t="str">
        <v>284</v>
      </c>
      <c r="B285" t="str">
        <v>MASS BSF</v>
      </c>
      <c r="C285" t="str">
        <v>F2F-768</v>
      </c>
      <c r="D285" t="str">
        <v>F2F-768</v>
      </c>
      <c r="E285" t="str">
        <v/>
      </c>
      <c r="F285" t="str">
        <v>867162029832136</v>
      </c>
      <c r="G285" t="str">
        <v>TBD</v>
      </c>
      <c r="H285" t="str">
        <v/>
      </c>
      <c r="I285" t="str">
        <v>28/09/2026</v>
      </c>
      <c r="J285" t="str">
        <v>22:31:18</v>
      </c>
      <c r="K285">
        <v>-12.213187</v>
      </c>
      <c r="L285">
        <v>-76.95905</v>
      </c>
      <c r="M285">
        <f>HYPERLINK("https://www.google.com/maps/search/?api=1&amp;query=-12.213187,-76.95905","Villa El Salvador, Lima")</f>
      </c>
      <c r="N285">
        <v>0</v>
      </c>
      <c r="O285">
        <v>100</v>
      </c>
      <c r="P285">
        <v>3199.5</v>
      </c>
      <c r="Q285" t="str">
        <v>118.13</v>
      </c>
      <c r="R285" t="str">
        <v/>
      </c>
      <c r="S285" t="str">
        <v/>
      </c>
      <c r="T285" t="str">
        <v/>
      </c>
      <c r="U285" t="str">
        <v/>
      </c>
    </row>
    <row r="286">
      <c r="A286" t="str">
        <v>285</v>
      </c>
      <c r="B286" t="str">
        <v>MASS BSF</v>
      </c>
      <c r="C286" t="str">
        <v>F2F-768</v>
      </c>
      <c r="D286" t="str">
        <v>F2F-768</v>
      </c>
      <c r="E286" t="str">
        <v/>
      </c>
      <c r="F286" t="str">
        <v>867162029832136</v>
      </c>
      <c r="G286" t="str">
        <v>TBD</v>
      </c>
      <c r="H286" t="str">
        <v/>
      </c>
      <c r="I286" t="str">
        <v>28/09/2026</v>
      </c>
      <c r="J286" t="str">
        <v>23:01:20</v>
      </c>
      <c r="K286">
        <v>-12.213187</v>
      </c>
      <c r="L286">
        <v>-76.95905</v>
      </c>
      <c r="M286">
        <f>HYPERLINK("https://www.google.com/maps/search/?api=1&amp;query=-12.213187,-76.95905","Villa El Salvador, Lima")</f>
      </c>
      <c r="N286">
        <v>0</v>
      </c>
      <c r="O286">
        <v>100</v>
      </c>
      <c r="P286">
        <v>3199.5</v>
      </c>
      <c r="Q286" t="str">
        <v>118.13</v>
      </c>
      <c r="R286" t="str">
        <v/>
      </c>
      <c r="S286" t="str">
        <v/>
      </c>
      <c r="T286" t="str">
        <v/>
      </c>
      <c r="U286" t="str">
        <v/>
      </c>
    </row>
    <row r="287">
      <c r="A287" t="str">
        <v>286</v>
      </c>
      <c r="B287" t="str">
        <v>MASS BSF</v>
      </c>
      <c r="C287" t="str">
        <v>F2F-768</v>
      </c>
      <c r="D287" t="str">
        <v>F2F-768</v>
      </c>
      <c r="E287" t="str">
        <v/>
      </c>
      <c r="F287" t="str">
        <v>867162029832136</v>
      </c>
      <c r="G287" t="str">
        <v>TBD</v>
      </c>
      <c r="H287" t="str">
        <v/>
      </c>
      <c r="I287" t="str">
        <v>28/09/2026</v>
      </c>
      <c r="J287" t="str">
        <v>23:31:25</v>
      </c>
      <c r="K287">
        <v>-12.213187</v>
      </c>
      <c r="L287">
        <v>-76.95905</v>
      </c>
      <c r="M287">
        <f>HYPERLINK("https://www.google.com/maps/search/?api=1&amp;query=-12.213187,-76.95905","Villa El Salvador, Lima")</f>
      </c>
      <c r="N287">
        <v>0</v>
      </c>
      <c r="O287">
        <v>100</v>
      </c>
      <c r="P287">
        <v>3199.5</v>
      </c>
      <c r="Q287" t="str">
        <v>118.13</v>
      </c>
      <c r="R287" t="str">
        <v/>
      </c>
      <c r="S287" t="str">
        <v/>
      </c>
      <c r="T287" t="str">
        <v/>
      </c>
      <c r="U287" t="str">
        <v/>
      </c>
    </row>
  </sheetData>
  <ignoredErrors>
    <ignoredError numberStoredAsText="1" sqref="A1:U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