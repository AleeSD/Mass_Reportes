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port Histo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353"/>
  <sheetViews>
    <sheetView workbookViewId="0"/>
  </sheetViews>
  <sheetData>
    <row r="1">
      <c r="A1" t="str">
        <v>Secuencia</v>
      </c>
      <c r="B1" t="str">
        <v>Grupo</v>
      </c>
      <c r="C1" t="str">
        <v>Placa/Patente</v>
      </c>
      <c r="D1" t="str">
        <v>Etiquetas</v>
      </c>
      <c r="E1" t="str">
        <v>IMEI</v>
      </c>
      <c r="F1" t="str">
        <v>Tipo de carrocería</v>
      </c>
      <c r="G1" t="str">
        <v>Empresa</v>
      </c>
      <c r="H1" t="str">
        <v>Fecha</v>
      </c>
      <c r="I1" t="str">
        <v>Hora</v>
      </c>
      <c r="J1" t="str">
        <v>Latitud</v>
      </c>
      <c r="K1" t="str">
        <v>Longitud</v>
      </c>
      <c r="L1" t="str">
        <v>Dirección</v>
      </c>
      <c r="M1" t="str">
        <v>Velocidad (Km/h)</v>
      </c>
      <c r="N1" t="str">
        <v>% Batería</v>
      </c>
      <c r="O1" t="str">
        <v>Odómetro (Km)</v>
      </c>
      <c r="P1" t="str">
        <v>Horómetro (Hrs)</v>
      </c>
      <c r="Q1" t="str">
        <v>Alerta</v>
      </c>
      <c r="R1" t="str">
        <v>Zona/Marca</v>
      </c>
      <c r="S1" t="str">
        <v>Conductor</v>
      </c>
      <c r="T1" t="str">
        <v>Notas</v>
      </c>
    </row>
    <row r="2">
      <c r="A2" t="str">
        <v>1</v>
      </c>
      <c r="B2" t="str">
        <v>MASS BSF</v>
      </c>
      <c r="C2" t="str">
        <v>F1W-796</v>
      </c>
      <c r="D2" t="str">
        <v/>
      </c>
      <c r="E2" t="str">
        <v>867162026876599</v>
      </c>
      <c r="F2" t="str">
        <v>TBD</v>
      </c>
      <c r="G2" t="str">
        <v/>
      </c>
      <c r="H2" t="str">
        <v>28/09/2026</v>
      </c>
      <c r="I2" t="str">
        <v>00:01:47</v>
      </c>
      <c r="J2">
        <v>-12.213079</v>
      </c>
      <c r="K2">
        <v>-76.958534</v>
      </c>
      <c r="L2">
        <f>HYPERLINK("https://www.google.com/maps/search/?api=1&amp;query=-12.213079,-76.958534","Villa El Salvador, Lima")</f>
      </c>
      <c r="M2">
        <v>0</v>
      </c>
      <c r="N2">
        <v>98</v>
      </c>
      <c r="O2">
        <v>93923.4</v>
      </c>
      <c r="P2" t="str">
        <v>1,938.07</v>
      </c>
      <c r="Q2" t="str">
        <v/>
      </c>
      <c r="R2" t="str">
        <v/>
      </c>
      <c r="S2" t="str">
        <v/>
      </c>
      <c r="T2" t="str">
        <v/>
      </c>
    </row>
    <row r="3">
      <c r="A3" t="str">
        <v>2</v>
      </c>
      <c r="B3" t="str">
        <v>MASS BSF</v>
      </c>
      <c r="C3" t="str">
        <v>F1W-796</v>
      </c>
      <c r="D3" t="str">
        <v/>
      </c>
      <c r="E3" t="str">
        <v>867162026876599</v>
      </c>
      <c r="F3" t="str">
        <v>TBD</v>
      </c>
      <c r="G3" t="str">
        <v/>
      </c>
      <c r="H3" t="str">
        <v>28/09/2026</v>
      </c>
      <c r="I3" t="str">
        <v>00:31:52</v>
      </c>
      <c r="J3">
        <v>-12.213079</v>
      </c>
      <c r="K3">
        <v>-76.958534</v>
      </c>
      <c r="L3">
        <f>HYPERLINK("https://www.google.com/maps/search/?api=1&amp;query=-12.213079,-76.958534","Villa El Salvador, Lima")</f>
      </c>
      <c r="M3">
        <v>0</v>
      </c>
      <c r="N3">
        <v>98</v>
      </c>
      <c r="O3">
        <v>93923.4</v>
      </c>
      <c r="P3" t="str">
        <v>1,938.07</v>
      </c>
      <c r="Q3" t="str">
        <v/>
      </c>
      <c r="R3" t="str">
        <v/>
      </c>
      <c r="S3" t="str">
        <v/>
      </c>
      <c r="T3" t="str">
        <v/>
      </c>
    </row>
    <row r="4">
      <c r="A4" t="str">
        <v>3</v>
      </c>
      <c r="B4" t="str">
        <v>MASS BSF</v>
      </c>
      <c r="C4" t="str">
        <v>F1W-796</v>
      </c>
      <c r="D4" t="str">
        <v/>
      </c>
      <c r="E4" t="str">
        <v>867162026876599</v>
      </c>
      <c r="F4" t="str">
        <v>TBD</v>
      </c>
      <c r="G4" t="str">
        <v/>
      </c>
      <c r="H4" t="str">
        <v>28/09/2026</v>
      </c>
      <c r="I4" t="str">
        <v>01:01:56</v>
      </c>
      <c r="J4">
        <v>-12.213079</v>
      </c>
      <c r="K4">
        <v>-76.958534</v>
      </c>
      <c r="L4">
        <f>HYPERLINK("https://www.google.com/maps/search/?api=1&amp;query=-12.213079,-76.958534","Villa El Salvador, Lima")</f>
      </c>
      <c r="M4">
        <v>0</v>
      </c>
      <c r="N4">
        <v>98</v>
      </c>
      <c r="O4">
        <v>93923.4</v>
      </c>
      <c r="P4" t="str">
        <v>1,938.07</v>
      </c>
      <c r="Q4" t="str">
        <v/>
      </c>
      <c r="R4" t="str">
        <v/>
      </c>
      <c r="S4" t="str">
        <v/>
      </c>
      <c r="T4" t="str">
        <v/>
      </c>
    </row>
    <row r="5">
      <c r="A5" t="str">
        <v>4</v>
      </c>
      <c r="B5" t="str">
        <v>MASS BSF</v>
      </c>
      <c r="C5" t="str">
        <v>F1W-796</v>
      </c>
      <c r="D5" t="str">
        <v/>
      </c>
      <c r="E5" t="str">
        <v>867162026876599</v>
      </c>
      <c r="F5" t="str">
        <v>TBD</v>
      </c>
      <c r="G5" t="str">
        <v/>
      </c>
      <c r="H5" t="str">
        <v>28/09/2026</v>
      </c>
      <c r="I5" t="str">
        <v>01:32:01</v>
      </c>
      <c r="J5">
        <v>-12.213079</v>
      </c>
      <c r="K5">
        <v>-76.958534</v>
      </c>
      <c r="L5">
        <f>HYPERLINK("https://www.google.com/maps/search/?api=1&amp;query=-12.213079,-76.958534","Villa El Salvador, Lima")</f>
      </c>
      <c r="M5">
        <v>0</v>
      </c>
      <c r="N5">
        <v>98</v>
      </c>
      <c r="O5">
        <v>93923.4</v>
      </c>
      <c r="P5" t="str">
        <v>1,938.07</v>
      </c>
      <c r="Q5" t="str">
        <v/>
      </c>
      <c r="R5" t="str">
        <v/>
      </c>
      <c r="S5" t="str">
        <v/>
      </c>
      <c r="T5" t="str">
        <v/>
      </c>
    </row>
    <row r="6">
      <c r="A6" t="str">
        <v>5</v>
      </c>
      <c r="B6" t="str">
        <v>MASS BSF</v>
      </c>
      <c r="C6" t="str">
        <v>F1W-796</v>
      </c>
      <c r="D6" t="str">
        <v/>
      </c>
      <c r="E6" t="str">
        <v>867162026876599</v>
      </c>
      <c r="F6" t="str">
        <v>TBD</v>
      </c>
      <c r="G6" t="str">
        <v/>
      </c>
      <c r="H6" t="str">
        <v>28/09/2026</v>
      </c>
      <c r="I6" t="str">
        <v>02:02:06</v>
      </c>
      <c r="J6">
        <v>-12.213079</v>
      </c>
      <c r="K6">
        <v>-76.958534</v>
      </c>
      <c r="L6">
        <f>HYPERLINK("https://www.google.com/maps/search/?api=1&amp;query=-12.213079,-76.958534","Villa El Salvador, Lima")</f>
      </c>
      <c r="M6">
        <v>0</v>
      </c>
      <c r="N6">
        <v>98</v>
      </c>
      <c r="O6">
        <v>93923.4</v>
      </c>
      <c r="P6" t="str">
        <v>1,938.07</v>
      </c>
      <c r="Q6" t="str">
        <v/>
      </c>
      <c r="R6" t="str">
        <v/>
      </c>
      <c r="S6" t="str">
        <v/>
      </c>
      <c r="T6" t="str">
        <v/>
      </c>
    </row>
    <row r="7">
      <c r="A7" t="str">
        <v>6</v>
      </c>
      <c r="B7" t="str">
        <v>MASS BSF</v>
      </c>
      <c r="C7" t="str">
        <v>F1W-796</v>
      </c>
      <c r="D7" t="str">
        <v/>
      </c>
      <c r="E7" t="str">
        <v>867162026876599</v>
      </c>
      <c r="F7" t="str">
        <v>TBD</v>
      </c>
      <c r="G7" t="str">
        <v/>
      </c>
      <c r="H7" t="str">
        <v>28/09/2026</v>
      </c>
      <c r="I7" t="str">
        <v>02:32:11</v>
      </c>
      <c r="J7">
        <v>-12.213079</v>
      </c>
      <c r="K7">
        <v>-76.958534</v>
      </c>
      <c r="L7">
        <f>HYPERLINK("https://www.google.com/maps/search/?api=1&amp;query=-12.213079,-76.958534","Villa El Salvador, Lima")</f>
      </c>
      <c r="M7">
        <v>0</v>
      </c>
      <c r="N7">
        <v>98</v>
      </c>
      <c r="O7">
        <v>93923.4</v>
      </c>
      <c r="P7" t="str">
        <v>1,938.07</v>
      </c>
      <c r="Q7" t="str">
        <v/>
      </c>
      <c r="R7" t="str">
        <v/>
      </c>
      <c r="S7" t="str">
        <v/>
      </c>
      <c r="T7" t="str">
        <v/>
      </c>
    </row>
    <row r="8">
      <c r="A8" t="str">
        <v>7</v>
      </c>
      <c r="B8" t="str">
        <v>MASS BSF</v>
      </c>
      <c r="C8" t="str">
        <v>F1W-796</v>
      </c>
      <c r="D8" t="str">
        <v/>
      </c>
      <c r="E8" t="str">
        <v>867162026876599</v>
      </c>
      <c r="F8" t="str">
        <v>TBD</v>
      </c>
      <c r="G8" t="str">
        <v/>
      </c>
      <c r="H8" t="str">
        <v>28/09/2026</v>
      </c>
      <c r="I8" t="str">
        <v>03:02:15</v>
      </c>
      <c r="J8">
        <v>-12.213079</v>
      </c>
      <c r="K8">
        <v>-76.958534</v>
      </c>
      <c r="L8">
        <f>HYPERLINK("https://www.google.com/maps/search/?api=1&amp;query=-12.213079,-76.958534","Villa El Salvador, Lima")</f>
      </c>
      <c r="M8">
        <v>0</v>
      </c>
      <c r="N8">
        <v>98</v>
      </c>
      <c r="O8">
        <v>93923.4</v>
      </c>
      <c r="P8" t="str">
        <v>1,938.07</v>
      </c>
      <c r="Q8" t="str">
        <v/>
      </c>
      <c r="R8" t="str">
        <v/>
      </c>
      <c r="S8" t="str">
        <v/>
      </c>
      <c r="T8" t="str">
        <v/>
      </c>
    </row>
    <row r="9">
      <c r="A9" t="str">
        <v>8</v>
      </c>
      <c r="B9" t="str">
        <v>MASS BSF</v>
      </c>
      <c r="C9" t="str">
        <v>F1W-796</v>
      </c>
      <c r="D9" t="str">
        <v/>
      </c>
      <c r="E9" t="str">
        <v>867162026876599</v>
      </c>
      <c r="F9" t="str">
        <v>TBD</v>
      </c>
      <c r="G9" t="str">
        <v/>
      </c>
      <c r="H9" t="str">
        <v>28/09/2026</v>
      </c>
      <c r="I9" t="str">
        <v>03:32:20</v>
      </c>
      <c r="J9">
        <v>-12.213079</v>
      </c>
      <c r="K9">
        <v>-76.958534</v>
      </c>
      <c r="L9">
        <f>HYPERLINK("https://www.google.com/maps/search/?api=1&amp;query=-12.213079,-76.958534","Villa El Salvador, Lima")</f>
      </c>
      <c r="M9">
        <v>0</v>
      </c>
      <c r="N9">
        <v>98</v>
      </c>
      <c r="O9">
        <v>93923.4</v>
      </c>
      <c r="P9" t="str">
        <v>1,938.07</v>
      </c>
      <c r="Q9" t="str">
        <v/>
      </c>
      <c r="R9" t="str">
        <v/>
      </c>
      <c r="S9" t="str">
        <v/>
      </c>
      <c r="T9" t="str">
        <v/>
      </c>
    </row>
    <row r="10">
      <c r="A10" t="str">
        <v>9</v>
      </c>
      <c r="B10" t="str">
        <v>MASS BSF</v>
      </c>
      <c r="C10" t="str">
        <v>F1W-796</v>
      </c>
      <c r="D10" t="str">
        <v/>
      </c>
      <c r="E10" t="str">
        <v>867162026876599</v>
      </c>
      <c r="F10" t="str">
        <v>TBD</v>
      </c>
      <c r="G10" t="str">
        <v/>
      </c>
      <c r="H10" t="str">
        <v>28/09/2026</v>
      </c>
      <c r="I10" t="str">
        <v>04:02:25</v>
      </c>
      <c r="J10">
        <v>-12.213079</v>
      </c>
      <c r="K10">
        <v>-76.958534</v>
      </c>
      <c r="L10">
        <f>HYPERLINK("https://www.google.com/maps/search/?api=1&amp;query=-12.213079,-76.958534","Villa El Salvador, Lima")</f>
      </c>
      <c r="M10">
        <v>0</v>
      </c>
      <c r="N10">
        <v>98</v>
      </c>
      <c r="O10">
        <v>93923.4</v>
      </c>
      <c r="P10" t="str">
        <v>1,938.07</v>
      </c>
      <c r="Q10" t="str">
        <v/>
      </c>
      <c r="R10" t="str">
        <v/>
      </c>
      <c r="S10" t="str">
        <v/>
      </c>
      <c r="T10" t="str">
        <v/>
      </c>
    </row>
    <row r="11">
      <c r="A11" t="str">
        <v>10</v>
      </c>
      <c r="B11" t="str">
        <v>MASS BSF</v>
      </c>
      <c r="C11" t="str">
        <v>F1W-796</v>
      </c>
      <c r="D11" t="str">
        <v/>
      </c>
      <c r="E11" t="str">
        <v>867162026876599</v>
      </c>
      <c r="F11" t="str">
        <v>TBD</v>
      </c>
      <c r="G11" t="str">
        <v/>
      </c>
      <c r="H11" t="str">
        <v>28/09/2026</v>
      </c>
      <c r="I11" t="str">
        <v>04:32:30</v>
      </c>
      <c r="J11">
        <v>-12.213079</v>
      </c>
      <c r="K11">
        <v>-76.958534</v>
      </c>
      <c r="L11">
        <f>HYPERLINK("https://www.google.com/maps/search/?api=1&amp;query=-12.213079,-76.958534","Villa El Salvador, Lima")</f>
      </c>
      <c r="M11">
        <v>0</v>
      </c>
      <c r="N11">
        <v>98</v>
      </c>
      <c r="O11">
        <v>93923.4</v>
      </c>
      <c r="P11" t="str">
        <v>1,938.07</v>
      </c>
      <c r="Q11" t="str">
        <v/>
      </c>
      <c r="R11" t="str">
        <v/>
      </c>
      <c r="S11" t="str">
        <v/>
      </c>
      <c r="T11" t="str">
        <v/>
      </c>
    </row>
    <row r="12">
      <c r="A12" t="str">
        <v>11</v>
      </c>
      <c r="B12" t="str">
        <v>MASS BSF</v>
      </c>
      <c r="C12" t="str">
        <v>F1W-796</v>
      </c>
      <c r="D12" t="str">
        <v/>
      </c>
      <c r="E12" t="str">
        <v>867162026876599</v>
      </c>
      <c r="F12" t="str">
        <v>TBD</v>
      </c>
      <c r="G12" t="str">
        <v/>
      </c>
      <c r="H12" t="str">
        <v>28/09/2026</v>
      </c>
      <c r="I12" t="str">
        <v>05:02:34</v>
      </c>
      <c r="J12">
        <v>-12.213079</v>
      </c>
      <c r="K12">
        <v>-76.958534</v>
      </c>
      <c r="L12">
        <f>HYPERLINK("https://www.google.com/maps/search/?api=1&amp;query=-12.213079,-76.958534","Villa El Salvador, Lima")</f>
      </c>
      <c r="M12">
        <v>0</v>
      </c>
      <c r="N12">
        <v>98</v>
      </c>
      <c r="O12">
        <v>93923.4</v>
      </c>
      <c r="P12" t="str">
        <v>1,938.07</v>
      </c>
      <c r="Q12" t="str">
        <v/>
      </c>
      <c r="R12" t="str">
        <v/>
      </c>
      <c r="S12" t="str">
        <v/>
      </c>
      <c r="T12" t="str">
        <v/>
      </c>
    </row>
    <row r="13">
      <c r="A13" t="str">
        <v>12</v>
      </c>
      <c r="B13" t="str">
        <v>MASS BSF</v>
      </c>
      <c r="C13" t="str">
        <v>F1W-796</v>
      </c>
      <c r="D13" t="str">
        <v/>
      </c>
      <c r="E13" t="str">
        <v>867162026876599</v>
      </c>
      <c r="F13" t="str">
        <v>TBD</v>
      </c>
      <c r="G13" t="str">
        <v/>
      </c>
      <c r="H13" t="str">
        <v>28/09/2026</v>
      </c>
      <c r="I13" t="str">
        <v>05:32:39</v>
      </c>
      <c r="J13">
        <v>-12.213079</v>
      </c>
      <c r="K13">
        <v>-76.958534</v>
      </c>
      <c r="L13">
        <f>HYPERLINK("https://www.google.com/maps/search/?api=1&amp;query=-12.213079,-76.958534","Villa El Salvador, Lima")</f>
      </c>
      <c r="M13">
        <v>0</v>
      </c>
      <c r="N13">
        <v>98</v>
      </c>
      <c r="O13">
        <v>93923.4</v>
      </c>
      <c r="P13" t="str">
        <v>1,938.07</v>
      </c>
      <c r="Q13" t="str">
        <v/>
      </c>
      <c r="R13" t="str">
        <v/>
      </c>
      <c r="S13" t="str">
        <v/>
      </c>
      <c r="T13" t="str">
        <v/>
      </c>
    </row>
    <row r="14">
      <c r="A14" t="str">
        <v>13</v>
      </c>
      <c r="B14" t="str">
        <v>MASS BSF</v>
      </c>
      <c r="C14" t="str">
        <v>F1W-796</v>
      </c>
      <c r="D14" t="str">
        <v/>
      </c>
      <c r="E14" t="str">
        <v>867162026876599</v>
      </c>
      <c r="F14" t="str">
        <v>TBD</v>
      </c>
      <c r="G14" t="str">
        <v/>
      </c>
      <c r="H14" t="str">
        <v>28/09/2026</v>
      </c>
      <c r="I14" t="str">
        <v>06:02:44</v>
      </c>
      <c r="J14">
        <v>-12.213079</v>
      </c>
      <c r="K14">
        <v>-76.958534</v>
      </c>
      <c r="L14">
        <f>HYPERLINK("https://www.google.com/maps/search/?api=1&amp;query=-12.213079,-76.958534","Villa El Salvador, Lima")</f>
      </c>
      <c r="M14">
        <v>0</v>
      </c>
      <c r="N14">
        <v>98</v>
      </c>
      <c r="O14">
        <v>93923.4</v>
      </c>
      <c r="P14" t="str">
        <v>1,938.07</v>
      </c>
      <c r="Q14" t="str">
        <v/>
      </c>
      <c r="R14" t="str">
        <v/>
      </c>
      <c r="S14" t="str">
        <v/>
      </c>
      <c r="T14" t="str">
        <v/>
      </c>
    </row>
    <row r="15">
      <c r="A15" t="str">
        <v>14</v>
      </c>
      <c r="B15" t="str">
        <v>MASS BSF</v>
      </c>
      <c r="C15" t="str">
        <v>F1W-796</v>
      </c>
      <c r="D15" t="str">
        <v/>
      </c>
      <c r="E15" t="str">
        <v>867162026876599</v>
      </c>
      <c r="F15" t="str">
        <v>TBD</v>
      </c>
      <c r="G15" t="str">
        <v/>
      </c>
      <c r="H15" t="str">
        <v>28/09/2026</v>
      </c>
      <c r="I15" t="str">
        <v>06:32:49</v>
      </c>
      <c r="J15">
        <v>-12.213079</v>
      </c>
      <c r="K15">
        <v>-76.958534</v>
      </c>
      <c r="L15">
        <f>HYPERLINK("https://www.google.com/maps/search/?api=1&amp;query=-12.213079,-76.958534","Villa El Salvador, Lima")</f>
      </c>
      <c r="M15">
        <v>0</v>
      </c>
      <c r="N15">
        <v>98</v>
      </c>
      <c r="O15">
        <v>93923.4</v>
      </c>
      <c r="P15" t="str">
        <v>1,938.07</v>
      </c>
      <c r="Q15" t="str">
        <v/>
      </c>
      <c r="R15" t="str">
        <v/>
      </c>
      <c r="S15" t="str">
        <v/>
      </c>
      <c r="T15" t="str">
        <v/>
      </c>
    </row>
    <row r="16">
      <c r="A16" t="str">
        <v>15</v>
      </c>
      <c r="B16" t="str">
        <v>MASS BSF</v>
      </c>
      <c r="C16" t="str">
        <v>F1W-796</v>
      </c>
      <c r="D16" t="str">
        <v/>
      </c>
      <c r="E16" t="str">
        <v>867162026876599</v>
      </c>
      <c r="F16" t="str">
        <v>TBD</v>
      </c>
      <c r="G16" t="str">
        <v/>
      </c>
      <c r="H16" t="str">
        <v>28/09/2026</v>
      </c>
      <c r="I16" t="str">
        <v>07:02:53</v>
      </c>
      <c r="J16">
        <v>-12.213079</v>
      </c>
      <c r="K16">
        <v>-76.958534</v>
      </c>
      <c r="L16">
        <f>HYPERLINK("https://www.google.com/maps/search/?api=1&amp;query=-12.213079,-76.958534","Villa El Salvador, Lima")</f>
      </c>
      <c r="M16">
        <v>0</v>
      </c>
      <c r="N16">
        <v>98</v>
      </c>
      <c r="O16">
        <v>93923.4</v>
      </c>
      <c r="P16" t="str">
        <v>1,938.07</v>
      </c>
      <c r="Q16" t="str">
        <v/>
      </c>
      <c r="R16" t="str">
        <v/>
      </c>
      <c r="S16" t="str">
        <v/>
      </c>
      <c r="T16" t="str">
        <v/>
      </c>
    </row>
    <row r="17">
      <c r="A17" t="str">
        <v>16</v>
      </c>
      <c r="B17" t="str">
        <v>MASS BSF</v>
      </c>
      <c r="C17" t="str">
        <v>F1W-796</v>
      </c>
      <c r="D17" t="str">
        <v/>
      </c>
      <c r="E17" t="str">
        <v>867162026876599</v>
      </c>
      <c r="F17" t="str">
        <v>TBD</v>
      </c>
      <c r="G17" t="str">
        <v/>
      </c>
      <c r="H17" t="str">
        <v>28/09/2026</v>
      </c>
      <c r="I17" t="str">
        <v>07:32:58</v>
      </c>
      <c r="J17">
        <v>-12.213079</v>
      </c>
      <c r="K17">
        <v>-76.958534</v>
      </c>
      <c r="L17">
        <f>HYPERLINK("https://www.google.com/maps/search/?api=1&amp;query=-12.213079,-76.958534","Villa El Salvador, Lima")</f>
      </c>
      <c r="M17">
        <v>0</v>
      </c>
      <c r="N17">
        <v>98</v>
      </c>
      <c r="O17">
        <v>93923.4</v>
      </c>
      <c r="P17" t="str">
        <v>1,938.07</v>
      </c>
      <c r="Q17" t="str">
        <v/>
      </c>
      <c r="R17" t="str">
        <v/>
      </c>
      <c r="S17" t="str">
        <v/>
      </c>
      <c r="T17" t="str">
        <v/>
      </c>
    </row>
    <row r="18">
      <c r="A18" t="str">
        <v>17</v>
      </c>
      <c r="B18" t="str">
        <v>MASS BSF</v>
      </c>
      <c r="C18" t="str">
        <v>F1W-796</v>
      </c>
      <c r="D18" t="str">
        <v/>
      </c>
      <c r="E18" t="str">
        <v>867162026876599</v>
      </c>
      <c r="F18" t="str">
        <v>TBD</v>
      </c>
      <c r="G18" t="str">
        <v/>
      </c>
      <c r="H18" t="str">
        <v>28/09/2026</v>
      </c>
      <c r="I18" t="str">
        <v>08:03:02</v>
      </c>
      <c r="J18">
        <v>-12.213079</v>
      </c>
      <c r="K18">
        <v>-76.958534</v>
      </c>
      <c r="L18">
        <f>HYPERLINK("https://www.google.com/maps/search/?api=1&amp;query=-12.213079,-76.958534","Villa El Salvador, Lima")</f>
      </c>
      <c r="M18">
        <v>0</v>
      </c>
      <c r="N18">
        <v>98</v>
      </c>
      <c r="O18">
        <v>93923.4</v>
      </c>
      <c r="P18" t="str">
        <v>1,938.07</v>
      </c>
      <c r="Q18" t="str">
        <v/>
      </c>
      <c r="R18" t="str">
        <v/>
      </c>
      <c r="S18" t="str">
        <v/>
      </c>
      <c r="T18" t="str">
        <v/>
      </c>
    </row>
    <row r="19">
      <c r="A19" t="str">
        <v>18</v>
      </c>
      <c r="B19" t="str">
        <v>MASS BSF</v>
      </c>
      <c r="C19" t="str">
        <v>F1W-796</v>
      </c>
      <c r="D19" t="str">
        <v/>
      </c>
      <c r="E19" t="str">
        <v>867162026876599</v>
      </c>
      <c r="F19" t="str">
        <v>TBD</v>
      </c>
      <c r="G19" t="str">
        <v/>
      </c>
      <c r="H19" t="str">
        <v>28/09/2026</v>
      </c>
      <c r="I19" t="str">
        <v>08:31:23</v>
      </c>
      <c r="J19">
        <v>-12.213079</v>
      </c>
      <c r="K19">
        <v>-76.958534</v>
      </c>
      <c r="L19">
        <f>HYPERLINK("https://www.google.com/maps/search/?api=1&amp;query=-12.213079,-76.958534","Villa El Salvador, Lima")</f>
      </c>
      <c r="M19">
        <v>0</v>
      </c>
      <c r="N19">
        <v>98</v>
      </c>
      <c r="O19">
        <v>93923.4</v>
      </c>
      <c r="P19" t="str">
        <v>1,938.07</v>
      </c>
      <c r="Q19" t="str">
        <v>Vehículo encendido</v>
      </c>
      <c r="R19" t="str">
        <v/>
      </c>
      <c r="S19" t="str">
        <v/>
      </c>
      <c r="T19" t="str">
        <v/>
      </c>
    </row>
    <row r="20">
      <c r="A20" t="str">
        <v>19</v>
      </c>
      <c r="B20" t="str">
        <v>MASS BSF</v>
      </c>
      <c r="C20" t="str">
        <v>F1W-796</v>
      </c>
      <c r="D20" t="str">
        <v/>
      </c>
      <c r="E20" t="str">
        <v>867162026876599</v>
      </c>
      <c r="F20" t="str">
        <v>TBD</v>
      </c>
      <c r="G20" t="str">
        <v/>
      </c>
      <c r="H20" t="str">
        <v>28/09/2026</v>
      </c>
      <c r="I20" t="str">
        <v>08:31:30</v>
      </c>
      <c r="J20">
        <v>-12.212896</v>
      </c>
      <c r="K20">
        <v>-76.95883</v>
      </c>
      <c r="L20">
        <f>HYPERLINK("https://www.google.com/maps/search/?api=1&amp;query=-12.212896,-76.95883","Avenida Villa del Mar, Villa El Salvador, Lima")</f>
      </c>
      <c r="M20">
        <v>0.1</v>
      </c>
      <c r="N20">
        <v>98</v>
      </c>
      <c r="O20">
        <v>93923.4</v>
      </c>
      <c r="P20" t="str">
        <v>1,938.07</v>
      </c>
      <c r="Q20" t="str">
        <v/>
      </c>
      <c r="R20" t="str">
        <v/>
      </c>
      <c r="S20" t="str">
        <v/>
      </c>
      <c r="T20" t="str">
        <v/>
      </c>
    </row>
    <row r="21">
      <c r="A21" t="str">
        <v>20</v>
      </c>
      <c r="B21" t="str">
        <v>MASS BSF</v>
      </c>
      <c r="C21" t="str">
        <v>F1W-796</v>
      </c>
      <c r="D21" t="str">
        <v/>
      </c>
      <c r="E21" t="str">
        <v>867162026876599</v>
      </c>
      <c r="F21" t="str">
        <v>TBD</v>
      </c>
      <c r="G21" t="str">
        <v/>
      </c>
      <c r="H21" t="str">
        <v>28/09/2026</v>
      </c>
      <c r="I21" t="str">
        <v>08:32:26</v>
      </c>
      <c r="J21">
        <v>-12.212918</v>
      </c>
      <c r="K21">
        <v>-76.95883</v>
      </c>
      <c r="L21">
        <f>HYPERLINK("https://www.google.com/maps/search/?api=1&amp;query=-12.212918,-76.95883","Avenida Villa del Mar, Villa El Salvador, Lima")</f>
      </c>
      <c r="M21">
        <v>0</v>
      </c>
      <c r="N21">
        <v>98</v>
      </c>
      <c r="O21">
        <v>93923.4</v>
      </c>
      <c r="P21" t="str">
        <v>1,938.07</v>
      </c>
      <c r="Q21" t="str">
        <v/>
      </c>
      <c r="R21" t="str">
        <v/>
      </c>
      <c r="S21" t="str">
        <v/>
      </c>
      <c r="T21" t="str">
        <v/>
      </c>
    </row>
    <row r="22">
      <c r="A22" t="str">
        <v>21</v>
      </c>
      <c r="B22" t="str">
        <v>MASS BSF</v>
      </c>
      <c r="C22" t="str">
        <v>F1W-796</v>
      </c>
      <c r="D22" t="str">
        <v/>
      </c>
      <c r="E22" t="str">
        <v>867162026876599</v>
      </c>
      <c r="F22" t="str">
        <v>TBD</v>
      </c>
      <c r="G22" t="str">
        <v/>
      </c>
      <c r="H22" t="str">
        <v>28/09/2026</v>
      </c>
      <c r="I22" t="str">
        <v>08:33:26</v>
      </c>
      <c r="J22">
        <v>-12.212918</v>
      </c>
      <c r="K22">
        <v>-76.95883</v>
      </c>
      <c r="L22">
        <f>HYPERLINK("https://www.google.com/maps/search/?api=1&amp;query=-12.212918,-76.95883","Avenida Villa del Mar, Villa El Salvador, Lima")</f>
      </c>
      <c r="M22">
        <v>0</v>
      </c>
      <c r="N22">
        <v>98</v>
      </c>
      <c r="O22">
        <v>93923.4</v>
      </c>
      <c r="P22" t="str">
        <v>1,938.07</v>
      </c>
      <c r="Q22" t="str">
        <v/>
      </c>
      <c r="R22" t="str">
        <v/>
      </c>
      <c r="S22" t="str">
        <v/>
      </c>
      <c r="T22" t="str">
        <v/>
      </c>
    </row>
    <row r="23">
      <c r="A23" t="str">
        <v>22</v>
      </c>
      <c r="B23" t="str">
        <v>MASS BSF</v>
      </c>
      <c r="C23" t="str">
        <v>F1W-796</v>
      </c>
      <c r="D23" t="str">
        <v/>
      </c>
      <c r="E23" t="str">
        <v>867162026876599</v>
      </c>
      <c r="F23" t="str">
        <v>TBD</v>
      </c>
      <c r="G23" t="str">
        <v/>
      </c>
      <c r="H23" t="str">
        <v>28/09/2026</v>
      </c>
      <c r="I23" t="str">
        <v>08:34:26</v>
      </c>
      <c r="J23">
        <v>-12.212918</v>
      </c>
      <c r="K23">
        <v>-76.95883</v>
      </c>
      <c r="L23">
        <f>HYPERLINK("https://www.google.com/maps/search/?api=1&amp;query=-12.212918,-76.95883","Avenida Villa del Mar, Villa El Salvador, Lima")</f>
      </c>
      <c r="M23">
        <v>0</v>
      </c>
      <c r="N23">
        <v>98</v>
      </c>
      <c r="O23">
        <v>93923.4</v>
      </c>
      <c r="P23" t="str">
        <v>1,938.07</v>
      </c>
      <c r="Q23" t="str">
        <v/>
      </c>
      <c r="R23" t="str">
        <v/>
      </c>
      <c r="S23" t="str">
        <v/>
      </c>
      <c r="T23" t="str">
        <v/>
      </c>
    </row>
    <row r="24">
      <c r="A24" t="str">
        <v>23</v>
      </c>
      <c r="B24" t="str">
        <v>MASS BSF</v>
      </c>
      <c r="C24" t="str">
        <v>F1W-796</v>
      </c>
      <c r="D24" t="str">
        <v/>
      </c>
      <c r="E24" t="str">
        <v>867162026876599</v>
      </c>
      <c r="F24" t="str">
        <v>TBD</v>
      </c>
      <c r="G24" t="str">
        <v/>
      </c>
      <c r="H24" t="str">
        <v>28/09/2026</v>
      </c>
      <c r="I24" t="str">
        <v>08:35:26</v>
      </c>
      <c r="J24">
        <v>-12.212918</v>
      </c>
      <c r="K24">
        <v>-76.95883</v>
      </c>
      <c r="L24">
        <f>HYPERLINK("https://www.google.com/maps/search/?api=1&amp;query=-12.212918,-76.95883","Avenida Villa del Mar, Villa El Salvador, Lima")</f>
      </c>
      <c r="M24">
        <v>0</v>
      </c>
      <c r="N24">
        <v>98</v>
      </c>
      <c r="O24">
        <v>93923.4</v>
      </c>
      <c r="P24" t="str">
        <v>1,938.07</v>
      </c>
      <c r="Q24" t="str">
        <v/>
      </c>
      <c r="R24" t="str">
        <v/>
      </c>
      <c r="S24" t="str">
        <v/>
      </c>
      <c r="T24" t="str">
        <v/>
      </c>
    </row>
    <row r="25">
      <c r="A25" t="str">
        <v>24</v>
      </c>
      <c r="B25" t="str">
        <v>MASS BSF</v>
      </c>
      <c r="C25" t="str">
        <v>F1W-796</v>
      </c>
      <c r="D25" t="str">
        <v/>
      </c>
      <c r="E25" t="str">
        <v>867162026876599</v>
      </c>
      <c r="F25" t="str">
        <v>TBD</v>
      </c>
      <c r="G25" t="str">
        <v/>
      </c>
      <c r="H25" t="str">
        <v>28/09/2026</v>
      </c>
      <c r="I25" t="str">
        <v>08:36:26</v>
      </c>
      <c r="J25">
        <v>-12.212918</v>
      </c>
      <c r="K25">
        <v>-76.95883</v>
      </c>
      <c r="L25">
        <f>HYPERLINK("https://www.google.com/maps/search/?api=1&amp;query=-12.212918,-76.95883","Avenida Villa del Mar, Villa El Salvador, Lima")</f>
      </c>
      <c r="M25">
        <v>0</v>
      </c>
      <c r="N25">
        <v>98</v>
      </c>
      <c r="O25">
        <v>93923.4</v>
      </c>
      <c r="P25" t="str">
        <v>1,938.07</v>
      </c>
      <c r="Q25" t="str">
        <v/>
      </c>
      <c r="R25" t="str">
        <v/>
      </c>
      <c r="S25" t="str">
        <v/>
      </c>
      <c r="T25" t="str">
        <v/>
      </c>
    </row>
    <row r="26">
      <c r="A26" t="str">
        <v>25</v>
      </c>
      <c r="B26" t="str">
        <v>MASS BSF</v>
      </c>
      <c r="C26" t="str">
        <v>F1W-796</v>
      </c>
      <c r="D26" t="str">
        <v/>
      </c>
      <c r="E26" t="str">
        <v>867162026876599</v>
      </c>
      <c r="F26" t="str">
        <v>TBD</v>
      </c>
      <c r="G26" t="str">
        <v/>
      </c>
      <c r="H26" t="str">
        <v>28/09/2026</v>
      </c>
      <c r="I26" t="str">
        <v>08:36:46</v>
      </c>
      <c r="J26">
        <v>-12.212918</v>
      </c>
      <c r="K26">
        <v>-76.95883</v>
      </c>
      <c r="L26">
        <f>HYPERLINK("https://www.google.com/maps/search/?api=1&amp;query=-12.212918,-76.95883","Avenida Villa del Mar, Villa El Salvador, Lima")</f>
      </c>
      <c r="M26">
        <v>0</v>
      </c>
      <c r="N26">
        <v>98</v>
      </c>
      <c r="O26">
        <v>93923.4</v>
      </c>
      <c r="P26" t="str">
        <v>1,938.15</v>
      </c>
      <c r="Q26" t="str">
        <v>Vehículo apagado</v>
      </c>
      <c r="R26" t="str">
        <v/>
      </c>
      <c r="S26" t="str">
        <v/>
      </c>
      <c r="T26" t="str">
        <v/>
      </c>
    </row>
    <row r="27">
      <c r="A27" t="str">
        <v>26</v>
      </c>
      <c r="B27" t="str">
        <v>MASS BSF</v>
      </c>
      <c r="C27" t="str">
        <v>F1W-796</v>
      </c>
      <c r="D27" t="str">
        <v/>
      </c>
      <c r="E27" t="str">
        <v>867162026876599</v>
      </c>
      <c r="F27" t="str">
        <v>TBD</v>
      </c>
      <c r="G27" t="str">
        <v/>
      </c>
      <c r="H27" t="str">
        <v>28/09/2026</v>
      </c>
      <c r="I27" t="str">
        <v>08:36:50</v>
      </c>
      <c r="J27">
        <v>-12.212918</v>
      </c>
      <c r="K27">
        <v>-76.95883</v>
      </c>
      <c r="L27">
        <f>HYPERLINK("https://www.google.com/maps/search/?api=1&amp;query=-12.212918,-76.95883","Avenida Villa del Mar, Villa El Salvador, Lima")</f>
      </c>
      <c r="M27">
        <v>0</v>
      </c>
      <c r="N27">
        <v>98</v>
      </c>
      <c r="O27">
        <v>93923.4</v>
      </c>
      <c r="P27" t="str">
        <v>1,938.15</v>
      </c>
      <c r="Q27" t="str">
        <v/>
      </c>
      <c r="R27" t="str">
        <v/>
      </c>
      <c r="S27" t="str">
        <v/>
      </c>
      <c r="T27" t="str">
        <v/>
      </c>
    </row>
    <row r="28">
      <c r="A28" t="str">
        <v>27</v>
      </c>
      <c r="B28" t="str">
        <v>MASS BSF</v>
      </c>
      <c r="C28" t="str">
        <v>F1W-796</v>
      </c>
      <c r="D28" t="str">
        <v/>
      </c>
      <c r="E28" t="str">
        <v>867162026876599</v>
      </c>
      <c r="F28" t="str">
        <v>TBD</v>
      </c>
      <c r="G28" t="str">
        <v/>
      </c>
      <c r="H28" t="str">
        <v>28/09/2026</v>
      </c>
      <c r="I28" t="str">
        <v>08:42:41</v>
      </c>
      <c r="J28">
        <v>-12.212918</v>
      </c>
      <c r="K28">
        <v>-76.95883</v>
      </c>
      <c r="L28">
        <f>HYPERLINK("https://www.google.com/maps/search/?api=1&amp;query=-12.212918,-76.95883","Avenida Villa del Mar, Villa El Salvador, Lima")</f>
      </c>
      <c r="M28">
        <v>0</v>
      </c>
      <c r="N28">
        <v>98</v>
      </c>
      <c r="O28">
        <v>93923.4</v>
      </c>
      <c r="P28" t="str">
        <v>1,938.15</v>
      </c>
      <c r="Q28" t="str">
        <v>Vehículo encendido</v>
      </c>
      <c r="R28" t="str">
        <v/>
      </c>
      <c r="S28" t="str">
        <v/>
      </c>
      <c r="T28" t="str">
        <v/>
      </c>
    </row>
    <row r="29">
      <c r="A29" t="str">
        <v>28</v>
      </c>
      <c r="B29" t="str">
        <v>MASS BSF</v>
      </c>
      <c r="C29" t="str">
        <v>F1W-796</v>
      </c>
      <c r="D29" t="str">
        <v/>
      </c>
      <c r="E29" t="str">
        <v>867162026876599</v>
      </c>
      <c r="F29" t="str">
        <v>TBD</v>
      </c>
      <c r="G29" t="str">
        <v/>
      </c>
      <c r="H29" t="str">
        <v>28/09/2026</v>
      </c>
      <c r="I29" t="str">
        <v>08:42:48</v>
      </c>
      <c r="J29">
        <v>-12.213009</v>
      </c>
      <c r="K29">
        <v>-76.95912</v>
      </c>
      <c r="L29">
        <f>HYPERLINK("https://www.google.com/maps/search/?api=1&amp;query=-12.213009,-76.95912","Avenida Villa del Mar, Villa El Salvador, Lima")</f>
      </c>
      <c r="M29">
        <v>0.2</v>
      </c>
      <c r="N29">
        <v>98</v>
      </c>
      <c r="O29">
        <v>93923.5</v>
      </c>
      <c r="P29" t="str">
        <v>1,938.15</v>
      </c>
      <c r="Q29" t="str">
        <v/>
      </c>
      <c r="R29" t="str">
        <v/>
      </c>
      <c r="S29" t="str">
        <v/>
      </c>
      <c r="T29" t="str">
        <v/>
      </c>
    </row>
    <row r="30">
      <c r="A30" t="str">
        <v>29</v>
      </c>
      <c r="B30" t="str">
        <v>MASS BSF</v>
      </c>
      <c r="C30" t="str">
        <v>F1W-796</v>
      </c>
      <c r="D30" t="str">
        <v/>
      </c>
      <c r="E30" t="str">
        <v>867162026876599</v>
      </c>
      <c r="F30" t="str">
        <v>TBD</v>
      </c>
      <c r="G30" t="str">
        <v/>
      </c>
      <c r="H30" t="str">
        <v>28/09/2026</v>
      </c>
      <c r="I30" t="str">
        <v>08:43:47</v>
      </c>
      <c r="J30">
        <v>-12.212996</v>
      </c>
      <c r="K30">
        <v>-76.959114</v>
      </c>
      <c r="L30">
        <f>HYPERLINK("https://www.google.com/maps/search/?api=1&amp;query=-12.212996,-76.959114","Avenida Villa del Mar, Villa El Salvador, Lima")</f>
      </c>
      <c r="M30">
        <v>0</v>
      </c>
      <c r="N30">
        <v>98</v>
      </c>
      <c r="O30">
        <v>93923.5</v>
      </c>
      <c r="P30" t="str">
        <v>1,938.15</v>
      </c>
      <c r="Q30" t="str">
        <v/>
      </c>
      <c r="R30" t="str">
        <v/>
      </c>
      <c r="S30" t="str">
        <v/>
      </c>
      <c r="T30" t="str">
        <v/>
      </c>
    </row>
    <row r="31">
      <c r="A31" t="str">
        <v>30</v>
      </c>
      <c r="B31" t="str">
        <v>MASS BSF</v>
      </c>
      <c r="C31" t="str">
        <v>F1W-796</v>
      </c>
      <c r="D31" t="str">
        <v/>
      </c>
      <c r="E31" t="str">
        <v>867162026876599</v>
      </c>
      <c r="F31" t="str">
        <v>TBD</v>
      </c>
      <c r="G31" t="str">
        <v/>
      </c>
      <c r="H31" t="str">
        <v>28/09/2026</v>
      </c>
      <c r="I31" t="str">
        <v>08:44:47</v>
      </c>
      <c r="J31">
        <v>-12.213241</v>
      </c>
      <c r="K31">
        <v>-76.95997</v>
      </c>
      <c r="L31">
        <f>HYPERLINK("https://www.google.com/maps/search/?api=1&amp;query=-12.213241,-76.95997","Avenida Villa del Mar, Villa El Salvador, Lima")</f>
      </c>
      <c r="M31">
        <v>6.6</v>
      </c>
      <c r="N31">
        <v>98</v>
      </c>
      <c r="O31">
        <v>93923.6</v>
      </c>
      <c r="P31" t="str">
        <v>1,938.15</v>
      </c>
      <c r="Q31" t="str">
        <v/>
      </c>
      <c r="R31" t="str">
        <v/>
      </c>
      <c r="S31" t="str">
        <v/>
      </c>
      <c r="T31" t="str">
        <v/>
      </c>
    </row>
    <row r="32">
      <c r="A32" t="str">
        <v>31</v>
      </c>
      <c r="B32" t="str">
        <v>MASS BSF</v>
      </c>
      <c r="C32" t="str">
        <v>F1W-796</v>
      </c>
      <c r="D32" t="str">
        <v/>
      </c>
      <c r="E32" t="str">
        <v>867162026876599</v>
      </c>
      <c r="F32" t="str">
        <v>TBD</v>
      </c>
      <c r="G32" t="str">
        <v/>
      </c>
      <c r="H32" t="str">
        <v>28/09/2026</v>
      </c>
      <c r="I32" t="str">
        <v>08:45:05</v>
      </c>
      <c r="J32">
        <v>-12.213567</v>
      </c>
      <c r="K32">
        <v>-76.960464</v>
      </c>
      <c r="L32">
        <f>HYPERLINK("https://www.google.com/maps/search/?api=1&amp;query=-12.213567,-76.960464","Avenida Villa del Mar, Villa El Salvador, Lima")</f>
      </c>
      <c r="M32">
        <v>10.5</v>
      </c>
      <c r="N32">
        <v>98</v>
      </c>
      <c r="O32">
        <v>93923.6</v>
      </c>
      <c r="P32" t="str">
        <v>1,938.15</v>
      </c>
      <c r="Q32" t="str">
        <v/>
      </c>
      <c r="R32" t="str">
        <v/>
      </c>
      <c r="S32" t="str">
        <v/>
      </c>
      <c r="T32" t="str">
        <v/>
      </c>
    </row>
    <row r="33">
      <c r="A33" t="str">
        <v>32</v>
      </c>
      <c r="B33" t="str">
        <v>MASS BSF</v>
      </c>
      <c r="C33" t="str">
        <v>F1W-796</v>
      </c>
      <c r="D33" t="str">
        <v/>
      </c>
      <c r="E33" t="str">
        <v>867162026876599</v>
      </c>
      <c r="F33" t="str">
        <v>TBD</v>
      </c>
      <c r="G33" t="str">
        <v/>
      </c>
      <c r="H33" t="str">
        <v>28/09/2026</v>
      </c>
      <c r="I33" t="str">
        <v>08:45:08</v>
      </c>
      <c r="J33">
        <v>-12.213524</v>
      </c>
      <c r="K33">
        <v>-76.96052</v>
      </c>
      <c r="L33">
        <f>HYPERLINK("https://www.google.com/maps/search/?api=1&amp;query=-12.213524,-76.96052","Calle 1, Villa El Salvador, Lima")</f>
      </c>
      <c r="M33">
        <v>9.7</v>
      </c>
      <c r="N33">
        <v>98</v>
      </c>
      <c r="O33">
        <v>93923.6</v>
      </c>
      <c r="P33" t="str">
        <v>1,938.15</v>
      </c>
      <c r="Q33" t="str">
        <v/>
      </c>
      <c r="R33" t="str">
        <v/>
      </c>
      <c r="S33" t="str">
        <v/>
      </c>
      <c r="T33" t="str">
        <v/>
      </c>
    </row>
    <row r="34">
      <c r="A34" t="str">
        <v>33</v>
      </c>
      <c r="B34" t="str">
        <v>MASS BSF</v>
      </c>
      <c r="C34" t="str">
        <v>F1W-796</v>
      </c>
      <c r="D34" t="str">
        <v/>
      </c>
      <c r="E34" t="str">
        <v>867162026876599</v>
      </c>
      <c r="F34" t="str">
        <v>TBD</v>
      </c>
      <c r="G34" t="str">
        <v/>
      </c>
      <c r="H34" t="str">
        <v>28/09/2026</v>
      </c>
      <c r="I34" t="str">
        <v>08:45:47</v>
      </c>
      <c r="J34">
        <v>-12.212922</v>
      </c>
      <c r="K34">
        <v>-76.96089</v>
      </c>
      <c r="L34">
        <f>HYPERLINK("https://www.google.com/maps/search/?api=1&amp;query=-12.212922,-76.96089","Calle 1, Villa El Salvador, Lima")</f>
      </c>
      <c r="M34">
        <v>13.3</v>
      </c>
      <c r="N34">
        <v>98</v>
      </c>
      <c r="O34">
        <v>93923.7</v>
      </c>
      <c r="P34" t="str">
        <v>1,938.15</v>
      </c>
      <c r="Q34" t="str">
        <v/>
      </c>
      <c r="R34" t="str">
        <v/>
      </c>
      <c r="S34" t="str">
        <v/>
      </c>
      <c r="T34" t="str">
        <v/>
      </c>
    </row>
    <row r="35">
      <c r="A35" t="str">
        <v>34</v>
      </c>
      <c r="B35" t="str">
        <v>MASS BSF</v>
      </c>
      <c r="C35" t="str">
        <v>F1W-796</v>
      </c>
      <c r="D35" t="str">
        <v/>
      </c>
      <c r="E35" t="str">
        <v>867162026876599</v>
      </c>
      <c r="F35" t="str">
        <v>TBD</v>
      </c>
      <c r="G35" t="str">
        <v/>
      </c>
      <c r="H35" t="str">
        <v>28/09/2026</v>
      </c>
      <c r="I35" t="str">
        <v>08:46:47</v>
      </c>
      <c r="J35">
        <v>-12.211431</v>
      </c>
      <c r="K35">
        <v>-76.96182</v>
      </c>
      <c r="L35">
        <f>HYPERLINK("https://www.google.com/maps/search/?api=1&amp;query=-12.211431,-76.96182","Calle 1, Villa El Salvador, Lima")</f>
      </c>
      <c r="M35">
        <v>14.9</v>
      </c>
      <c r="N35">
        <v>98</v>
      </c>
      <c r="O35">
        <v>93923.9</v>
      </c>
      <c r="P35" t="str">
        <v>1,938.15</v>
      </c>
      <c r="Q35" t="str">
        <v/>
      </c>
      <c r="R35" t="str">
        <v/>
      </c>
      <c r="S35" t="str">
        <v/>
      </c>
      <c r="T35" t="str">
        <v/>
      </c>
    </row>
    <row r="36">
      <c r="A36" t="str">
        <v>35</v>
      </c>
      <c r="B36" t="str">
        <v>MASS BSF</v>
      </c>
      <c r="C36" t="str">
        <v>F1W-796</v>
      </c>
      <c r="D36" t="str">
        <v/>
      </c>
      <c r="E36" t="str">
        <v>867162026876599</v>
      </c>
      <c r="F36" t="str">
        <v>TBD</v>
      </c>
      <c r="G36" t="str">
        <v/>
      </c>
      <c r="H36" t="str">
        <v>28/09/2026</v>
      </c>
      <c r="I36" t="str">
        <v>08:47:09</v>
      </c>
      <c r="J36">
        <v>-12.211222</v>
      </c>
      <c r="K36">
        <v>-76.96192</v>
      </c>
      <c r="L36">
        <f>HYPERLINK("https://www.google.com/maps/search/?api=1&amp;query=-12.211222,-76.96192","Calle 1, Villa El Salvador, Lima")</f>
      </c>
      <c r="M36">
        <v>14.1</v>
      </c>
      <c r="N36">
        <v>98</v>
      </c>
      <c r="O36">
        <v>93923.9</v>
      </c>
      <c r="P36" t="str">
        <v>1,938.15</v>
      </c>
      <c r="Q36" t="str">
        <v/>
      </c>
      <c r="R36" t="str">
        <v/>
      </c>
      <c r="S36" t="str">
        <v/>
      </c>
      <c r="T36" t="str">
        <v/>
      </c>
    </row>
    <row r="37">
      <c r="A37" t="str">
        <v>36</v>
      </c>
      <c r="B37" t="str">
        <v>MASS BSF</v>
      </c>
      <c r="C37" t="str">
        <v>F1W-796</v>
      </c>
      <c r="D37" t="str">
        <v/>
      </c>
      <c r="E37" t="str">
        <v>867162026876599</v>
      </c>
      <c r="F37" t="str">
        <v>TBD</v>
      </c>
      <c r="G37" t="str">
        <v/>
      </c>
      <c r="H37" t="str">
        <v>28/09/2026</v>
      </c>
      <c r="I37" t="str">
        <v>08:47:47</v>
      </c>
      <c r="J37">
        <v>-12.2103</v>
      </c>
      <c r="K37">
        <v>-76.96043</v>
      </c>
      <c r="L37">
        <f>HYPERLINK("https://www.google.com/maps/search/?api=1&amp;query=-12.2103,-76.96043","Avenida El Sol, Villa El Salvador, Lima")</f>
      </c>
      <c r="M37">
        <v>9.3</v>
      </c>
      <c r="N37">
        <v>98</v>
      </c>
      <c r="O37">
        <v>93924.1</v>
      </c>
      <c r="P37" t="str">
        <v>1,938.15</v>
      </c>
      <c r="Q37" t="str">
        <v/>
      </c>
      <c r="R37" t="str">
        <v/>
      </c>
      <c r="S37" t="str">
        <v/>
      </c>
      <c r="T37" t="str">
        <v/>
      </c>
    </row>
    <row r="38">
      <c r="A38" t="str">
        <v>37</v>
      </c>
      <c r="B38" t="str">
        <v>MASS BSF</v>
      </c>
      <c r="C38" t="str">
        <v>F1W-796</v>
      </c>
      <c r="D38" t="str">
        <v/>
      </c>
      <c r="E38" t="str">
        <v>867162026876599</v>
      </c>
      <c r="F38" t="str">
        <v>TBD</v>
      </c>
      <c r="G38" t="str">
        <v/>
      </c>
      <c r="H38" t="str">
        <v>28/09/2026</v>
      </c>
      <c r="I38" t="str">
        <v>08:48:47</v>
      </c>
      <c r="J38">
        <v>-12.209494</v>
      </c>
      <c r="K38">
        <v>-76.95908</v>
      </c>
      <c r="L38">
        <f>HYPERLINK("https://www.google.com/maps/search/?api=1&amp;query=-12.209494,-76.95908","Avenida El Sol, Villa El Salvador, Lima")</f>
      </c>
      <c r="M38">
        <v>28</v>
      </c>
      <c r="N38">
        <v>98</v>
      </c>
      <c r="O38">
        <v>93924.4</v>
      </c>
      <c r="P38" t="str">
        <v>1,938.15</v>
      </c>
      <c r="Q38" t="str">
        <v/>
      </c>
      <c r="R38" t="str">
        <v/>
      </c>
      <c r="S38" t="str">
        <v/>
      </c>
      <c r="T38" t="str">
        <v/>
      </c>
    </row>
    <row r="39">
      <c r="A39" t="str">
        <v>38</v>
      </c>
      <c r="B39" t="str">
        <v>MASS BSF</v>
      </c>
      <c r="C39" t="str">
        <v>F1W-796</v>
      </c>
      <c r="D39" t="str">
        <v/>
      </c>
      <c r="E39" t="str">
        <v>867162026876599</v>
      </c>
      <c r="F39" t="str">
        <v>TBD</v>
      </c>
      <c r="G39" t="str">
        <v/>
      </c>
      <c r="H39" t="str">
        <v>28/09/2026</v>
      </c>
      <c r="I39" t="str">
        <v>08:49:47</v>
      </c>
      <c r="J39">
        <v>-12.206521</v>
      </c>
      <c r="K39">
        <v>-76.954155</v>
      </c>
      <c r="L39">
        <f>HYPERLINK("https://www.google.com/maps/search/?api=1&amp;query=-12.206521,-76.954155","Avenida El Sol, Villa El Salvador, Lima")</f>
      </c>
      <c r="M39">
        <v>34.9</v>
      </c>
      <c r="N39">
        <v>98</v>
      </c>
      <c r="O39">
        <v>93925</v>
      </c>
      <c r="P39" t="str">
        <v>1,938.15</v>
      </c>
      <c r="Q39" t="str">
        <v/>
      </c>
      <c r="R39" t="str">
        <v/>
      </c>
      <c r="S39" t="str">
        <v/>
      </c>
      <c r="T39" t="str">
        <v/>
      </c>
    </row>
    <row r="40">
      <c r="A40" t="str">
        <v>39</v>
      </c>
      <c r="B40" t="str">
        <v>MASS BSF</v>
      </c>
      <c r="C40" t="str">
        <v>F1W-796</v>
      </c>
      <c r="D40" t="str">
        <v/>
      </c>
      <c r="E40" t="str">
        <v>867162026876599</v>
      </c>
      <c r="F40" t="str">
        <v>TBD</v>
      </c>
      <c r="G40" t="str">
        <v/>
      </c>
      <c r="H40" t="str">
        <v>28/09/2026</v>
      </c>
      <c r="I40" t="str">
        <v>08:50:47</v>
      </c>
      <c r="J40">
        <v>-12.20622</v>
      </c>
      <c r="K40">
        <v>-76.95354</v>
      </c>
      <c r="L40">
        <f>HYPERLINK("https://www.google.com/maps/search/?api=1&amp;query=-12.20622,-76.95354","Avenida El Sol, Villa El Salvador, Lima")</f>
      </c>
      <c r="M40">
        <v>11.9</v>
      </c>
      <c r="N40">
        <v>98</v>
      </c>
      <c r="O40">
        <v>93925</v>
      </c>
      <c r="P40" t="str">
        <v>1,938.15</v>
      </c>
      <c r="Q40" t="str">
        <v/>
      </c>
      <c r="R40" t="str">
        <v/>
      </c>
      <c r="S40" t="str">
        <v/>
      </c>
      <c r="T40" t="str">
        <v/>
      </c>
    </row>
    <row r="41">
      <c r="A41" t="str">
        <v>40</v>
      </c>
      <c r="B41" t="str">
        <v>MASS BSF</v>
      </c>
      <c r="C41" t="str">
        <v>F1W-796</v>
      </c>
      <c r="D41" t="str">
        <v/>
      </c>
      <c r="E41" t="str">
        <v>867162026876599</v>
      </c>
      <c r="F41" t="str">
        <v>TBD</v>
      </c>
      <c r="G41" t="str">
        <v/>
      </c>
      <c r="H41" t="str">
        <v>28/09/2026</v>
      </c>
      <c r="I41" t="str">
        <v>08:51:02</v>
      </c>
      <c r="J41">
        <v>-12.205689</v>
      </c>
      <c r="K41">
        <v>-76.95277</v>
      </c>
      <c r="L41">
        <f>HYPERLINK("https://www.google.com/maps/search/?api=1&amp;query=-12.205689,-76.95277","Avenida Mariano Pastor Sevilla, Villa El Salvador, Lima")</f>
      </c>
      <c r="M41">
        <v>11.9</v>
      </c>
      <c r="N41">
        <v>98</v>
      </c>
      <c r="O41">
        <v>93925.1</v>
      </c>
      <c r="P41" t="str">
        <v>1,938.15</v>
      </c>
      <c r="Q41" t="str">
        <v/>
      </c>
      <c r="R41" t="str">
        <v/>
      </c>
      <c r="S41" t="str">
        <v/>
      </c>
      <c r="T41" t="str">
        <v/>
      </c>
    </row>
    <row r="42">
      <c r="A42" t="str">
        <v>41</v>
      </c>
      <c r="B42" t="str">
        <v>MASS BSF</v>
      </c>
      <c r="C42" t="str">
        <v>F1W-796</v>
      </c>
      <c r="D42" t="str">
        <v/>
      </c>
      <c r="E42" t="str">
        <v>867162026876599</v>
      </c>
      <c r="F42" t="str">
        <v>TBD</v>
      </c>
      <c r="G42" t="str">
        <v/>
      </c>
      <c r="H42" t="str">
        <v>28/09/2026</v>
      </c>
      <c r="I42" t="str">
        <v>08:51:20</v>
      </c>
      <c r="J42">
        <v>-12.205386</v>
      </c>
      <c r="K42">
        <v>-76.952995</v>
      </c>
      <c r="L42">
        <f>HYPERLINK("https://www.google.com/maps/search/?api=1&amp;query=-12.205386,-76.952995","Avenida Mariano Pastor Sevilla, Villa El Salvador, Lima")</f>
      </c>
      <c r="M42">
        <v>9.8</v>
      </c>
      <c r="N42">
        <v>98</v>
      </c>
      <c r="O42">
        <v>93925.1</v>
      </c>
      <c r="P42" t="str">
        <v>1,938.15</v>
      </c>
      <c r="Q42" t="str">
        <v/>
      </c>
      <c r="R42" t="str">
        <v/>
      </c>
      <c r="S42" t="str">
        <v/>
      </c>
      <c r="T42" t="str">
        <v/>
      </c>
    </row>
    <row r="43">
      <c r="A43" t="str">
        <v>42</v>
      </c>
      <c r="B43" t="str">
        <v>MASS BSF</v>
      </c>
      <c r="C43" t="str">
        <v>F1W-796</v>
      </c>
      <c r="D43" t="str">
        <v/>
      </c>
      <c r="E43" t="str">
        <v>867162026876599</v>
      </c>
      <c r="F43" t="str">
        <v>TBD</v>
      </c>
      <c r="G43" t="str">
        <v/>
      </c>
      <c r="H43" t="str">
        <v>28/09/2026</v>
      </c>
      <c r="I43" t="str">
        <v>08:51:47</v>
      </c>
      <c r="J43">
        <v>-12.204426</v>
      </c>
      <c r="K43">
        <v>-76.95362</v>
      </c>
      <c r="L43">
        <f>HYPERLINK("https://www.google.com/maps/search/?api=1&amp;query=-12.204426,-76.95362","Avenida Mariano Pastor Sevilla, Villa El Salvador, Lima")</f>
      </c>
      <c r="M43">
        <v>32.5</v>
      </c>
      <c r="N43">
        <v>98</v>
      </c>
      <c r="O43">
        <v>93925.3</v>
      </c>
      <c r="P43" t="str">
        <v>1,938.15</v>
      </c>
      <c r="Q43" t="str">
        <v/>
      </c>
      <c r="R43" t="str">
        <v/>
      </c>
      <c r="S43" t="str">
        <v/>
      </c>
      <c r="T43" t="str">
        <v/>
      </c>
    </row>
    <row r="44">
      <c r="A44" t="str">
        <v>43</v>
      </c>
      <c r="B44" t="str">
        <v>MASS BSF</v>
      </c>
      <c r="C44" t="str">
        <v>F1W-796</v>
      </c>
      <c r="D44" t="str">
        <v/>
      </c>
      <c r="E44" t="str">
        <v>867162026876599</v>
      </c>
      <c r="F44" t="str">
        <v>TBD</v>
      </c>
      <c r="G44" t="str">
        <v/>
      </c>
      <c r="H44" t="str">
        <v>28/09/2026</v>
      </c>
      <c r="I44" t="str">
        <v>08:52:11</v>
      </c>
      <c r="J44">
        <v>-12.203007</v>
      </c>
      <c r="K44">
        <v>-76.95445</v>
      </c>
      <c r="L44">
        <f>HYPERLINK("https://www.google.com/maps/search/?api=1&amp;query=-12.203007,-76.95445","Avenida Los Angeles, Villa El Salvador, Lima")</f>
      </c>
      <c r="M44">
        <v>21.4</v>
      </c>
      <c r="N44">
        <v>98</v>
      </c>
      <c r="O44">
        <v>93925.5</v>
      </c>
      <c r="P44" t="str">
        <v>1,938.15</v>
      </c>
      <c r="Q44" t="str">
        <v/>
      </c>
      <c r="R44" t="str">
        <v/>
      </c>
      <c r="S44" t="str">
        <v/>
      </c>
      <c r="T44" t="str">
        <v/>
      </c>
    </row>
    <row r="45">
      <c r="A45" t="str">
        <v>44</v>
      </c>
      <c r="B45" t="str">
        <v>MASS BSF</v>
      </c>
      <c r="C45" t="str">
        <v>F1W-796</v>
      </c>
      <c r="D45" t="str">
        <v/>
      </c>
      <c r="E45" t="str">
        <v>867162026876599</v>
      </c>
      <c r="F45" t="str">
        <v>TBD</v>
      </c>
      <c r="G45" t="str">
        <v/>
      </c>
      <c r="H45" t="str">
        <v>28/09/2026</v>
      </c>
      <c r="I45" t="str">
        <v>08:52:47</v>
      </c>
      <c r="J45">
        <v>-12.202053</v>
      </c>
      <c r="K45">
        <v>-76.95493</v>
      </c>
      <c r="L45">
        <f>HYPERLINK("https://www.google.com/maps/search/?api=1&amp;query=-12.202053,-76.95493","Avenida Mariano Pastor Sevilla, Villa El Salvador, Lima")</f>
      </c>
      <c r="M45">
        <v>6.7</v>
      </c>
      <c r="N45">
        <v>98</v>
      </c>
      <c r="O45">
        <v>93925.6</v>
      </c>
      <c r="P45" t="str">
        <v>1,938.15</v>
      </c>
      <c r="Q45" t="str">
        <v/>
      </c>
      <c r="R45" t="str">
        <v/>
      </c>
      <c r="S45" t="str">
        <v/>
      </c>
      <c r="T45" t="str">
        <v/>
      </c>
    </row>
    <row r="46">
      <c r="A46" t="str">
        <v>45</v>
      </c>
      <c r="B46" t="str">
        <v>MASS BSF</v>
      </c>
      <c r="C46" t="str">
        <v>F1W-796</v>
      </c>
      <c r="D46" t="str">
        <v/>
      </c>
      <c r="E46" t="str">
        <v>867162026876599</v>
      </c>
      <c r="F46" t="str">
        <v>TBD</v>
      </c>
      <c r="G46" t="str">
        <v/>
      </c>
      <c r="H46" t="str">
        <v>28/09/2026</v>
      </c>
      <c r="I46" t="str">
        <v>08:53:47</v>
      </c>
      <c r="J46">
        <v>-12.198791</v>
      </c>
      <c r="K46">
        <v>-76.95689</v>
      </c>
      <c r="L46">
        <f>HYPERLINK("https://www.google.com/maps/search/?api=1&amp;query=-12.198791,-76.95689","Avenida Mariano Pastor Sevilla, Villa El Salvador, Lima")</f>
      </c>
      <c r="M46">
        <v>7.7</v>
      </c>
      <c r="N46">
        <v>98</v>
      </c>
      <c r="O46">
        <v>93926</v>
      </c>
      <c r="P46" t="str">
        <v>1,938.15</v>
      </c>
      <c r="Q46" t="str">
        <v/>
      </c>
      <c r="R46" t="str">
        <v/>
      </c>
      <c r="S46" t="str">
        <v/>
      </c>
      <c r="T46" t="str">
        <v/>
      </c>
    </row>
    <row r="47">
      <c r="A47" t="str">
        <v>46</v>
      </c>
      <c r="B47" t="str">
        <v>MASS BSF</v>
      </c>
      <c r="C47" t="str">
        <v>F1W-796</v>
      </c>
      <c r="D47" t="str">
        <v/>
      </c>
      <c r="E47" t="str">
        <v>867162026876599</v>
      </c>
      <c r="F47" t="str">
        <v>TBD</v>
      </c>
      <c r="G47" t="str">
        <v/>
      </c>
      <c r="H47" t="str">
        <v>28/09/2026</v>
      </c>
      <c r="I47" t="str">
        <v>08:54:47</v>
      </c>
      <c r="J47">
        <v>-12.197744</v>
      </c>
      <c r="K47">
        <v>-76.95757</v>
      </c>
      <c r="L47">
        <f>HYPERLINK("https://www.google.com/maps/search/?api=1&amp;query=-12.197744,-76.95757","Avenida Mariano Pastor Sevilla, Villa El Salvador, Lima")</f>
      </c>
      <c r="M47">
        <v>11.1</v>
      </c>
      <c r="N47">
        <v>98</v>
      </c>
      <c r="O47">
        <v>93926.1</v>
      </c>
      <c r="P47" t="str">
        <v>1,938.15</v>
      </c>
      <c r="Q47" t="str">
        <v/>
      </c>
      <c r="R47" t="str">
        <v/>
      </c>
      <c r="S47" t="str">
        <v/>
      </c>
      <c r="T47" t="str">
        <v/>
      </c>
    </row>
    <row r="48">
      <c r="A48" t="str">
        <v>47</v>
      </c>
      <c r="B48" t="str">
        <v>MASS BSF</v>
      </c>
      <c r="C48" t="str">
        <v>F1W-796</v>
      </c>
      <c r="D48" t="str">
        <v/>
      </c>
      <c r="E48" t="str">
        <v>867162026876599</v>
      </c>
      <c r="F48" t="str">
        <v>TBD</v>
      </c>
      <c r="G48" t="str">
        <v/>
      </c>
      <c r="H48" t="str">
        <v>28/09/2026</v>
      </c>
      <c r="I48" t="str">
        <v>08:55:47</v>
      </c>
      <c r="J48">
        <v>-12.195969</v>
      </c>
      <c r="K48">
        <v>-76.95864</v>
      </c>
      <c r="L48">
        <f>HYPERLINK("https://www.google.com/maps/search/?api=1&amp;query=-12.195969,-76.95864","Avenida Mariano Pastor Sevilla, Villa El Salvador, Lima")</f>
      </c>
      <c r="M48">
        <v>14.8</v>
      </c>
      <c r="N48">
        <v>98</v>
      </c>
      <c r="O48">
        <v>93926.4</v>
      </c>
      <c r="P48" t="str">
        <v>1,938.15</v>
      </c>
      <c r="Q48" t="str">
        <v/>
      </c>
      <c r="R48" t="str">
        <v/>
      </c>
      <c r="S48" t="str">
        <v/>
      </c>
      <c r="T48" t="str">
        <v/>
      </c>
    </row>
    <row r="49">
      <c r="A49" t="str">
        <v>48</v>
      </c>
      <c r="B49" t="str">
        <v>MASS BSF</v>
      </c>
      <c r="C49" t="str">
        <v>F1W-796</v>
      </c>
      <c r="D49" t="str">
        <v/>
      </c>
      <c r="E49" t="str">
        <v>867162026876599</v>
      </c>
      <c r="F49" t="str">
        <v>TBD</v>
      </c>
      <c r="G49" t="str">
        <v/>
      </c>
      <c r="H49" t="str">
        <v>28/09/2026</v>
      </c>
      <c r="I49" t="str">
        <v>08:56:47</v>
      </c>
      <c r="J49">
        <v>-12.19497</v>
      </c>
      <c r="K49">
        <v>-76.95926</v>
      </c>
      <c r="L49">
        <f>HYPERLINK("https://www.google.com/maps/search/?api=1&amp;query=-12.19497,-76.95926","Avenida Mariano Pastor Sevilla, Villa El Salvador, Lima")</f>
      </c>
      <c r="M49">
        <v>12.9</v>
      </c>
      <c r="N49">
        <v>98</v>
      </c>
      <c r="O49">
        <v>93926.5</v>
      </c>
      <c r="P49" t="str">
        <v>1,938.15</v>
      </c>
      <c r="Q49" t="str">
        <v/>
      </c>
      <c r="R49" t="str">
        <v/>
      </c>
      <c r="S49" t="str">
        <v/>
      </c>
      <c r="T49" t="str">
        <v/>
      </c>
    </row>
    <row r="50">
      <c r="A50" t="str">
        <v>49</v>
      </c>
      <c r="B50" t="str">
        <v>MASS BSF</v>
      </c>
      <c r="C50" t="str">
        <v>F1W-796</v>
      </c>
      <c r="D50" t="str">
        <v/>
      </c>
      <c r="E50" t="str">
        <v>867162026876599</v>
      </c>
      <c r="F50" t="str">
        <v>TBD</v>
      </c>
      <c r="G50" t="str">
        <v/>
      </c>
      <c r="H50" t="str">
        <v>28/09/2026</v>
      </c>
      <c r="I50" t="str">
        <v>08:57:47</v>
      </c>
      <c r="J50">
        <v>-12.194449</v>
      </c>
      <c r="K50">
        <v>-76.95956</v>
      </c>
      <c r="L50">
        <f>HYPERLINK("https://www.google.com/maps/search/?api=1&amp;query=-12.194449,-76.95956","Avenida Mariano Pastor Sevilla, Villa El Salvador, Lima")</f>
      </c>
      <c r="M50">
        <v>0</v>
      </c>
      <c r="N50">
        <v>98</v>
      </c>
      <c r="O50">
        <v>93926.6</v>
      </c>
      <c r="P50" t="str">
        <v>1,938.15</v>
      </c>
      <c r="Q50" t="str">
        <v/>
      </c>
      <c r="R50" t="str">
        <v/>
      </c>
      <c r="S50" t="str">
        <v/>
      </c>
      <c r="T50" t="str">
        <v/>
      </c>
    </row>
    <row r="51">
      <c r="A51" t="str">
        <v>50</v>
      </c>
      <c r="B51" t="str">
        <v>MASS BSF</v>
      </c>
      <c r="C51" t="str">
        <v>F1W-796</v>
      </c>
      <c r="D51" t="str">
        <v/>
      </c>
      <c r="E51" t="str">
        <v>867162026876599</v>
      </c>
      <c r="F51" t="str">
        <v>TBD</v>
      </c>
      <c r="G51" t="str">
        <v/>
      </c>
      <c r="H51" t="str">
        <v>28/09/2026</v>
      </c>
      <c r="I51" t="str">
        <v>08:58:47</v>
      </c>
      <c r="J51">
        <v>-12.194449</v>
      </c>
      <c r="K51">
        <v>-76.95956</v>
      </c>
      <c r="L51">
        <f>HYPERLINK("https://www.google.com/maps/search/?api=1&amp;query=-12.194449,-76.95956","Avenida Mariano Pastor Sevilla, Villa El Salvador, Lima")</f>
      </c>
      <c r="M51">
        <v>0</v>
      </c>
      <c r="N51">
        <v>98</v>
      </c>
      <c r="O51">
        <v>93926.6</v>
      </c>
      <c r="P51" t="str">
        <v>1,938.15</v>
      </c>
      <c r="Q51" t="str">
        <v/>
      </c>
      <c r="R51" t="str">
        <v/>
      </c>
      <c r="S51" t="str">
        <v/>
      </c>
      <c r="T51" t="str">
        <v/>
      </c>
    </row>
    <row r="52">
      <c r="A52" t="str">
        <v>51</v>
      </c>
      <c r="B52" t="str">
        <v>MASS BSF</v>
      </c>
      <c r="C52" t="str">
        <v>F1W-796</v>
      </c>
      <c r="D52" t="str">
        <v/>
      </c>
      <c r="E52" t="str">
        <v>867162026876599</v>
      </c>
      <c r="F52" t="str">
        <v>TBD</v>
      </c>
      <c r="G52" t="str">
        <v/>
      </c>
      <c r="H52" t="str">
        <v>28/09/2026</v>
      </c>
      <c r="I52" t="str">
        <v>08:59:47</v>
      </c>
      <c r="J52">
        <v>-12.194449</v>
      </c>
      <c r="K52">
        <v>-76.95956</v>
      </c>
      <c r="L52">
        <f>HYPERLINK("https://www.google.com/maps/search/?api=1&amp;query=-12.194449,-76.95956","Avenida Mariano Pastor Sevilla, Villa El Salvador, Lima")</f>
      </c>
      <c r="M52">
        <v>0</v>
      </c>
      <c r="N52">
        <v>98</v>
      </c>
      <c r="O52">
        <v>93926.6</v>
      </c>
      <c r="P52" t="str">
        <v>1,938.15</v>
      </c>
      <c r="Q52" t="str">
        <v/>
      </c>
      <c r="R52" t="str">
        <v/>
      </c>
      <c r="S52" t="str">
        <v/>
      </c>
      <c r="T52" t="str">
        <v/>
      </c>
    </row>
    <row r="53">
      <c r="A53" t="str">
        <v>52</v>
      </c>
      <c r="B53" t="str">
        <v>MASS BSF</v>
      </c>
      <c r="C53" t="str">
        <v>F1W-796</v>
      </c>
      <c r="D53" t="str">
        <v/>
      </c>
      <c r="E53" t="str">
        <v>867162026876599</v>
      </c>
      <c r="F53" t="str">
        <v>TBD</v>
      </c>
      <c r="G53" t="str">
        <v/>
      </c>
      <c r="H53" t="str">
        <v>28/09/2026</v>
      </c>
      <c r="I53" t="str">
        <v>09:00:47</v>
      </c>
      <c r="J53">
        <v>-12.194449</v>
      </c>
      <c r="K53">
        <v>-76.95956</v>
      </c>
      <c r="L53">
        <f>HYPERLINK("https://www.google.com/maps/search/?api=1&amp;query=-12.194449,-76.95956","Avenida Mariano Pastor Sevilla, Villa El Salvador, Lima")</f>
      </c>
      <c r="M53">
        <v>0</v>
      </c>
      <c r="N53">
        <v>98</v>
      </c>
      <c r="O53">
        <v>93926.6</v>
      </c>
      <c r="P53" t="str">
        <v>1,938.15</v>
      </c>
      <c r="Q53" t="str">
        <v/>
      </c>
      <c r="R53" t="str">
        <v/>
      </c>
      <c r="S53" t="str">
        <v/>
      </c>
      <c r="T53" t="str">
        <v/>
      </c>
    </row>
    <row r="54">
      <c r="A54" t="str">
        <v>53</v>
      </c>
      <c r="B54" t="str">
        <v>MASS BSF</v>
      </c>
      <c r="C54" t="str">
        <v>F1W-796</v>
      </c>
      <c r="D54" t="str">
        <v/>
      </c>
      <c r="E54" t="str">
        <v>867162026876599</v>
      </c>
      <c r="F54" t="str">
        <v>TBD</v>
      </c>
      <c r="G54" t="str">
        <v/>
      </c>
      <c r="H54" t="str">
        <v>28/09/2026</v>
      </c>
      <c r="I54" t="str">
        <v>09:01:47</v>
      </c>
      <c r="J54">
        <v>-12.194449</v>
      </c>
      <c r="K54">
        <v>-76.95956</v>
      </c>
      <c r="L54">
        <f>HYPERLINK("https://www.google.com/maps/search/?api=1&amp;query=-12.194449,-76.95956","Avenida Mariano Pastor Sevilla, Villa El Salvador, Lima")</f>
      </c>
      <c r="M54">
        <v>0</v>
      </c>
      <c r="N54">
        <v>98</v>
      </c>
      <c r="O54">
        <v>93926.6</v>
      </c>
      <c r="P54" t="str">
        <v>1,938.15</v>
      </c>
      <c r="Q54" t="str">
        <v/>
      </c>
      <c r="R54" t="str">
        <v/>
      </c>
      <c r="S54" t="str">
        <v/>
      </c>
      <c r="T54" t="str">
        <v/>
      </c>
    </row>
    <row r="55">
      <c r="A55" t="str">
        <v>54</v>
      </c>
      <c r="B55" t="str">
        <v>MASS BSF</v>
      </c>
      <c r="C55" t="str">
        <v>F1W-796</v>
      </c>
      <c r="D55" t="str">
        <v/>
      </c>
      <c r="E55" t="str">
        <v>867162026876599</v>
      </c>
      <c r="F55" t="str">
        <v>TBD</v>
      </c>
      <c r="G55" t="str">
        <v/>
      </c>
      <c r="H55" t="str">
        <v>28/09/2026</v>
      </c>
      <c r="I55" t="str">
        <v>09:02:07</v>
      </c>
      <c r="J55">
        <v>-12.194449</v>
      </c>
      <c r="K55">
        <v>-76.95956</v>
      </c>
      <c r="L55">
        <f>HYPERLINK("https://www.google.com/maps/search/?api=1&amp;query=-12.194449,-76.95956","Avenida Mariano Pastor Sevilla, Villa El Salvador, Lima")</f>
      </c>
      <c r="M55">
        <v>0</v>
      </c>
      <c r="N55">
        <v>98</v>
      </c>
      <c r="O55">
        <v>93926.6</v>
      </c>
      <c r="P55" t="str">
        <v>1,938.15</v>
      </c>
      <c r="Q55" t="str">
        <v>Inicio de ralentí</v>
      </c>
      <c r="R55" t="str">
        <v/>
      </c>
      <c r="S55" t="str">
        <v/>
      </c>
      <c r="T55" t="str">
        <v/>
      </c>
    </row>
    <row r="56">
      <c r="A56" t="str">
        <v>55</v>
      </c>
      <c r="B56" t="str">
        <v>MASS BSF</v>
      </c>
      <c r="C56" t="str">
        <v>F1W-796</v>
      </c>
      <c r="D56" t="str">
        <v/>
      </c>
      <c r="E56" t="str">
        <v>867162026876599</v>
      </c>
      <c r="F56" t="str">
        <v>TBD</v>
      </c>
      <c r="G56" t="str">
        <v/>
      </c>
      <c r="H56" t="str">
        <v>28/09/2026</v>
      </c>
      <c r="I56" t="str">
        <v>09:02:07</v>
      </c>
      <c r="J56">
        <v>-12.194449</v>
      </c>
      <c r="K56">
        <v>-76.95956</v>
      </c>
      <c r="L56">
        <f>HYPERLINK("https://www.google.com/maps/search/?api=1&amp;query=-12.194449,-76.95956","Avenida Mariano Pastor Sevilla, Villa El Salvador, Lima")</f>
      </c>
      <c r="M56">
        <v>0</v>
      </c>
      <c r="N56">
        <v>98</v>
      </c>
      <c r="O56">
        <v>93926.6</v>
      </c>
      <c r="P56" t="str">
        <v>1,938.47</v>
      </c>
      <c r="Q56" t="str">
        <v>Vehículo apagado</v>
      </c>
      <c r="R56" t="str">
        <v/>
      </c>
      <c r="S56" t="str">
        <v/>
      </c>
      <c r="T56" t="str">
        <v/>
      </c>
    </row>
    <row r="57">
      <c r="A57" t="str">
        <v>56</v>
      </c>
      <c r="B57" t="str">
        <v>MASS BSF</v>
      </c>
      <c r="C57" t="str">
        <v>F1W-796</v>
      </c>
      <c r="D57" t="str">
        <v/>
      </c>
      <c r="E57" t="str">
        <v>867162026876599</v>
      </c>
      <c r="F57" t="str">
        <v>TBD</v>
      </c>
      <c r="G57" t="str">
        <v/>
      </c>
      <c r="H57" t="str">
        <v>28/09/2026</v>
      </c>
      <c r="I57" t="str">
        <v>09:02:10</v>
      </c>
      <c r="J57">
        <v>-12.194449</v>
      </c>
      <c r="K57">
        <v>-76.95956</v>
      </c>
      <c r="L57">
        <f>HYPERLINK("https://www.google.com/maps/search/?api=1&amp;query=-12.194449,-76.95956","Avenida Mariano Pastor Sevilla, Villa El Salvador, Lima")</f>
      </c>
      <c r="M57">
        <v>0</v>
      </c>
      <c r="N57">
        <v>98</v>
      </c>
      <c r="O57">
        <v>93926.6</v>
      </c>
      <c r="P57" t="str">
        <v>1,938.15</v>
      </c>
      <c r="Q57" t="str">
        <v/>
      </c>
      <c r="R57" t="str">
        <v/>
      </c>
      <c r="S57" t="str">
        <v/>
      </c>
      <c r="T57" t="str">
        <v/>
      </c>
    </row>
    <row r="58">
      <c r="A58" t="str">
        <v>57</v>
      </c>
      <c r="B58" t="str">
        <v>MASS BSF</v>
      </c>
      <c r="C58" t="str">
        <v>F1W-796</v>
      </c>
      <c r="D58" t="str">
        <v/>
      </c>
      <c r="E58" t="str">
        <v>867162026876599</v>
      </c>
      <c r="F58" t="str">
        <v>TBD</v>
      </c>
      <c r="G58" t="str">
        <v/>
      </c>
      <c r="H58" t="str">
        <v>28/09/2026</v>
      </c>
      <c r="I58" t="str">
        <v>09:03:07</v>
      </c>
      <c r="J58">
        <v>-12.194449</v>
      </c>
      <c r="K58">
        <v>-76.95956</v>
      </c>
      <c r="L58">
        <f>HYPERLINK("https://www.google.com/maps/search/?api=1&amp;query=-12.194449,-76.95956","Avenida Mariano Pastor Sevilla, Villa El Salvador, Lima")</f>
      </c>
      <c r="M58">
        <v>0</v>
      </c>
      <c r="N58">
        <v>98</v>
      </c>
      <c r="O58">
        <v>93926.6</v>
      </c>
      <c r="P58" t="str">
        <v>1,938.15</v>
      </c>
      <c r="Q58" t="str">
        <v>Fin de ralentí</v>
      </c>
      <c r="R58" t="str">
        <v/>
      </c>
      <c r="S58" t="str">
        <v/>
      </c>
      <c r="T58" t="str">
        <v/>
      </c>
    </row>
    <row r="59">
      <c r="A59" t="str">
        <v>58</v>
      </c>
      <c r="B59" t="str">
        <v>MASS BSF</v>
      </c>
      <c r="C59" t="str">
        <v>F1W-796</v>
      </c>
      <c r="D59" t="str">
        <v/>
      </c>
      <c r="E59" t="str">
        <v>867162026876599</v>
      </c>
      <c r="F59" t="str">
        <v>TBD</v>
      </c>
      <c r="G59" t="str">
        <v/>
      </c>
      <c r="H59" t="str">
        <v>28/09/2026</v>
      </c>
      <c r="I59" t="str">
        <v>09:07:59</v>
      </c>
      <c r="J59">
        <v>-12.194449</v>
      </c>
      <c r="K59">
        <v>-76.95956</v>
      </c>
      <c r="L59">
        <f>HYPERLINK("https://www.google.com/maps/search/?api=1&amp;query=-12.194449,-76.95956","Avenida Mariano Pastor Sevilla, Villa El Salvador, Lima")</f>
      </c>
      <c r="M59">
        <v>0</v>
      </c>
      <c r="N59">
        <v>98</v>
      </c>
      <c r="O59">
        <v>93926.6</v>
      </c>
      <c r="P59" t="str">
        <v>1,938.15</v>
      </c>
      <c r="Q59" t="str">
        <v>Vehículo encendido</v>
      </c>
      <c r="R59" t="str">
        <v/>
      </c>
      <c r="S59" t="str">
        <v/>
      </c>
      <c r="T59" t="str">
        <v/>
      </c>
    </row>
    <row r="60">
      <c r="A60" t="str">
        <v>59</v>
      </c>
      <c r="B60" t="str">
        <v>MASS BSF</v>
      </c>
      <c r="C60" t="str">
        <v>F1W-796</v>
      </c>
      <c r="D60" t="str">
        <v/>
      </c>
      <c r="E60" t="str">
        <v>867162026876599</v>
      </c>
      <c r="F60" t="str">
        <v>TBD</v>
      </c>
      <c r="G60" t="str">
        <v/>
      </c>
      <c r="H60" t="str">
        <v>28/09/2026</v>
      </c>
      <c r="I60" t="str">
        <v>09:08:06</v>
      </c>
      <c r="J60">
        <v>-12.194465</v>
      </c>
      <c r="K60">
        <v>-76.959564</v>
      </c>
      <c r="L60">
        <f>HYPERLINK("https://www.google.com/maps/search/?api=1&amp;query=-12.194465,-76.959564","Avenida Mariano Pastor Sevilla, Villa El Salvador, Lima")</f>
      </c>
      <c r="M60">
        <v>0.4</v>
      </c>
      <c r="N60">
        <v>98</v>
      </c>
      <c r="O60">
        <v>93926.6</v>
      </c>
      <c r="P60" t="str">
        <v>1,938.15</v>
      </c>
      <c r="Q60" t="str">
        <v/>
      </c>
      <c r="R60" t="str">
        <v/>
      </c>
      <c r="S60" t="str">
        <v/>
      </c>
      <c r="T60" t="str">
        <v/>
      </c>
    </row>
    <row r="61">
      <c r="A61" t="str">
        <v>60</v>
      </c>
      <c r="B61" t="str">
        <v>MASS BSF</v>
      </c>
      <c r="C61" t="str">
        <v>F1W-796</v>
      </c>
      <c r="D61" t="str">
        <v/>
      </c>
      <c r="E61" t="str">
        <v>867162026876599</v>
      </c>
      <c r="F61" t="str">
        <v>TBD</v>
      </c>
      <c r="G61" t="str">
        <v/>
      </c>
      <c r="H61" t="str">
        <v>28/09/2026</v>
      </c>
      <c r="I61" t="str">
        <v>09:09:03</v>
      </c>
      <c r="J61">
        <v>-12.193292</v>
      </c>
      <c r="K61">
        <v>-76.96033</v>
      </c>
      <c r="L61">
        <f>HYPERLINK("https://www.google.com/maps/search/?api=1&amp;query=-12.193292,-76.96033","Avenida Mariano Pastor Sevilla, Villa El Salvador, Lima")</f>
      </c>
      <c r="M61">
        <v>26.4</v>
      </c>
      <c r="N61">
        <v>98</v>
      </c>
      <c r="O61">
        <v>93926.7</v>
      </c>
      <c r="P61" t="str">
        <v>1,938.15</v>
      </c>
      <c r="Q61" t="str">
        <v/>
      </c>
      <c r="R61" t="str">
        <v/>
      </c>
      <c r="S61" t="str">
        <v/>
      </c>
      <c r="T61" t="str">
        <v/>
      </c>
    </row>
    <row r="62">
      <c r="A62" t="str">
        <v>61</v>
      </c>
      <c r="B62" t="str">
        <v>MASS BSF</v>
      </c>
      <c r="C62" t="str">
        <v>F1W-796</v>
      </c>
      <c r="D62" t="str">
        <v/>
      </c>
      <c r="E62" t="str">
        <v>867162026876599</v>
      </c>
      <c r="F62" t="str">
        <v>TBD</v>
      </c>
      <c r="G62" t="str">
        <v/>
      </c>
      <c r="H62" t="str">
        <v>28/09/2026</v>
      </c>
      <c r="I62" t="str">
        <v>09:09:32</v>
      </c>
      <c r="J62">
        <v>-12.192496</v>
      </c>
      <c r="K62">
        <v>-76.96092</v>
      </c>
      <c r="L62">
        <f>HYPERLINK("https://www.google.com/maps/search/?api=1&amp;query=-12.192496,-76.96092","Ovalo Cocharcas, San Juan de Miraflores, Lima")</f>
      </c>
      <c r="M62">
        <v>10.2</v>
      </c>
      <c r="N62">
        <v>98</v>
      </c>
      <c r="O62">
        <v>93926.8</v>
      </c>
      <c r="P62" t="str">
        <v>1,938.15</v>
      </c>
      <c r="Q62" t="str">
        <v/>
      </c>
      <c r="R62" t="str">
        <v/>
      </c>
      <c r="S62" t="str">
        <v/>
      </c>
      <c r="T62" t="str">
        <v/>
      </c>
    </row>
    <row r="63">
      <c r="A63" t="str">
        <v>62</v>
      </c>
      <c r="B63" t="str">
        <v>MASS BSF</v>
      </c>
      <c r="C63" t="str">
        <v>F1W-796</v>
      </c>
      <c r="D63" t="str">
        <v/>
      </c>
      <c r="E63" t="str">
        <v>867162026876599</v>
      </c>
      <c r="F63" t="str">
        <v>TBD</v>
      </c>
      <c r="G63" t="str">
        <v/>
      </c>
      <c r="H63" t="str">
        <v>28/09/2026</v>
      </c>
      <c r="I63" t="str">
        <v>09:09:39</v>
      </c>
      <c r="J63">
        <v>-12.192533</v>
      </c>
      <c r="K63">
        <v>-76.96103</v>
      </c>
      <c r="L63">
        <f>HYPERLINK("https://www.google.com/maps/search/?api=1&amp;query=-12.192533,-76.96103","Ovalo Cocharcas, San Juan de Miraflores, Lima")</f>
      </c>
      <c r="M63">
        <v>6.9</v>
      </c>
      <c r="N63">
        <v>98</v>
      </c>
      <c r="O63">
        <v>93926.8</v>
      </c>
      <c r="P63" t="str">
        <v>1,938.15</v>
      </c>
      <c r="Q63" t="str">
        <v/>
      </c>
      <c r="R63" t="str">
        <v/>
      </c>
      <c r="S63" t="str">
        <v/>
      </c>
      <c r="T63" t="str">
        <v/>
      </c>
    </row>
    <row r="64">
      <c r="A64" t="str">
        <v>63</v>
      </c>
      <c r="B64" t="str">
        <v>MASS BSF</v>
      </c>
      <c r="C64" t="str">
        <v>F1W-796</v>
      </c>
      <c r="D64" t="str">
        <v/>
      </c>
      <c r="E64" t="str">
        <v>867162026876599</v>
      </c>
      <c r="F64" t="str">
        <v>TBD</v>
      </c>
      <c r="G64" t="str">
        <v/>
      </c>
      <c r="H64" t="str">
        <v>28/09/2026</v>
      </c>
      <c r="I64" t="str">
        <v>09:09:51</v>
      </c>
      <c r="J64">
        <v>-12.192607</v>
      </c>
      <c r="K64">
        <v>-76.96107</v>
      </c>
      <c r="L64">
        <f>HYPERLINK("https://www.google.com/maps/search/?api=1&amp;query=-12.192607,-76.96107","Ovalo Cocharcas, San Juan de Miraflores, Lima")</f>
      </c>
      <c r="M64">
        <v>4.1</v>
      </c>
      <c r="N64">
        <v>98</v>
      </c>
      <c r="O64">
        <v>93926.9</v>
      </c>
      <c r="P64" t="str">
        <v>1,938.15</v>
      </c>
      <c r="Q64" t="str">
        <v/>
      </c>
      <c r="R64" t="str">
        <v/>
      </c>
      <c r="S64" t="str">
        <v/>
      </c>
      <c r="T64" t="str">
        <v/>
      </c>
    </row>
    <row r="65">
      <c r="A65" t="str">
        <v>64</v>
      </c>
      <c r="B65" t="str">
        <v>MASS BSF</v>
      </c>
      <c r="C65" t="str">
        <v>F1W-796</v>
      </c>
      <c r="D65" t="str">
        <v/>
      </c>
      <c r="E65" t="str">
        <v>867162026876599</v>
      </c>
      <c r="F65" t="str">
        <v>TBD</v>
      </c>
      <c r="G65" t="str">
        <v/>
      </c>
      <c r="H65" t="str">
        <v>28/09/2026</v>
      </c>
      <c r="I65" t="str">
        <v>09:10:03</v>
      </c>
      <c r="J65">
        <v>-12.19262</v>
      </c>
      <c r="K65">
        <v>-76.96106</v>
      </c>
      <c r="L65">
        <f>HYPERLINK("https://www.google.com/maps/search/?api=1&amp;query=-12.19262,-76.96106","Ovalo Cocharcas, Villa El Salvador, Lima")</f>
      </c>
      <c r="M65">
        <v>0</v>
      </c>
      <c r="N65">
        <v>98</v>
      </c>
      <c r="O65">
        <v>93926.9</v>
      </c>
      <c r="P65" t="str">
        <v>1,938.15</v>
      </c>
      <c r="Q65" t="str">
        <v/>
      </c>
      <c r="R65" t="str">
        <v/>
      </c>
      <c r="S65" t="str">
        <v/>
      </c>
      <c r="T65" t="str">
        <v/>
      </c>
    </row>
    <row r="66">
      <c r="A66" t="str">
        <v>65</v>
      </c>
      <c r="B66" t="str">
        <v>MASS BSF</v>
      </c>
      <c r="C66" t="str">
        <v>F1W-796</v>
      </c>
      <c r="D66" t="str">
        <v/>
      </c>
      <c r="E66" t="str">
        <v>867162026876599</v>
      </c>
      <c r="F66" t="str">
        <v>TBD</v>
      </c>
      <c r="G66" t="str">
        <v/>
      </c>
      <c r="H66" t="str">
        <v>28/09/2026</v>
      </c>
      <c r="I66" t="str">
        <v>09:11:03</v>
      </c>
      <c r="J66">
        <v>-12.19483</v>
      </c>
      <c r="K66">
        <v>-76.959785</v>
      </c>
      <c r="L66">
        <f>HYPERLINK("https://www.google.com/maps/search/?api=1&amp;query=-12.19483,-76.959785","Avenida Mariano Pastor Sevilla, Villa El Salvador, Lima")</f>
      </c>
      <c r="M66">
        <v>20.9</v>
      </c>
      <c r="N66">
        <v>98</v>
      </c>
      <c r="O66">
        <v>93927.1</v>
      </c>
      <c r="P66" t="str">
        <v>1,938.15</v>
      </c>
      <c r="Q66" t="str">
        <v/>
      </c>
      <c r="R66" t="str">
        <v/>
      </c>
      <c r="S66" t="str">
        <v/>
      </c>
      <c r="T66" t="str">
        <v/>
      </c>
    </row>
    <row r="67">
      <c r="A67" t="str">
        <v>66</v>
      </c>
      <c r="B67" t="str">
        <v>MASS BSF</v>
      </c>
      <c r="C67" t="str">
        <v>F1W-796</v>
      </c>
      <c r="D67" t="str">
        <v/>
      </c>
      <c r="E67" t="str">
        <v>867162026876599</v>
      </c>
      <c r="F67" t="str">
        <v>TBD</v>
      </c>
      <c r="G67" t="str">
        <v/>
      </c>
      <c r="H67" t="str">
        <v>28/09/2026</v>
      </c>
      <c r="I67" t="str">
        <v>09:12:03</v>
      </c>
      <c r="J67">
        <v>-12.197737</v>
      </c>
      <c r="K67">
        <v>-76.95804</v>
      </c>
      <c r="L67">
        <f>HYPERLINK("https://www.google.com/maps/search/?api=1&amp;query=-12.197737,-76.95804","Avenida Mariano Pastor Sevilla, Villa El Salvador, Lima")</f>
      </c>
      <c r="M67">
        <v>5.6</v>
      </c>
      <c r="N67">
        <v>98</v>
      </c>
      <c r="O67">
        <v>93927.5</v>
      </c>
      <c r="P67" t="str">
        <v>1,938.15</v>
      </c>
      <c r="Q67" t="str">
        <v/>
      </c>
      <c r="R67" t="str">
        <v/>
      </c>
      <c r="S67" t="str">
        <v/>
      </c>
      <c r="T67" t="str">
        <v/>
      </c>
    </row>
    <row r="68">
      <c r="A68" t="str">
        <v>67</v>
      </c>
      <c r="B68" t="str">
        <v>MASS BSF</v>
      </c>
      <c r="C68" t="str">
        <v>F1W-796</v>
      </c>
      <c r="D68" t="str">
        <v/>
      </c>
      <c r="E68" t="str">
        <v>867162026876599</v>
      </c>
      <c r="F68" t="str">
        <v>TBD</v>
      </c>
      <c r="G68" t="str">
        <v/>
      </c>
      <c r="H68" t="str">
        <v>28/09/2026</v>
      </c>
      <c r="I68" t="str">
        <v>09:13:03</v>
      </c>
      <c r="J68">
        <v>-12.198191</v>
      </c>
      <c r="K68">
        <v>-76.95776</v>
      </c>
      <c r="L68">
        <f>HYPERLINK("https://www.google.com/maps/search/?api=1&amp;query=-12.198191,-76.95776","Avenida Mariano Pastor Sevilla, Villa El Salvador, Lima")</f>
      </c>
      <c r="M68">
        <v>16.7</v>
      </c>
      <c r="N68">
        <v>98</v>
      </c>
      <c r="O68">
        <v>93927.6</v>
      </c>
      <c r="P68" t="str">
        <v>1,938.15</v>
      </c>
      <c r="Q68" t="str">
        <v/>
      </c>
      <c r="R68" t="str">
        <v/>
      </c>
      <c r="S68" t="str">
        <v/>
      </c>
      <c r="T68" t="str">
        <v/>
      </c>
    </row>
    <row r="69">
      <c r="A69" t="str">
        <v>68</v>
      </c>
      <c r="B69" t="str">
        <v>MASS BSF</v>
      </c>
      <c r="C69" t="str">
        <v>F1W-796</v>
      </c>
      <c r="D69" t="str">
        <v/>
      </c>
      <c r="E69" t="str">
        <v>867162026876599</v>
      </c>
      <c r="F69" t="str">
        <v>TBD</v>
      </c>
      <c r="G69" t="str">
        <v/>
      </c>
      <c r="H69" t="str">
        <v>28/09/2026</v>
      </c>
      <c r="I69" t="str">
        <v>09:14:03</v>
      </c>
      <c r="J69">
        <v>-12.202718</v>
      </c>
      <c r="K69">
        <v>-76.954926</v>
      </c>
      <c r="L69">
        <f>HYPERLINK("https://www.google.com/maps/search/?api=1&amp;query=-12.202718,-76.954926","Avenida Mariano Pastor Sevilla, Villa El Salvador, Lima")</f>
      </c>
      <c r="M69">
        <v>36.6</v>
      </c>
      <c r="N69">
        <v>98</v>
      </c>
      <c r="O69">
        <v>93928.2</v>
      </c>
      <c r="P69" t="str">
        <v>1,938.15</v>
      </c>
      <c r="Q69" t="str">
        <v/>
      </c>
      <c r="R69" t="str">
        <v/>
      </c>
      <c r="S69" t="str">
        <v/>
      </c>
      <c r="T69" t="str">
        <v/>
      </c>
    </row>
    <row r="70">
      <c r="A70" t="str">
        <v>69</v>
      </c>
      <c r="B70" t="str">
        <v>MASS BSF</v>
      </c>
      <c r="C70" t="str">
        <v>F1W-796</v>
      </c>
      <c r="D70" t="str">
        <v/>
      </c>
      <c r="E70" t="str">
        <v>867162026876599</v>
      </c>
      <c r="F70" t="str">
        <v>TBD</v>
      </c>
      <c r="G70" t="str">
        <v/>
      </c>
      <c r="H70" t="str">
        <v>28/09/2026</v>
      </c>
      <c r="I70" t="str">
        <v>09:15:03</v>
      </c>
      <c r="J70">
        <v>-12.205208</v>
      </c>
      <c r="K70">
        <v>-76.95348</v>
      </c>
      <c r="L70">
        <f>HYPERLINK("https://www.google.com/maps/search/?api=1&amp;query=-12.205208,-76.95348","Avenida Mariano Pastor Sevilla, Villa El Salvador, Lima")</f>
      </c>
      <c r="M70">
        <v>0</v>
      </c>
      <c r="N70">
        <v>98</v>
      </c>
      <c r="O70">
        <v>93928.5</v>
      </c>
      <c r="P70" t="str">
        <v>1,938.15</v>
      </c>
      <c r="Q70" t="str">
        <v/>
      </c>
      <c r="R70" t="str">
        <v/>
      </c>
      <c r="S70" t="str">
        <v/>
      </c>
      <c r="T70" t="str">
        <v/>
      </c>
    </row>
    <row r="71">
      <c r="A71" t="str">
        <v>70</v>
      </c>
      <c r="B71" t="str">
        <v>MASS BSF</v>
      </c>
      <c r="C71" t="str">
        <v>F1W-796</v>
      </c>
      <c r="D71" t="str">
        <v/>
      </c>
      <c r="E71" t="str">
        <v>867162026876599</v>
      </c>
      <c r="F71" t="str">
        <v>TBD</v>
      </c>
      <c r="G71" t="str">
        <v/>
      </c>
      <c r="H71" t="str">
        <v>28/09/2026</v>
      </c>
      <c r="I71" t="str">
        <v>09:15:17</v>
      </c>
      <c r="J71">
        <v>-12.205609</v>
      </c>
      <c r="K71">
        <v>-76.9534</v>
      </c>
      <c r="L71">
        <f>HYPERLINK("https://www.google.com/maps/search/?api=1&amp;query=-12.205609,-76.9534","Avenida Mariano Pastor Sevilla, Villa El Salvador, Lima")</f>
      </c>
      <c r="M71">
        <v>17.4</v>
      </c>
      <c r="N71">
        <v>98</v>
      </c>
      <c r="O71">
        <v>93928.5</v>
      </c>
      <c r="P71" t="str">
        <v>1,938.15</v>
      </c>
      <c r="Q71" t="str">
        <v/>
      </c>
      <c r="R71" t="str">
        <v/>
      </c>
      <c r="S71" t="str">
        <v/>
      </c>
      <c r="T71" t="str">
        <v/>
      </c>
    </row>
    <row r="72">
      <c r="A72" t="str">
        <v>71</v>
      </c>
      <c r="B72" t="str">
        <v>MASS BSF</v>
      </c>
      <c r="C72" t="str">
        <v>F1W-796</v>
      </c>
      <c r="D72" t="str">
        <v/>
      </c>
      <c r="E72" t="str">
        <v>867162026876599</v>
      </c>
      <c r="F72" t="str">
        <v>TBD</v>
      </c>
      <c r="G72" t="str">
        <v/>
      </c>
      <c r="H72" t="str">
        <v>28/09/2026</v>
      </c>
      <c r="I72" t="str">
        <v>09:15:20</v>
      </c>
      <c r="J72">
        <v>-12.205725</v>
      </c>
      <c r="K72">
        <v>-76.95347</v>
      </c>
      <c r="L72">
        <f>HYPERLINK("https://www.google.com/maps/search/?api=1&amp;query=-12.205725,-76.95347","Avenida El Sol, Villa El Salvador, Lima")</f>
      </c>
      <c r="M72">
        <v>19.2</v>
      </c>
      <c r="N72">
        <v>98</v>
      </c>
      <c r="O72">
        <v>93928.5</v>
      </c>
      <c r="P72" t="str">
        <v>1,938.15</v>
      </c>
      <c r="Q72" t="str">
        <v/>
      </c>
      <c r="R72" t="str">
        <v/>
      </c>
      <c r="S72" t="str">
        <v/>
      </c>
      <c r="T72" t="str">
        <v/>
      </c>
    </row>
    <row r="73">
      <c r="A73" t="str">
        <v>72</v>
      </c>
      <c r="B73" t="str">
        <v>MASS BSF</v>
      </c>
      <c r="C73" t="str">
        <v>F1W-796</v>
      </c>
      <c r="D73" t="str">
        <v/>
      </c>
      <c r="E73" t="str">
        <v>867162026876599</v>
      </c>
      <c r="F73" t="str">
        <v>TBD</v>
      </c>
      <c r="G73" t="str">
        <v/>
      </c>
      <c r="H73" t="str">
        <v>28/09/2026</v>
      </c>
      <c r="I73" t="str">
        <v>09:16:03</v>
      </c>
      <c r="J73">
        <v>-12.207417</v>
      </c>
      <c r="K73">
        <v>-76.95644</v>
      </c>
      <c r="L73">
        <f>HYPERLINK("https://www.google.com/maps/search/?api=1&amp;query=-12.207417,-76.95644","Avenida El Sol, Villa El Salvador, Lima")</f>
      </c>
      <c r="M73">
        <v>34.1</v>
      </c>
      <c r="N73">
        <v>98</v>
      </c>
      <c r="O73">
        <v>93928.9</v>
      </c>
      <c r="P73" t="str">
        <v>1,938.15</v>
      </c>
      <c r="Q73" t="str">
        <v/>
      </c>
      <c r="R73" t="str">
        <v/>
      </c>
      <c r="S73" t="str">
        <v/>
      </c>
      <c r="T73" t="str">
        <v/>
      </c>
    </row>
    <row r="74">
      <c r="A74" t="str">
        <v>73</v>
      </c>
      <c r="B74" t="str">
        <v>MASS BSF</v>
      </c>
      <c r="C74" t="str">
        <v>F1W-796</v>
      </c>
      <c r="D74" t="str">
        <v/>
      </c>
      <c r="E74" t="str">
        <v>867162026876599</v>
      </c>
      <c r="F74" t="str">
        <v>TBD</v>
      </c>
      <c r="G74" t="str">
        <v/>
      </c>
      <c r="H74" t="str">
        <v>28/09/2026</v>
      </c>
      <c r="I74" t="str">
        <v>09:17:03</v>
      </c>
      <c r="J74">
        <v>-12.210249</v>
      </c>
      <c r="K74">
        <v>-76.960655</v>
      </c>
      <c r="L74">
        <f>HYPERLINK("https://www.google.com/maps/search/?api=1&amp;query=-12.210249,-76.960655","Avenida El Sol, Villa El Salvador, Lima")</f>
      </c>
      <c r="M74">
        <v>58.1</v>
      </c>
      <c r="N74">
        <v>98</v>
      </c>
      <c r="O74">
        <v>93929.5</v>
      </c>
      <c r="P74" t="str">
        <v>1,938.15</v>
      </c>
      <c r="Q74" t="str">
        <v/>
      </c>
      <c r="R74" t="str">
        <v/>
      </c>
      <c r="S74" t="str">
        <v/>
      </c>
      <c r="T74" t="str">
        <v/>
      </c>
    </row>
    <row r="75">
      <c r="A75" t="str">
        <v>74</v>
      </c>
      <c r="B75" t="str">
        <v>MASS BSF</v>
      </c>
      <c r="C75" t="str">
        <v>F1W-796</v>
      </c>
      <c r="D75" t="str">
        <v/>
      </c>
      <c r="E75" t="str">
        <v>867162026876599</v>
      </c>
      <c r="F75" t="str">
        <v>TBD</v>
      </c>
      <c r="G75" t="str">
        <v/>
      </c>
      <c r="H75" t="str">
        <v>28/09/2026</v>
      </c>
      <c r="I75" t="str">
        <v>09:18:03</v>
      </c>
      <c r="J75">
        <v>-12.213097</v>
      </c>
      <c r="K75">
        <v>-76.96546</v>
      </c>
      <c r="L75">
        <f>HYPERLINK("https://www.google.com/maps/search/?api=1&amp;query=-12.213097,-76.96546","Avenida El Sol, Villa El Salvador, Lima")</f>
      </c>
      <c r="M75">
        <v>4.8</v>
      </c>
      <c r="N75">
        <v>98</v>
      </c>
      <c r="O75">
        <v>93930.1</v>
      </c>
      <c r="P75" t="str">
        <v>1,938.15</v>
      </c>
      <c r="Q75" t="str">
        <v/>
      </c>
      <c r="R75" t="str">
        <v/>
      </c>
      <c r="S75" t="str">
        <v/>
      </c>
      <c r="T75" t="str">
        <v/>
      </c>
    </row>
    <row r="76">
      <c r="A76" t="str">
        <v>75</v>
      </c>
      <c r="B76" t="str">
        <v>MASS BSF</v>
      </c>
      <c r="C76" t="str">
        <v>F1W-796</v>
      </c>
      <c r="D76" t="str">
        <v/>
      </c>
      <c r="E76" t="str">
        <v>867162026876599</v>
      </c>
      <c r="F76" t="str">
        <v>TBD</v>
      </c>
      <c r="G76" t="str">
        <v/>
      </c>
      <c r="H76" t="str">
        <v>28/09/2026</v>
      </c>
      <c r="I76" t="str">
        <v>09:18:33</v>
      </c>
      <c r="J76">
        <v>-12.214801</v>
      </c>
      <c r="K76">
        <v>-76.967384</v>
      </c>
      <c r="L76">
        <f>HYPERLINK("https://www.google.com/maps/search/?api=1&amp;query=-12.214801,-76.967384","Avenida El Sol, Villa El Salvador, Lima")</f>
      </c>
      <c r="M76">
        <v>19.1</v>
      </c>
      <c r="N76">
        <v>98</v>
      </c>
      <c r="O76">
        <v>93930.4</v>
      </c>
      <c r="P76" t="str">
        <v>1,938.15</v>
      </c>
      <c r="Q76" t="str">
        <v/>
      </c>
      <c r="R76" t="str">
        <v/>
      </c>
      <c r="S76" t="str">
        <v/>
      </c>
      <c r="T76" t="str">
        <v/>
      </c>
    </row>
    <row r="77">
      <c r="A77" t="str">
        <v>76</v>
      </c>
      <c r="B77" t="str">
        <v>MASS BSF</v>
      </c>
      <c r="C77" t="str">
        <v>F1W-796</v>
      </c>
      <c r="D77" t="str">
        <v/>
      </c>
      <c r="E77" t="str">
        <v>867162026876599</v>
      </c>
      <c r="F77" t="str">
        <v>TBD</v>
      </c>
      <c r="G77" t="str">
        <v/>
      </c>
      <c r="H77" t="str">
        <v>28/09/2026</v>
      </c>
      <c r="I77" t="str">
        <v>09:19:03</v>
      </c>
      <c r="J77">
        <v>-12.214603</v>
      </c>
      <c r="K77">
        <v>-76.969</v>
      </c>
      <c r="L77">
        <f>HYPERLINK("https://www.google.com/maps/search/?api=1&amp;query=-12.214603,-76.969","Avenida Los Algarrobos, Villa El Salvador, Lima")</f>
      </c>
      <c r="M77">
        <v>10.4</v>
      </c>
      <c r="N77">
        <v>98</v>
      </c>
      <c r="O77">
        <v>93930.6</v>
      </c>
      <c r="P77" t="str">
        <v>1,938.15</v>
      </c>
      <c r="Q77" t="str">
        <v/>
      </c>
      <c r="R77" t="str">
        <v/>
      </c>
      <c r="S77" t="str">
        <v/>
      </c>
      <c r="T77" t="str">
        <v/>
      </c>
    </row>
    <row r="78">
      <c r="A78" t="str">
        <v>77</v>
      </c>
      <c r="B78" t="str">
        <v>MASS BSF</v>
      </c>
      <c r="C78" t="str">
        <v>F1W-796</v>
      </c>
      <c r="D78" t="str">
        <v/>
      </c>
      <c r="E78" t="str">
        <v>867162026876599</v>
      </c>
      <c r="F78" t="str">
        <v>TBD</v>
      </c>
      <c r="G78" t="str">
        <v/>
      </c>
      <c r="H78" t="str">
        <v>28/09/2026</v>
      </c>
      <c r="I78" t="str">
        <v>09:19:03</v>
      </c>
      <c r="J78">
        <v>-12.214535</v>
      </c>
      <c r="K78">
        <v>-76.96901</v>
      </c>
      <c r="L78">
        <f>HYPERLINK("https://www.google.com/maps/search/?api=1&amp;query=-12.214535,-76.96901","Avenida Los Algarrobos, Villa El Salvador, Lima")</f>
      </c>
      <c r="M78">
        <v>7.7</v>
      </c>
      <c r="N78">
        <v>98</v>
      </c>
      <c r="O78">
        <v>93930.6</v>
      </c>
      <c r="P78" t="str">
        <v>1,938.15</v>
      </c>
      <c r="Q78" t="str">
        <v/>
      </c>
      <c r="R78" t="str">
        <v/>
      </c>
      <c r="S78" t="str">
        <v/>
      </c>
      <c r="T78" t="str">
        <v/>
      </c>
    </row>
    <row r="79">
      <c r="A79" t="str">
        <v>78</v>
      </c>
      <c r="B79" t="str">
        <v>MASS BSF</v>
      </c>
      <c r="C79" t="str">
        <v>F1W-796</v>
      </c>
      <c r="D79" t="str">
        <v/>
      </c>
      <c r="E79" t="str">
        <v>867162026876599</v>
      </c>
      <c r="F79" t="str">
        <v>TBD</v>
      </c>
      <c r="G79" t="str">
        <v/>
      </c>
      <c r="H79" t="str">
        <v>28/09/2026</v>
      </c>
      <c r="I79" t="str">
        <v>09:19:27</v>
      </c>
      <c r="J79">
        <v>-12.214081</v>
      </c>
      <c r="K79">
        <v>-76.96898</v>
      </c>
      <c r="L79">
        <f>HYPERLINK("https://www.google.com/maps/search/?api=1&amp;query=-12.214081,-76.96898","Avenida Los Algarrobos, Villa El Salvador, Lima")</f>
      </c>
      <c r="M79">
        <v>6.2</v>
      </c>
      <c r="N79">
        <v>98</v>
      </c>
      <c r="O79">
        <v>93930.6</v>
      </c>
      <c r="P79" t="str">
        <v>1,938.15</v>
      </c>
      <c r="Q79" t="str">
        <v/>
      </c>
      <c r="R79" t="str">
        <v/>
      </c>
      <c r="S79" t="str">
        <v/>
      </c>
      <c r="T79" t="str">
        <v/>
      </c>
    </row>
    <row r="80">
      <c r="A80" t="str">
        <v>79</v>
      </c>
      <c r="B80" t="str">
        <v>MASS BSF</v>
      </c>
      <c r="C80" t="str">
        <v>F1W-796</v>
      </c>
      <c r="D80" t="str">
        <v/>
      </c>
      <c r="E80" t="str">
        <v>867162026876599</v>
      </c>
      <c r="F80" t="str">
        <v>TBD</v>
      </c>
      <c r="G80" t="str">
        <v/>
      </c>
      <c r="H80" t="str">
        <v>28/09/2026</v>
      </c>
      <c r="I80" t="str">
        <v>09:19:58</v>
      </c>
      <c r="J80">
        <v>-12.214081</v>
      </c>
      <c r="K80">
        <v>-76.96898</v>
      </c>
      <c r="L80">
        <f>HYPERLINK("https://www.google.com/maps/search/?api=1&amp;query=-12.214081,-76.96898","Avenida Los Algarrobos, Villa El Salvador, Lima")</f>
      </c>
      <c r="M80">
        <v>6.2</v>
      </c>
      <c r="N80">
        <v>98</v>
      </c>
      <c r="O80">
        <v>93930.6</v>
      </c>
      <c r="P80" t="str">
        <v>1,938.15</v>
      </c>
      <c r="Q80" t="str">
        <v/>
      </c>
      <c r="R80" t="str">
        <v/>
      </c>
      <c r="S80" t="str">
        <v/>
      </c>
      <c r="T80" t="str">
        <v/>
      </c>
    </row>
    <row r="81">
      <c r="A81" t="str">
        <v>80</v>
      </c>
      <c r="B81" t="str">
        <v>MASS BSF</v>
      </c>
      <c r="C81" t="str">
        <v>F1W-796</v>
      </c>
      <c r="D81" t="str">
        <v/>
      </c>
      <c r="E81" t="str">
        <v>867162026876599</v>
      </c>
      <c r="F81" t="str">
        <v>TBD</v>
      </c>
      <c r="G81" t="str">
        <v/>
      </c>
      <c r="H81" t="str">
        <v>28/09/2026</v>
      </c>
      <c r="I81" t="str">
        <v>09:20:58</v>
      </c>
      <c r="J81">
        <v>-12.213953</v>
      </c>
      <c r="K81">
        <v>-76.96936</v>
      </c>
      <c r="L81">
        <f>HYPERLINK("https://www.google.com/maps/search/?api=1&amp;query=-12.213953,-76.96936","Villa El Salvador, Lima")</f>
      </c>
      <c r="M81">
        <v>0</v>
      </c>
      <c r="N81">
        <v>98</v>
      </c>
      <c r="O81">
        <v>93930.7</v>
      </c>
      <c r="P81" t="str">
        <v>1,938.15</v>
      </c>
      <c r="Q81" t="str">
        <v/>
      </c>
      <c r="R81" t="str">
        <v/>
      </c>
      <c r="S81" t="str">
        <v/>
      </c>
      <c r="T81" t="str">
        <v/>
      </c>
    </row>
    <row r="82">
      <c r="A82" t="str">
        <v>81</v>
      </c>
      <c r="B82" t="str">
        <v>MASS BSF</v>
      </c>
      <c r="C82" t="str">
        <v>F1W-796</v>
      </c>
      <c r="D82" t="str">
        <v/>
      </c>
      <c r="E82" t="str">
        <v>867162026876599</v>
      </c>
      <c r="F82" t="str">
        <v>TBD</v>
      </c>
      <c r="G82" t="str">
        <v/>
      </c>
      <c r="H82" t="str">
        <v>28/09/2026</v>
      </c>
      <c r="I82" t="str">
        <v>09:21:58</v>
      </c>
      <c r="J82">
        <v>-12.213953</v>
      </c>
      <c r="K82">
        <v>-76.96936</v>
      </c>
      <c r="L82">
        <f>HYPERLINK("https://www.google.com/maps/search/?api=1&amp;query=-12.213953,-76.96936","Villa El Salvador, Lima")</f>
      </c>
      <c r="M82">
        <v>0</v>
      </c>
      <c r="N82">
        <v>98</v>
      </c>
      <c r="O82">
        <v>93930.7</v>
      </c>
      <c r="P82" t="str">
        <v>1,938.15</v>
      </c>
      <c r="Q82" t="str">
        <v/>
      </c>
      <c r="R82" t="str">
        <v/>
      </c>
      <c r="S82" t="str">
        <v/>
      </c>
      <c r="T82" t="str">
        <v/>
      </c>
    </row>
    <row r="83">
      <c r="A83" t="str">
        <v>82</v>
      </c>
      <c r="B83" t="str">
        <v>MASS BSF</v>
      </c>
      <c r="C83" t="str">
        <v>F1W-796</v>
      </c>
      <c r="D83" t="str">
        <v/>
      </c>
      <c r="E83" t="str">
        <v>867162026876599</v>
      </c>
      <c r="F83" t="str">
        <v>TBD</v>
      </c>
      <c r="G83" t="str">
        <v/>
      </c>
      <c r="H83" t="str">
        <v>28/09/2026</v>
      </c>
      <c r="I83" t="str">
        <v>09:22:58</v>
      </c>
      <c r="J83">
        <v>-12.213912</v>
      </c>
      <c r="K83">
        <v>-76.969574</v>
      </c>
      <c r="L83">
        <f>HYPERLINK("https://www.google.com/maps/search/?api=1&amp;query=-12.213912,-76.969574","Villa El Salvador, Lima")</f>
      </c>
      <c r="M83">
        <v>0</v>
      </c>
      <c r="N83">
        <v>98</v>
      </c>
      <c r="O83">
        <v>93930.7</v>
      </c>
      <c r="P83" t="str">
        <v>1,938.15</v>
      </c>
      <c r="Q83" t="str">
        <v/>
      </c>
      <c r="R83" t="str">
        <v/>
      </c>
      <c r="S83" t="str">
        <v/>
      </c>
      <c r="T83" t="str">
        <v/>
      </c>
    </row>
    <row r="84">
      <c r="A84" t="str">
        <v>83</v>
      </c>
      <c r="B84" t="str">
        <v>MASS BSF</v>
      </c>
      <c r="C84" t="str">
        <v>F1W-796</v>
      </c>
      <c r="D84" t="str">
        <v/>
      </c>
      <c r="E84" t="str">
        <v>867162026876599</v>
      </c>
      <c r="F84" t="str">
        <v>TBD</v>
      </c>
      <c r="G84" t="str">
        <v/>
      </c>
      <c r="H84" t="str">
        <v>28/09/2026</v>
      </c>
      <c r="I84" t="str">
        <v>09:23:59</v>
      </c>
      <c r="J84">
        <v>-12.213912</v>
      </c>
      <c r="K84">
        <v>-76.969574</v>
      </c>
      <c r="L84">
        <f>HYPERLINK("https://www.google.com/maps/search/?api=1&amp;query=-12.213912,-76.969574","Villa El Salvador, Lima")</f>
      </c>
      <c r="M84">
        <v>0</v>
      </c>
      <c r="N84">
        <v>98</v>
      </c>
      <c r="O84">
        <v>93930.7</v>
      </c>
      <c r="P84" t="str">
        <v>1,938.15</v>
      </c>
      <c r="Q84" t="str">
        <v/>
      </c>
      <c r="R84" t="str">
        <v/>
      </c>
      <c r="S84" t="str">
        <v/>
      </c>
      <c r="T84" t="str">
        <v/>
      </c>
    </row>
    <row r="85">
      <c r="A85" t="str">
        <v>84</v>
      </c>
      <c r="B85" t="str">
        <v>MASS BSF</v>
      </c>
      <c r="C85" t="str">
        <v>F1W-796</v>
      </c>
      <c r="D85" t="str">
        <v/>
      </c>
      <c r="E85" t="str">
        <v>867162026876599</v>
      </c>
      <c r="F85" t="str">
        <v>TBD</v>
      </c>
      <c r="G85" t="str">
        <v/>
      </c>
      <c r="H85" t="str">
        <v>28/09/2026</v>
      </c>
      <c r="I85" t="str">
        <v>09:24:59</v>
      </c>
      <c r="J85">
        <v>-12.213912</v>
      </c>
      <c r="K85">
        <v>-76.969574</v>
      </c>
      <c r="L85">
        <f>HYPERLINK("https://www.google.com/maps/search/?api=1&amp;query=-12.213912,-76.969574","Villa El Salvador, Lima")</f>
      </c>
      <c r="M85">
        <v>0</v>
      </c>
      <c r="N85">
        <v>98</v>
      </c>
      <c r="O85">
        <v>93930.7</v>
      </c>
      <c r="P85" t="str">
        <v>1,938.15</v>
      </c>
      <c r="Q85" t="str">
        <v/>
      </c>
      <c r="R85" t="str">
        <v/>
      </c>
      <c r="S85" t="str">
        <v/>
      </c>
      <c r="T85" t="str">
        <v/>
      </c>
    </row>
    <row r="86">
      <c r="A86" t="str">
        <v>85</v>
      </c>
      <c r="B86" t="str">
        <v>MASS BSF</v>
      </c>
      <c r="C86" t="str">
        <v>F1W-796</v>
      </c>
      <c r="D86" t="str">
        <v/>
      </c>
      <c r="E86" t="str">
        <v>867162026876599</v>
      </c>
      <c r="F86" t="str">
        <v>TBD</v>
      </c>
      <c r="G86" t="str">
        <v/>
      </c>
      <c r="H86" t="str">
        <v>28/09/2026</v>
      </c>
      <c r="I86" t="str">
        <v>09:25:59</v>
      </c>
      <c r="J86">
        <v>-12.213912</v>
      </c>
      <c r="K86">
        <v>-76.969574</v>
      </c>
      <c r="L86">
        <f>HYPERLINK("https://www.google.com/maps/search/?api=1&amp;query=-12.213912,-76.969574","Villa El Salvador, Lima")</f>
      </c>
      <c r="M86">
        <v>0</v>
      </c>
      <c r="N86">
        <v>98</v>
      </c>
      <c r="O86">
        <v>93930.7</v>
      </c>
      <c r="P86" t="str">
        <v>1,938.15</v>
      </c>
      <c r="Q86" t="str">
        <v/>
      </c>
      <c r="R86" t="str">
        <v/>
      </c>
      <c r="S86" t="str">
        <v/>
      </c>
      <c r="T86" t="str">
        <v/>
      </c>
    </row>
    <row r="87">
      <c r="A87" t="str">
        <v>86</v>
      </c>
      <c r="B87" t="str">
        <v>MASS BSF</v>
      </c>
      <c r="C87" t="str">
        <v>F1W-796</v>
      </c>
      <c r="D87" t="str">
        <v/>
      </c>
      <c r="E87" t="str">
        <v>867162026876599</v>
      </c>
      <c r="F87" t="str">
        <v>TBD</v>
      </c>
      <c r="G87" t="str">
        <v/>
      </c>
      <c r="H87" t="str">
        <v>28/09/2026</v>
      </c>
      <c r="I87" t="str">
        <v>09:26:51</v>
      </c>
      <c r="J87">
        <v>-12.213912</v>
      </c>
      <c r="K87">
        <v>-76.969574</v>
      </c>
      <c r="L87">
        <f>HYPERLINK("https://www.google.com/maps/search/?api=1&amp;query=-12.213912,-76.969574","Villa El Salvador, Lima")</f>
      </c>
      <c r="M87">
        <v>0</v>
      </c>
      <c r="N87">
        <v>98</v>
      </c>
      <c r="O87">
        <v>93930.7</v>
      </c>
      <c r="P87" t="str">
        <v>1,938.47</v>
      </c>
      <c r="Q87" t="str">
        <v>Vehículo apagado</v>
      </c>
      <c r="R87" t="str">
        <v/>
      </c>
      <c r="S87" t="str">
        <v/>
      </c>
      <c r="T87" t="str">
        <v/>
      </c>
    </row>
    <row r="88">
      <c r="A88" t="str">
        <v>87</v>
      </c>
      <c r="B88" t="str">
        <v>MASS BSF</v>
      </c>
      <c r="C88" t="str">
        <v>F1W-796</v>
      </c>
      <c r="D88" t="str">
        <v/>
      </c>
      <c r="E88" t="str">
        <v>867162026876599</v>
      </c>
      <c r="F88" t="str">
        <v>TBD</v>
      </c>
      <c r="G88" t="str">
        <v/>
      </c>
      <c r="H88" t="str">
        <v>28/09/2026</v>
      </c>
      <c r="I88" t="str">
        <v>09:26:56</v>
      </c>
      <c r="J88">
        <v>-12.213912</v>
      </c>
      <c r="K88">
        <v>-76.969574</v>
      </c>
      <c r="L88">
        <f>HYPERLINK("https://www.google.com/maps/search/?api=1&amp;query=-12.213912,-76.969574","Villa El Salvador, Lima")</f>
      </c>
      <c r="M88">
        <v>0</v>
      </c>
      <c r="N88">
        <v>98</v>
      </c>
      <c r="O88">
        <v>93930.7</v>
      </c>
      <c r="P88" t="str">
        <v>1,938.15</v>
      </c>
      <c r="Q88" t="str">
        <v/>
      </c>
      <c r="R88" t="str">
        <v/>
      </c>
      <c r="S88" t="str">
        <v/>
      </c>
      <c r="T88" t="str">
        <v/>
      </c>
    </row>
    <row r="89">
      <c r="A89" t="str">
        <v>88</v>
      </c>
      <c r="B89" t="str">
        <v>MASS BSF</v>
      </c>
      <c r="C89" t="str">
        <v>F1W-796</v>
      </c>
      <c r="D89" t="str">
        <v/>
      </c>
      <c r="E89" t="str">
        <v>867162026876599</v>
      </c>
      <c r="F89" t="str">
        <v>TBD</v>
      </c>
      <c r="G89" t="str">
        <v/>
      </c>
      <c r="H89" t="str">
        <v>28/09/2026</v>
      </c>
      <c r="I89" t="str">
        <v>09:35:37</v>
      </c>
      <c r="J89">
        <v>-12.213901</v>
      </c>
      <c r="K89">
        <v>-76.96958</v>
      </c>
      <c r="L89">
        <f>HYPERLINK("https://www.google.com/maps/search/?api=1&amp;query=-12.213901,-76.96958","Villa El Salvador, Lima")</f>
      </c>
      <c r="M89">
        <v>0</v>
      </c>
      <c r="N89">
        <v>98</v>
      </c>
      <c r="O89">
        <v>93930.7</v>
      </c>
      <c r="P89" t="str">
        <v>1,938.15</v>
      </c>
      <c r="Q89" t="str">
        <v/>
      </c>
      <c r="R89" t="str">
        <v/>
      </c>
      <c r="S89" t="str">
        <v/>
      </c>
      <c r="T89" t="str">
        <v/>
      </c>
    </row>
    <row r="90">
      <c r="A90" t="str">
        <v>89</v>
      </c>
      <c r="B90" t="str">
        <v>MASS BSF</v>
      </c>
      <c r="C90" t="str">
        <v>F1W-796</v>
      </c>
      <c r="D90" t="str">
        <v/>
      </c>
      <c r="E90" t="str">
        <v>867162026876599</v>
      </c>
      <c r="F90" t="str">
        <v>TBD</v>
      </c>
      <c r="G90" t="str">
        <v/>
      </c>
      <c r="H90" t="str">
        <v>28/09/2026</v>
      </c>
      <c r="I90" t="str">
        <v>09:35:37</v>
      </c>
      <c r="J90">
        <v>-12.213901</v>
      </c>
      <c r="K90">
        <v>-76.96958</v>
      </c>
      <c r="L90">
        <f>HYPERLINK("https://www.google.com/maps/search/?api=1&amp;query=-12.213901,-76.96958","Villa El Salvador, Lima")</f>
      </c>
      <c r="M90">
        <v>0</v>
      </c>
      <c r="N90">
        <v>98</v>
      </c>
      <c r="O90">
        <v>93930.7</v>
      </c>
      <c r="P90" t="str">
        <v>1,938.15</v>
      </c>
      <c r="Q90" t="str">
        <v/>
      </c>
      <c r="R90" t="str">
        <v/>
      </c>
      <c r="S90" t="str">
        <v/>
      </c>
      <c r="T90" t="str">
        <v/>
      </c>
    </row>
    <row r="91">
      <c r="A91" t="str">
        <v>90</v>
      </c>
      <c r="B91" t="str">
        <v>MASS BSF</v>
      </c>
      <c r="C91" t="str">
        <v>F1W-796</v>
      </c>
      <c r="D91" t="str">
        <v/>
      </c>
      <c r="E91" t="str">
        <v>867162026876599</v>
      </c>
      <c r="F91" t="str">
        <v>TBD</v>
      </c>
      <c r="G91" t="str">
        <v/>
      </c>
      <c r="H91" t="str">
        <v>28/09/2026</v>
      </c>
      <c r="I91" t="str">
        <v>10:05:37</v>
      </c>
      <c r="J91">
        <v>-12.213901</v>
      </c>
      <c r="K91">
        <v>-76.96958</v>
      </c>
      <c r="L91">
        <f>HYPERLINK("https://www.google.com/maps/search/?api=1&amp;query=-12.213901,-76.96958","Villa El Salvador, Lima")</f>
      </c>
      <c r="M91">
        <v>0</v>
      </c>
      <c r="N91">
        <v>98</v>
      </c>
      <c r="O91">
        <v>93930.7</v>
      </c>
      <c r="P91" t="str">
        <v>1,938.47</v>
      </c>
      <c r="Q91" t="str">
        <v/>
      </c>
      <c r="R91" t="str">
        <v/>
      </c>
      <c r="S91" t="str">
        <v/>
      </c>
      <c r="T91" t="str">
        <v/>
      </c>
    </row>
    <row r="92">
      <c r="A92" t="str">
        <v>91</v>
      </c>
      <c r="B92" t="str">
        <v>MASS BSF</v>
      </c>
      <c r="C92" t="str">
        <v>F1W-796</v>
      </c>
      <c r="D92" t="str">
        <v/>
      </c>
      <c r="E92" t="str">
        <v>867162026876599</v>
      </c>
      <c r="F92" t="str">
        <v>TBD</v>
      </c>
      <c r="G92" t="str">
        <v/>
      </c>
      <c r="H92" t="str">
        <v>28/09/2026</v>
      </c>
      <c r="I92" t="str">
        <v>10:25:38</v>
      </c>
      <c r="J92">
        <v>-12.213901</v>
      </c>
      <c r="K92">
        <v>-76.96958</v>
      </c>
      <c r="L92">
        <f>HYPERLINK("https://www.google.com/maps/search/?api=1&amp;query=-12.213901,-76.96958","Villa El Salvador, Lima")</f>
      </c>
      <c r="M92">
        <v>0</v>
      </c>
      <c r="N92">
        <v>100</v>
      </c>
      <c r="O92">
        <v>93930.7</v>
      </c>
      <c r="P92" t="str">
        <v>1,938.47</v>
      </c>
      <c r="Q92" t="str">
        <v>Vehículo encendido</v>
      </c>
      <c r="R92" t="str">
        <v/>
      </c>
      <c r="S92" t="str">
        <v/>
      </c>
      <c r="T92" t="str">
        <v/>
      </c>
    </row>
    <row r="93">
      <c r="A93" t="str">
        <v>92</v>
      </c>
      <c r="B93" t="str">
        <v>MASS BSF</v>
      </c>
      <c r="C93" t="str">
        <v>F1W-796</v>
      </c>
      <c r="D93" t="str">
        <v/>
      </c>
      <c r="E93" t="str">
        <v>867162026876599</v>
      </c>
      <c r="F93" t="str">
        <v>TBD</v>
      </c>
      <c r="G93" t="str">
        <v/>
      </c>
      <c r="H93" t="str">
        <v>28/09/2026</v>
      </c>
      <c r="I93" t="str">
        <v>10:25:53</v>
      </c>
      <c r="J93">
        <v>-12.213934</v>
      </c>
      <c r="K93">
        <v>-76.9696</v>
      </c>
      <c r="L93">
        <f>HYPERLINK("https://www.google.com/maps/search/?api=1&amp;query=-12.213934,-76.9696","Villa El Salvador, Lima")</f>
      </c>
      <c r="M93">
        <v>2.8</v>
      </c>
      <c r="N93">
        <v>100</v>
      </c>
      <c r="O93">
        <v>93930.7</v>
      </c>
      <c r="P93" t="str">
        <v>1,938.47</v>
      </c>
      <c r="Q93" t="str">
        <v/>
      </c>
      <c r="R93" t="str">
        <v/>
      </c>
      <c r="S93" t="str">
        <v/>
      </c>
      <c r="T93" t="str">
        <v/>
      </c>
    </row>
    <row r="94">
      <c r="A94" t="str">
        <v>93</v>
      </c>
      <c r="B94" t="str">
        <v>MASS BSF</v>
      </c>
      <c r="C94" t="str">
        <v>F1W-796</v>
      </c>
      <c r="D94" t="str">
        <v/>
      </c>
      <c r="E94" t="str">
        <v>867162026876599</v>
      </c>
      <c r="F94" t="str">
        <v>TBD</v>
      </c>
      <c r="G94" t="str">
        <v/>
      </c>
      <c r="H94" t="str">
        <v>28/09/2026</v>
      </c>
      <c r="I94" t="str">
        <v>10:26:50</v>
      </c>
      <c r="J94">
        <v>-12.213921</v>
      </c>
      <c r="K94">
        <v>-76.96961</v>
      </c>
      <c r="L94">
        <f>HYPERLINK("https://www.google.com/maps/search/?api=1&amp;query=-12.213921,-76.96961","Villa El Salvador, Lima")</f>
      </c>
      <c r="M94">
        <v>0</v>
      </c>
      <c r="N94">
        <v>100</v>
      </c>
      <c r="O94">
        <v>93930.7</v>
      </c>
      <c r="P94" t="str">
        <v>1,938.47</v>
      </c>
      <c r="Q94" t="str">
        <v/>
      </c>
      <c r="R94" t="str">
        <v/>
      </c>
      <c r="S94" t="str">
        <v/>
      </c>
      <c r="T94" t="str">
        <v/>
      </c>
    </row>
    <row r="95">
      <c r="A95" t="str">
        <v>94</v>
      </c>
      <c r="B95" t="str">
        <v>MASS BSF</v>
      </c>
      <c r="C95" t="str">
        <v>F1W-796</v>
      </c>
      <c r="D95" t="str">
        <v/>
      </c>
      <c r="E95" t="str">
        <v>867162026876599</v>
      </c>
      <c r="F95" t="str">
        <v>TBD</v>
      </c>
      <c r="G95" t="str">
        <v/>
      </c>
      <c r="H95" t="str">
        <v>28/09/2026</v>
      </c>
      <c r="I95" t="str">
        <v>10:27:50</v>
      </c>
      <c r="J95">
        <v>-12.213921</v>
      </c>
      <c r="K95">
        <v>-76.96961</v>
      </c>
      <c r="L95">
        <f>HYPERLINK("https://www.google.com/maps/search/?api=1&amp;query=-12.213921,-76.96961","Villa El Salvador, Lima")</f>
      </c>
      <c r="M95">
        <v>0</v>
      </c>
      <c r="N95">
        <v>100</v>
      </c>
      <c r="O95">
        <v>93930.7</v>
      </c>
      <c r="P95" t="str">
        <v>1,938.47</v>
      </c>
      <c r="Q95" t="str">
        <v/>
      </c>
      <c r="R95" t="str">
        <v/>
      </c>
      <c r="S95" t="str">
        <v/>
      </c>
      <c r="T95" t="str">
        <v/>
      </c>
    </row>
    <row r="96">
      <c r="A96" t="str">
        <v>95</v>
      </c>
      <c r="B96" t="str">
        <v>MASS BSF</v>
      </c>
      <c r="C96" t="str">
        <v>F1W-796</v>
      </c>
      <c r="D96" t="str">
        <v/>
      </c>
      <c r="E96" t="str">
        <v>867162026876599</v>
      </c>
      <c r="F96" t="str">
        <v>TBD</v>
      </c>
      <c r="G96" t="str">
        <v/>
      </c>
      <c r="H96" t="str">
        <v>28/09/2026</v>
      </c>
      <c r="I96" t="str">
        <v>10:28:51</v>
      </c>
      <c r="J96">
        <v>-12.213921</v>
      </c>
      <c r="K96">
        <v>-76.96961</v>
      </c>
      <c r="L96">
        <f>HYPERLINK("https://www.google.com/maps/search/?api=1&amp;query=-12.213921,-76.96961","Villa El Salvador, Lima")</f>
      </c>
      <c r="M96">
        <v>0</v>
      </c>
      <c r="N96">
        <v>100</v>
      </c>
      <c r="O96">
        <v>93930.7</v>
      </c>
      <c r="P96" t="str">
        <v>1,938.47</v>
      </c>
      <c r="Q96" t="str">
        <v/>
      </c>
      <c r="R96" t="str">
        <v/>
      </c>
      <c r="S96" t="str">
        <v/>
      </c>
      <c r="T96" t="str">
        <v/>
      </c>
    </row>
    <row r="97">
      <c r="A97" t="str">
        <v>96</v>
      </c>
      <c r="B97" t="str">
        <v>MASS BSF</v>
      </c>
      <c r="C97" t="str">
        <v>F1W-796</v>
      </c>
      <c r="D97" t="str">
        <v/>
      </c>
      <c r="E97" t="str">
        <v>867162026876599</v>
      </c>
      <c r="F97" t="str">
        <v>TBD</v>
      </c>
      <c r="G97" t="str">
        <v/>
      </c>
      <c r="H97" t="str">
        <v>28/09/2026</v>
      </c>
      <c r="I97" t="str">
        <v>10:29:51</v>
      </c>
      <c r="J97">
        <v>-12.213921</v>
      </c>
      <c r="K97">
        <v>-76.96961</v>
      </c>
      <c r="L97">
        <f>HYPERLINK("https://www.google.com/maps/search/?api=1&amp;query=-12.213921,-76.96961","Villa El Salvador, Lima")</f>
      </c>
      <c r="M97">
        <v>0</v>
      </c>
      <c r="N97">
        <v>100</v>
      </c>
      <c r="O97">
        <v>93930.7</v>
      </c>
      <c r="P97" t="str">
        <v>1,938.47</v>
      </c>
      <c r="Q97" t="str">
        <v/>
      </c>
      <c r="R97" t="str">
        <v/>
      </c>
      <c r="S97" t="str">
        <v/>
      </c>
      <c r="T97" t="str">
        <v/>
      </c>
    </row>
    <row r="98">
      <c r="A98" t="str">
        <v>97</v>
      </c>
      <c r="B98" t="str">
        <v>MASS BSF</v>
      </c>
      <c r="C98" t="str">
        <v>F1W-796</v>
      </c>
      <c r="D98" t="str">
        <v/>
      </c>
      <c r="E98" t="str">
        <v>867162026876599</v>
      </c>
      <c r="F98" t="str">
        <v>TBD</v>
      </c>
      <c r="G98" t="str">
        <v/>
      </c>
      <c r="H98" t="str">
        <v>28/09/2026</v>
      </c>
      <c r="I98" t="str">
        <v>10:30:51</v>
      </c>
      <c r="J98">
        <v>-12.213921</v>
      </c>
      <c r="K98">
        <v>-76.96961</v>
      </c>
      <c r="L98">
        <f>HYPERLINK("https://www.google.com/maps/search/?api=1&amp;query=-12.213921,-76.96961","Villa El Salvador, Lima")</f>
      </c>
      <c r="M98">
        <v>0</v>
      </c>
      <c r="N98">
        <v>100</v>
      </c>
      <c r="O98">
        <v>93930.7</v>
      </c>
      <c r="P98" t="str">
        <v>1,938.47</v>
      </c>
      <c r="Q98" t="str">
        <v/>
      </c>
      <c r="R98" t="str">
        <v/>
      </c>
      <c r="S98" t="str">
        <v/>
      </c>
      <c r="T98" t="str">
        <v/>
      </c>
    </row>
    <row r="99">
      <c r="A99" t="str">
        <v>98</v>
      </c>
      <c r="B99" t="str">
        <v>MASS BSF</v>
      </c>
      <c r="C99" t="str">
        <v>F1W-796</v>
      </c>
      <c r="D99" t="str">
        <v/>
      </c>
      <c r="E99" t="str">
        <v>867162026876599</v>
      </c>
      <c r="F99" t="str">
        <v>TBD</v>
      </c>
      <c r="G99" t="str">
        <v/>
      </c>
      <c r="H99" t="str">
        <v>28/09/2026</v>
      </c>
      <c r="I99" t="str">
        <v>10:31:23</v>
      </c>
      <c r="J99">
        <v>-12.213921</v>
      </c>
      <c r="K99">
        <v>-76.96961</v>
      </c>
      <c r="L99">
        <f>HYPERLINK("https://www.google.com/maps/search/?api=1&amp;query=-12.213921,-76.96961","Villa El Salvador, Lima")</f>
      </c>
      <c r="M99">
        <v>0</v>
      </c>
      <c r="N99">
        <v>100</v>
      </c>
      <c r="O99">
        <v>93930.7</v>
      </c>
      <c r="P99" t="str">
        <v>1,938.57</v>
      </c>
      <c r="Q99" t="str">
        <v>Vehículo apagado</v>
      </c>
      <c r="R99" t="str">
        <v/>
      </c>
      <c r="S99" t="str">
        <v/>
      </c>
      <c r="T99" t="str">
        <v/>
      </c>
    </row>
    <row r="100">
      <c r="A100" t="str">
        <v>99</v>
      </c>
      <c r="B100" t="str">
        <v>MASS BSF</v>
      </c>
      <c r="C100" t="str">
        <v>F1W-796</v>
      </c>
      <c r="D100" t="str">
        <v/>
      </c>
      <c r="E100" t="str">
        <v>867162026876599</v>
      </c>
      <c r="F100" t="str">
        <v>TBD</v>
      </c>
      <c r="G100" t="str">
        <v/>
      </c>
      <c r="H100" t="str">
        <v>28/09/2026</v>
      </c>
      <c r="I100" t="str">
        <v>10:31:25</v>
      </c>
      <c r="J100">
        <v>-12.213921</v>
      </c>
      <c r="K100">
        <v>-76.96961</v>
      </c>
      <c r="L100">
        <f>HYPERLINK("https://www.google.com/maps/search/?api=1&amp;query=-12.213921,-76.96961","Villa El Salvador, Lima")</f>
      </c>
      <c r="M100">
        <v>0</v>
      </c>
      <c r="N100">
        <v>100</v>
      </c>
      <c r="O100">
        <v>93930.7</v>
      </c>
      <c r="P100" t="str">
        <v>1,938.47</v>
      </c>
      <c r="Q100" t="str">
        <v/>
      </c>
      <c r="R100" t="str">
        <v/>
      </c>
      <c r="S100" t="str">
        <v/>
      </c>
      <c r="T100" t="str">
        <v/>
      </c>
    </row>
    <row r="101">
      <c r="A101" t="str">
        <v>100</v>
      </c>
      <c r="B101" t="str">
        <v>MASS BSF</v>
      </c>
      <c r="C101" t="str">
        <v>F1W-796</v>
      </c>
      <c r="D101" t="str">
        <v/>
      </c>
      <c r="E101" t="str">
        <v>867162026876599</v>
      </c>
      <c r="F101" t="str">
        <v>TBD</v>
      </c>
      <c r="G101" t="str">
        <v/>
      </c>
      <c r="H101" t="str">
        <v>28/09/2026</v>
      </c>
      <c r="I101" t="str">
        <v>10:33:02</v>
      </c>
      <c r="J101">
        <v>-12.213921</v>
      </c>
      <c r="K101">
        <v>-76.96961</v>
      </c>
      <c r="L101">
        <f>HYPERLINK("https://www.google.com/maps/search/?api=1&amp;query=-12.213921,-76.96961","Villa El Salvador, Lima")</f>
      </c>
      <c r="M101">
        <v>0</v>
      </c>
      <c r="N101">
        <v>100</v>
      </c>
      <c r="O101">
        <v>93930.7</v>
      </c>
      <c r="P101" t="str">
        <v>1,938.57</v>
      </c>
      <c r="Q101" t="str">
        <v>Vehículo encendido</v>
      </c>
      <c r="R101" t="str">
        <v/>
      </c>
      <c r="S101" t="str">
        <v/>
      </c>
      <c r="T101" t="str">
        <v/>
      </c>
    </row>
    <row r="102">
      <c r="A102" t="str">
        <v>101</v>
      </c>
      <c r="B102" t="str">
        <v>MASS BSF</v>
      </c>
      <c r="C102" t="str">
        <v>F1W-796</v>
      </c>
      <c r="D102" t="str">
        <v/>
      </c>
      <c r="E102" t="str">
        <v>867162026876599</v>
      </c>
      <c r="F102" t="str">
        <v>TBD</v>
      </c>
      <c r="G102" t="str">
        <v/>
      </c>
      <c r="H102" t="str">
        <v>28/09/2026</v>
      </c>
      <c r="I102" t="str">
        <v>10:33:07</v>
      </c>
      <c r="J102">
        <v>-12.213929</v>
      </c>
      <c r="K102">
        <v>-76.969635</v>
      </c>
      <c r="L102">
        <f>HYPERLINK("https://www.google.com/maps/search/?api=1&amp;query=-12.213929,-76.969635","Villa El Salvador, Lima")</f>
      </c>
      <c r="M102">
        <v>0.1</v>
      </c>
      <c r="N102">
        <v>100</v>
      </c>
      <c r="O102">
        <v>93930.7</v>
      </c>
      <c r="P102" t="str">
        <v>1,938.57</v>
      </c>
      <c r="Q102" t="str">
        <v/>
      </c>
      <c r="R102" t="str">
        <v/>
      </c>
      <c r="S102" t="str">
        <v/>
      </c>
      <c r="T102" t="str">
        <v/>
      </c>
    </row>
    <row r="103">
      <c r="A103" t="str">
        <v>102</v>
      </c>
      <c r="B103" t="str">
        <v>MASS BSF</v>
      </c>
      <c r="C103" t="str">
        <v>F1W-796</v>
      </c>
      <c r="D103" t="str">
        <v/>
      </c>
      <c r="E103" t="str">
        <v>867162026876599</v>
      </c>
      <c r="F103" t="str">
        <v>TBD</v>
      </c>
      <c r="G103" t="str">
        <v/>
      </c>
      <c r="H103" t="str">
        <v>28/09/2026</v>
      </c>
      <c r="I103" t="str">
        <v>10:34:06</v>
      </c>
      <c r="J103">
        <v>-12.213929</v>
      </c>
      <c r="K103">
        <v>-76.969635</v>
      </c>
      <c r="L103">
        <f>HYPERLINK("https://www.google.com/maps/search/?api=1&amp;query=-12.213929,-76.969635","Villa El Salvador, Lima")</f>
      </c>
      <c r="M103">
        <v>0</v>
      </c>
      <c r="N103">
        <v>100</v>
      </c>
      <c r="O103">
        <v>93930.7</v>
      </c>
      <c r="P103" t="str">
        <v>1,938.57</v>
      </c>
      <c r="Q103" t="str">
        <v/>
      </c>
      <c r="R103" t="str">
        <v/>
      </c>
      <c r="S103" t="str">
        <v/>
      </c>
      <c r="T103" t="str">
        <v/>
      </c>
    </row>
    <row r="104">
      <c r="A104" t="str">
        <v>103</v>
      </c>
      <c r="B104" t="str">
        <v>MASS BSF</v>
      </c>
      <c r="C104" t="str">
        <v>F1W-796</v>
      </c>
      <c r="D104" t="str">
        <v/>
      </c>
      <c r="E104" t="str">
        <v>867162026876599</v>
      </c>
      <c r="F104" t="str">
        <v>TBD</v>
      </c>
      <c r="G104" t="str">
        <v/>
      </c>
      <c r="H104" t="str">
        <v>28/09/2026</v>
      </c>
      <c r="I104" t="str">
        <v>10:35:06</v>
      </c>
      <c r="J104">
        <v>-12.213929</v>
      </c>
      <c r="K104">
        <v>-76.969635</v>
      </c>
      <c r="L104">
        <f>HYPERLINK("https://www.google.com/maps/search/?api=1&amp;query=-12.213929,-76.969635","Villa El Salvador, Lima")</f>
      </c>
      <c r="M104">
        <v>0</v>
      </c>
      <c r="N104">
        <v>100</v>
      </c>
      <c r="O104">
        <v>93930.7</v>
      </c>
      <c r="P104" t="str">
        <v>1,938.57</v>
      </c>
      <c r="Q104" t="str">
        <v/>
      </c>
      <c r="R104" t="str">
        <v/>
      </c>
      <c r="S104" t="str">
        <v/>
      </c>
      <c r="T104" t="str">
        <v/>
      </c>
    </row>
    <row r="105">
      <c r="A105" t="str">
        <v>104</v>
      </c>
      <c r="B105" t="str">
        <v>MASS BSF</v>
      </c>
      <c r="C105" t="str">
        <v>F1W-796</v>
      </c>
      <c r="D105" t="str">
        <v/>
      </c>
      <c r="E105" t="str">
        <v>867162026876599</v>
      </c>
      <c r="F105" t="str">
        <v>TBD</v>
      </c>
      <c r="G105" t="str">
        <v/>
      </c>
      <c r="H105" t="str">
        <v>28/09/2026</v>
      </c>
      <c r="I105" t="str">
        <v>10:36:02</v>
      </c>
      <c r="J105">
        <v>-12.213929</v>
      </c>
      <c r="K105">
        <v>-76.969635</v>
      </c>
      <c r="L105">
        <f>HYPERLINK("https://www.google.com/maps/search/?api=1&amp;query=-12.213929,-76.969635","Villa El Salvador, Lima")</f>
      </c>
      <c r="M105">
        <v>0</v>
      </c>
      <c r="N105">
        <v>100</v>
      </c>
      <c r="O105">
        <v>93930.7</v>
      </c>
      <c r="P105" t="str">
        <v>1,938.62</v>
      </c>
      <c r="Q105" t="str">
        <v>Vehículo apagado</v>
      </c>
      <c r="R105" t="str">
        <v/>
      </c>
      <c r="S105" t="str">
        <v/>
      </c>
      <c r="T105" t="str">
        <v/>
      </c>
    </row>
    <row r="106">
      <c r="A106" t="str">
        <v>105</v>
      </c>
      <c r="B106" t="str">
        <v>MASS BSF</v>
      </c>
      <c r="C106" t="str">
        <v>F1W-796</v>
      </c>
      <c r="D106" t="str">
        <v/>
      </c>
      <c r="E106" t="str">
        <v>867162026876599</v>
      </c>
      <c r="F106" t="str">
        <v>TBD</v>
      </c>
      <c r="G106" t="str">
        <v/>
      </c>
      <c r="H106" t="str">
        <v>28/09/2026</v>
      </c>
      <c r="I106" t="str">
        <v>10:36:06</v>
      </c>
      <c r="J106">
        <v>-12.213929</v>
      </c>
      <c r="K106">
        <v>-76.969635</v>
      </c>
      <c r="L106">
        <f>HYPERLINK("https://www.google.com/maps/search/?api=1&amp;query=-12.213929,-76.969635","Villa El Salvador, Lima")</f>
      </c>
      <c r="M106">
        <v>0</v>
      </c>
      <c r="N106">
        <v>100</v>
      </c>
      <c r="O106">
        <v>93930.7</v>
      </c>
      <c r="P106" t="str">
        <v>1,938.57</v>
      </c>
      <c r="Q106" t="str">
        <v/>
      </c>
      <c r="R106" t="str">
        <v/>
      </c>
      <c r="S106" t="str">
        <v/>
      </c>
      <c r="T106" t="str">
        <v/>
      </c>
    </row>
    <row r="107">
      <c r="A107" t="str">
        <v>106</v>
      </c>
      <c r="B107" t="str">
        <v>MASS BSF</v>
      </c>
      <c r="C107" t="str">
        <v>F1W-796</v>
      </c>
      <c r="D107" t="str">
        <v/>
      </c>
      <c r="E107" t="str">
        <v>867162026876599</v>
      </c>
      <c r="F107" t="str">
        <v>TBD</v>
      </c>
      <c r="G107" t="str">
        <v/>
      </c>
      <c r="H107" t="str">
        <v>28/09/2026</v>
      </c>
      <c r="I107" t="str">
        <v>10:41:37</v>
      </c>
      <c r="J107">
        <v>-12.213929</v>
      </c>
      <c r="K107">
        <v>-76.969635</v>
      </c>
      <c r="L107">
        <f>HYPERLINK("https://www.google.com/maps/search/?api=1&amp;query=-12.213929,-76.969635","Villa El Salvador, Lima")</f>
      </c>
      <c r="M107">
        <v>0</v>
      </c>
      <c r="N107">
        <v>100</v>
      </c>
      <c r="O107">
        <v>93930.7</v>
      </c>
      <c r="P107" t="str">
        <v>1,938.62</v>
      </c>
      <c r="Q107" t="str">
        <v>Vehículo encendido</v>
      </c>
      <c r="R107" t="str">
        <v/>
      </c>
      <c r="S107" t="str">
        <v/>
      </c>
      <c r="T107" t="str">
        <v/>
      </c>
    </row>
    <row r="108">
      <c r="A108" t="str">
        <v>107</v>
      </c>
      <c r="B108" t="str">
        <v>MASS BSF</v>
      </c>
      <c r="C108" t="str">
        <v>F1W-796</v>
      </c>
      <c r="D108" t="str">
        <v/>
      </c>
      <c r="E108" t="str">
        <v>867162026876599</v>
      </c>
      <c r="F108" t="str">
        <v>TBD</v>
      </c>
      <c r="G108" t="str">
        <v/>
      </c>
      <c r="H108" t="str">
        <v>28/09/2026</v>
      </c>
      <c r="I108" t="str">
        <v>10:41:44</v>
      </c>
      <c r="J108">
        <v>-12.21399</v>
      </c>
      <c r="K108">
        <v>-76.96938</v>
      </c>
      <c r="L108">
        <f>HYPERLINK("https://www.google.com/maps/search/?api=1&amp;query=-12.21399,-76.96938","Villa El Salvador, Lima")</f>
      </c>
      <c r="M108">
        <v>2.1</v>
      </c>
      <c r="N108">
        <v>100</v>
      </c>
      <c r="O108">
        <v>93930.7</v>
      </c>
      <c r="P108" t="str">
        <v>1,938.62</v>
      </c>
      <c r="Q108" t="str">
        <v/>
      </c>
      <c r="R108" t="str">
        <v/>
      </c>
      <c r="S108" t="str">
        <v/>
      </c>
      <c r="T108" t="str">
        <v/>
      </c>
    </row>
    <row r="109">
      <c r="A109" t="str">
        <v>108</v>
      </c>
      <c r="B109" t="str">
        <v>MASS BSF</v>
      </c>
      <c r="C109" t="str">
        <v>F1W-796</v>
      </c>
      <c r="D109" t="str">
        <v/>
      </c>
      <c r="E109" t="str">
        <v>867162026876599</v>
      </c>
      <c r="F109" t="str">
        <v>TBD</v>
      </c>
      <c r="G109" t="str">
        <v/>
      </c>
      <c r="H109" t="str">
        <v>28/09/2026</v>
      </c>
      <c r="I109" t="str">
        <v>10:42:41</v>
      </c>
      <c r="J109">
        <v>-12.214023</v>
      </c>
      <c r="K109">
        <v>-76.96936</v>
      </c>
      <c r="L109">
        <f>HYPERLINK("https://www.google.com/maps/search/?api=1&amp;query=-12.214023,-76.96936","Villa El Salvador, Lima")</f>
      </c>
      <c r="M109">
        <v>0</v>
      </c>
      <c r="N109">
        <v>100</v>
      </c>
      <c r="O109">
        <v>93930.7</v>
      </c>
      <c r="P109" t="str">
        <v>1,938.62</v>
      </c>
      <c r="Q109" t="str">
        <v/>
      </c>
      <c r="R109" t="str">
        <v/>
      </c>
      <c r="S109" t="str">
        <v/>
      </c>
      <c r="T109" t="str">
        <v/>
      </c>
    </row>
    <row r="110">
      <c r="A110" t="str">
        <v>109</v>
      </c>
      <c r="B110" t="str">
        <v>MASS BSF</v>
      </c>
      <c r="C110" t="str">
        <v>F1W-796</v>
      </c>
      <c r="D110" t="str">
        <v/>
      </c>
      <c r="E110" t="str">
        <v>867162026876599</v>
      </c>
      <c r="F110" t="str">
        <v>TBD</v>
      </c>
      <c r="G110" t="str">
        <v/>
      </c>
      <c r="H110" t="str">
        <v>28/09/2026</v>
      </c>
      <c r="I110" t="str">
        <v>10:43:41</v>
      </c>
      <c r="J110">
        <v>-12.214023</v>
      </c>
      <c r="K110">
        <v>-76.96936</v>
      </c>
      <c r="L110">
        <f>HYPERLINK("https://www.google.com/maps/search/?api=1&amp;query=-12.214023,-76.96936","Villa El Salvador, Lima")</f>
      </c>
      <c r="M110">
        <v>0</v>
      </c>
      <c r="N110">
        <v>100</v>
      </c>
      <c r="O110">
        <v>93930.7</v>
      </c>
      <c r="P110" t="str">
        <v>1,938.62</v>
      </c>
      <c r="Q110" t="str">
        <v/>
      </c>
      <c r="R110" t="str">
        <v/>
      </c>
      <c r="S110" t="str">
        <v/>
      </c>
      <c r="T110" t="str">
        <v/>
      </c>
    </row>
    <row r="111">
      <c r="A111" t="str">
        <v>110</v>
      </c>
      <c r="B111" t="str">
        <v>MASS BSF</v>
      </c>
      <c r="C111" t="str">
        <v>F1W-796</v>
      </c>
      <c r="D111" t="str">
        <v/>
      </c>
      <c r="E111" t="str">
        <v>867162026876599</v>
      </c>
      <c r="F111" t="str">
        <v>TBD</v>
      </c>
      <c r="G111" t="str">
        <v/>
      </c>
      <c r="H111" t="str">
        <v>28/09/2026</v>
      </c>
      <c r="I111" t="str">
        <v>10:44:41</v>
      </c>
      <c r="J111">
        <v>-12.214023</v>
      </c>
      <c r="K111">
        <v>-76.96936</v>
      </c>
      <c r="L111">
        <f>HYPERLINK("https://www.google.com/maps/search/?api=1&amp;query=-12.214023,-76.96936","Villa El Salvador, Lima")</f>
      </c>
      <c r="M111">
        <v>0</v>
      </c>
      <c r="N111">
        <v>100</v>
      </c>
      <c r="O111">
        <v>93930.7</v>
      </c>
      <c r="P111" t="str">
        <v>1,938.62</v>
      </c>
      <c r="Q111" t="str">
        <v/>
      </c>
      <c r="R111" t="str">
        <v/>
      </c>
      <c r="S111" t="str">
        <v/>
      </c>
      <c r="T111" t="str">
        <v/>
      </c>
    </row>
    <row r="112">
      <c r="A112" t="str">
        <v>111</v>
      </c>
      <c r="B112" t="str">
        <v>MASS BSF</v>
      </c>
      <c r="C112" t="str">
        <v>F1W-796</v>
      </c>
      <c r="D112" t="str">
        <v/>
      </c>
      <c r="E112" t="str">
        <v>867162026876599</v>
      </c>
      <c r="F112" t="str">
        <v>TBD</v>
      </c>
      <c r="G112" t="str">
        <v/>
      </c>
      <c r="H112" t="str">
        <v>28/09/2026</v>
      </c>
      <c r="I112" t="str">
        <v>10:45:41</v>
      </c>
      <c r="J112">
        <v>-12.214023</v>
      </c>
      <c r="K112">
        <v>-76.96936</v>
      </c>
      <c r="L112">
        <f>HYPERLINK("https://www.google.com/maps/search/?api=1&amp;query=-12.214023,-76.96936","Villa El Salvador, Lima")</f>
      </c>
      <c r="M112">
        <v>0</v>
      </c>
      <c r="N112">
        <v>100</v>
      </c>
      <c r="O112">
        <v>93930.7</v>
      </c>
      <c r="P112" t="str">
        <v>1,938.62</v>
      </c>
      <c r="Q112" t="str">
        <v/>
      </c>
      <c r="R112" t="str">
        <v/>
      </c>
      <c r="S112" t="str">
        <v/>
      </c>
      <c r="T112" t="str">
        <v/>
      </c>
    </row>
    <row r="113">
      <c r="A113" t="str">
        <v>112</v>
      </c>
      <c r="B113" t="str">
        <v>MASS BSF</v>
      </c>
      <c r="C113" t="str">
        <v>F1W-796</v>
      </c>
      <c r="D113" t="str">
        <v/>
      </c>
      <c r="E113" t="str">
        <v>867162026876599</v>
      </c>
      <c r="F113" t="str">
        <v>TBD</v>
      </c>
      <c r="G113" t="str">
        <v/>
      </c>
      <c r="H113" t="str">
        <v>28/09/2026</v>
      </c>
      <c r="I113" t="str">
        <v>10:46:41</v>
      </c>
      <c r="J113">
        <v>-12.214023</v>
      </c>
      <c r="K113">
        <v>-76.96936</v>
      </c>
      <c r="L113">
        <f>HYPERLINK("https://www.google.com/maps/search/?api=1&amp;query=-12.214023,-76.96936","Villa El Salvador, Lima")</f>
      </c>
      <c r="M113">
        <v>0</v>
      </c>
      <c r="N113">
        <v>100</v>
      </c>
      <c r="O113">
        <v>93930.7</v>
      </c>
      <c r="P113" t="str">
        <v>1,938.62</v>
      </c>
      <c r="Q113" t="str">
        <v/>
      </c>
      <c r="R113" t="str">
        <v/>
      </c>
      <c r="S113" t="str">
        <v/>
      </c>
      <c r="T113" t="str">
        <v/>
      </c>
    </row>
    <row r="114">
      <c r="A114" t="str">
        <v>113</v>
      </c>
      <c r="B114" t="str">
        <v>MASS BSF</v>
      </c>
      <c r="C114" t="str">
        <v>F1W-796</v>
      </c>
      <c r="D114" t="str">
        <v/>
      </c>
      <c r="E114" t="str">
        <v>867162026876599</v>
      </c>
      <c r="F114" t="str">
        <v>TBD</v>
      </c>
      <c r="G114" t="str">
        <v/>
      </c>
      <c r="H114" t="str">
        <v>28/09/2026</v>
      </c>
      <c r="I114" t="str">
        <v>10:47:41</v>
      </c>
      <c r="J114">
        <v>-12.214023</v>
      </c>
      <c r="K114">
        <v>-76.96936</v>
      </c>
      <c r="L114">
        <f>HYPERLINK("https://www.google.com/maps/search/?api=1&amp;query=-12.214023,-76.96936","Villa El Salvador, Lima")</f>
      </c>
      <c r="M114">
        <v>0</v>
      </c>
      <c r="N114">
        <v>100</v>
      </c>
      <c r="O114">
        <v>93930.7</v>
      </c>
      <c r="P114" t="str">
        <v>1,938.62</v>
      </c>
      <c r="Q114" t="str">
        <v/>
      </c>
      <c r="R114" t="str">
        <v/>
      </c>
      <c r="S114" t="str">
        <v/>
      </c>
      <c r="T114" t="str">
        <v/>
      </c>
    </row>
    <row r="115">
      <c r="A115" t="str">
        <v>114</v>
      </c>
      <c r="B115" t="str">
        <v>MASS BSF</v>
      </c>
      <c r="C115" t="str">
        <v>F1W-796</v>
      </c>
      <c r="D115" t="str">
        <v/>
      </c>
      <c r="E115" t="str">
        <v>867162026876599</v>
      </c>
      <c r="F115" t="str">
        <v>TBD</v>
      </c>
      <c r="G115" t="str">
        <v/>
      </c>
      <c r="H115" t="str">
        <v>28/09/2026</v>
      </c>
      <c r="I115" t="str">
        <v>10:48:41</v>
      </c>
      <c r="J115">
        <v>-12.214023</v>
      </c>
      <c r="K115">
        <v>-76.96936</v>
      </c>
      <c r="L115">
        <f>HYPERLINK("https://www.google.com/maps/search/?api=1&amp;query=-12.214023,-76.96936","Villa El Salvador, Lima")</f>
      </c>
      <c r="M115">
        <v>0</v>
      </c>
      <c r="N115">
        <v>100</v>
      </c>
      <c r="O115">
        <v>93930.7</v>
      </c>
      <c r="P115" t="str">
        <v>1,938.62</v>
      </c>
      <c r="Q115" t="str">
        <v/>
      </c>
      <c r="R115" t="str">
        <v/>
      </c>
      <c r="S115" t="str">
        <v/>
      </c>
      <c r="T115" t="str">
        <v/>
      </c>
    </row>
    <row r="116">
      <c r="A116" t="str">
        <v>115</v>
      </c>
      <c r="B116" t="str">
        <v>MASS BSF</v>
      </c>
      <c r="C116" t="str">
        <v>F1W-796</v>
      </c>
      <c r="D116" t="str">
        <v/>
      </c>
      <c r="E116" t="str">
        <v>867162026876599</v>
      </c>
      <c r="F116" t="str">
        <v>TBD</v>
      </c>
      <c r="G116" t="str">
        <v/>
      </c>
      <c r="H116" t="str">
        <v>28/09/2026</v>
      </c>
      <c r="I116" t="str">
        <v>10:49:41</v>
      </c>
      <c r="J116">
        <v>-12.214023</v>
      </c>
      <c r="K116">
        <v>-76.96936</v>
      </c>
      <c r="L116">
        <f>HYPERLINK("https://www.google.com/maps/search/?api=1&amp;query=-12.214023,-76.96936","Villa El Salvador, Lima")</f>
      </c>
      <c r="M116">
        <v>0</v>
      </c>
      <c r="N116">
        <v>100</v>
      </c>
      <c r="O116">
        <v>93930.7</v>
      </c>
      <c r="P116" t="str">
        <v>1,938.62</v>
      </c>
      <c r="Q116" t="str">
        <v/>
      </c>
      <c r="R116" t="str">
        <v/>
      </c>
      <c r="S116" t="str">
        <v/>
      </c>
      <c r="T116" t="str">
        <v/>
      </c>
    </row>
    <row r="117">
      <c r="A117" t="str">
        <v>116</v>
      </c>
      <c r="B117" t="str">
        <v>MASS BSF</v>
      </c>
      <c r="C117" t="str">
        <v>F1W-796</v>
      </c>
      <c r="D117" t="str">
        <v/>
      </c>
      <c r="E117" t="str">
        <v>867162026876599</v>
      </c>
      <c r="F117" t="str">
        <v>TBD</v>
      </c>
      <c r="G117" t="str">
        <v/>
      </c>
      <c r="H117" t="str">
        <v>28/09/2026</v>
      </c>
      <c r="I117" t="str">
        <v>10:50:41</v>
      </c>
      <c r="J117">
        <v>-12.214023</v>
      </c>
      <c r="K117">
        <v>-76.96936</v>
      </c>
      <c r="L117">
        <f>HYPERLINK("https://www.google.com/maps/search/?api=1&amp;query=-12.214023,-76.96936","Villa El Salvador, Lima")</f>
      </c>
      <c r="M117">
        <v>0</v>
      </c>
      <c r="N117">
        <v>100</v>
      </c>
      <c r="O117">
        <v>93930.7</v>
      </c>
      <c r="P117" t="str">
        <v>1,938.62</v>
      </c>
      <c r="Q117" t="str">
        <v/>
      </c>
      <c r="R117" t="str">
        <v/>
      </c>
      <c r="S117" t="str">
        <v/>
      </c>
      <c r="T117" t="str">
        <v/>
      </c>
    </row>
    <row r="118">
      <c r="A118" t="str">
        <v>117</v>
      </c>
      <c r="B118" t="str">
        <v>MASS BSF</v>
      </c>
      <c r="C118" t="str">
        <v>F1W-796</v>
      </c>
      <c r="D118" t="str">
        <v/>
      </c>
      <c r="E118" t="str">
        <v>867162026876599</v>
      </c>
      <c r="F118" t="str">
        <v>TBD</v>
      </c>
      <c r="G118" t="str">
        <v/>
      </c>
      <c r="H118" t="str">
        <v>28/09/2026</v>
      </c>
      <c r="I118" t="str">
        <v>10:51:41</v>
      </c>
      <c r="J118">
        <v>-12.214023</v>
      </c>
      <c r="K118">
        <v>-76.96936</v>
      </c>
      <c r="L118">
        <f>HYPERLINK("https://www.google.com/maps/search/?api=1&amp;query=-12.214023,-76.96936","Villa El Salvador, Lima")</f>
      </c>
      <c r="M118">
        <v>0</v>
      </c>
      <c r="N118">
        <v>100</v>
      </c>
      <c r="O118">
        <v>93930.7</v>
      </c>
      <c r="P118" t="str">
        <v>1,938.62</v>
      </c>
      <c r="Q118" t="str">
        <v/>
      </c>
      <c r="R118" t="str">
        <v/>
      </c>
      <c r="S118" t="str">
        <v/>
      </c>
      <c r="T118" t="str">
        <v/>
      </c>
    </row>
    <row r="119">
      <c r="A119" t="str">
        <v>118</v>
      </c>
      <c r="B119" t="str">
        <v>MASS BSF</v>
      </c>
      <c r="C119" t="str">
        <v>F1W-796</v>
      </c>
      <c r="D119" t="str">
        <v/>
      </c>
      <c r="E119" t="str">
        <v>867162026876599</v>
      </c>
      <c r="F119" t="str">
        <v>TBD</v>
      </c>
      <c r="G119" t="str">
        <v/>
      </c>
      <c r="H119" t="str">
        <v>28/09/2026</v>
      </c>
      <c r="I119" t="str">
        <v>10:52:41</v>
      </c>
      <c r="J119">
        <v>-12.214023</v>
      </c>
      <c r="K119">
        <v>-76.96936</v>
      </c>
      <c r="L119">
        <f>HYPERLINK("https://www.google.com/maps/search/?api=1&amp;query=-12.214023,-76.96936","Villa El Salvador, Lima")</f>
      </c>
      <c r="M119">
        <v>0</v>
      </c>
      <c r="N119">
        <v>100</v>
      </c>
      <c r="O119">
        <v>93930.7</v>
      </c>
      <c r="P119" t="str">
        <v>1,938.62</v>
      </c>
      <c r="Q119" t="str">
        <v/>
      </c>
      <c r="R119" t="str">
        <v/>
      </c>
      <c r="S119" t="str">
        <v/>
      </c>
      <c r="T119" t="str">
        <v/>
      </c>
    </row>
    <row r="120">
      <c r="A120" t="str">
        <v>119</v>
      </c>
      <c r="B120" t="str">
        <v>MASS BSF</v>
      </c>
      <c r="C120" t="str">
        <v>F1W-796</v>
      </c>
      <c r="D120" t="str">
        <v/>
      </c>
      <c r="E120" t="str">
        <v>867162026876599</v>
      </c>
      <c r="F120" t="str">
        <v>TBD</v>
      </c>
      <c r="G120" t="str">
        <v/>
      </c>
      <c r="H120" t="str">
        <v>28/09/2026</v>
      </c>
      <c r="I120" t="str">
        <v>10:53:41</v>
      </c>
      <c r="J120">
        <v>-12.214023</v>
      </c>
      <c r="K120">
        <v>-76.96936</v>
      </c>
      <c r="L120">
        <f>HYPERLINK("https://www.google.com/maps/search/?api=1&amp;query=-12.214023,-76.96936","Villa El Salvador, Lima")</f>
      </c>
      <c r="M120">
        <v>0</v>
      </c>
      <c r="N120">
        <v>100</v>
      </c>
      <c r="O120">
        <v>93930.7</v>
      </c>
      <c r="P120" t="str">
        <v>1,938.62</v>
      </c>
      <c r="Q120" t="str">
        <v/>
      </c>
      <c r="R120" t="str">
        <v/>
      </c>
      <c r="S120" t="str">
        <v/>
      </c>
      <c r="T120" t="str">
        <v/>
      </c>
    </row>
    <row r="121">
      <c r="A121" t="str">
        <v>120</v>
      </c>
      <c r="B121" t="str">
        <v>MASS BSF</v>
      </c>
      <c r="C121" t="str">
        <v>F1W-796</v>
      </c>
      <c r="D121" t="str">
        <v/>
      </c>
      <c r="E121" t="str">
        <v>867162026876599</v>
      </c>
      <c r="F121" t="str">
        <v>TBD</v>
      </c>
      <c r="G121" t="str">
        <v/>
      </c>
      <c r="H121" t="str">
        <v>28/09/2026</v>
      </c>
      <c r="I121" t="str">
        <v>10:54:41</v>
      </c>
      <c r="J121">
        <v>-12.214021</v>
      </c>
      <c r="K121">
        <v>-76.96932</v>
      </c>
      <c r="L121">
        <f>HYPERLINK("https://www.google.com/maps/search/?api=1&amp;query=-12.214021,-76.96932","Villa El Salvador, Lima")</f>
      </c>
      <c r="M121">
        <v>0</v>
      </c>
      <c r="N121">
        <v>100</v>
      </c>
      <c r="O121">
        <v>93930.7</v>
      </c>
      <c r="P121" t="str">
        <v>1,938.62</v>
      </c>
      <c r="Q121" t="str">
        <v/>
      </c>
      <c r="R121" t="str">
        <v/>
      </c>
      <c r="S121" t="str">
        <v/>
      </c>
      <c r="T121" t="str">
        <v/>
      </c>
    </row>
    <row r="122">
      <c r="A122" t="str">
        <v>121</v>
      </c>
      <c r="B122" t="str">
        <v>MASS BSF</v>
      </c>
      <c r="C122" t="str">
        <v>F1W-796</v>
      </c>
      <c r="D122" t="str">
        <v/>
      </c>
      <c r="E122" t="str">
        <v>867162026876599</v>
      </c>
      <c r="F122" t="str">
        <v>TBD</v>
      </c>
      <c r="G122" t="str">
        <v/>
      </c>
      <c r="H122" t="str">
        <v>28/09/2026</v>
      </c>
      <c r="I122" t="str">
        <v>10:55:41</v>
      </c>
      <c r="J122">
        <v>-12.214021</v>
      </c>
      <c r="K122">
        <v>-76.96932</v>
      </c>
      <c r="L122">
        <f>HYPERLINK("https://www.google.com/maps/search/?api=1&amp;query=-12.214021,-76.96932","Villa El Salvador, Lima")</f>
      </c>
      <c r="M122">
        <v>0</v>
      </c>
      <c r="N122">
        <v>100</v>
      </c>
      <c r="O122">
        <v>93930.7</v>
      </c>
      <c r="P122" t="str">
        <v>1,938.62</v>
      </c>
      <c r="Q122" t="str">
        <v/>
      </c>
      <c r="R122" t="str">
        <v/>
      </c>
      <c r="S122" t="str">
        <v/>
      </c>
      <c r="T122" t="str">
        <v/>
      </c>
    </row>
    <row r="123">
      <c r="A123" t="str">
        <v>122</v>
      </c>
      <c r="B123" t="str">
        <v>MASS BSF</v>
      </c>
      <c r="C123" t="str">
        <v>F1W-796</v>
      </c>
      <c r="D123" t="str">
        <v/>
      </c>
      <c r="E123" t="str">
        <v>867162026876599</v>
      </c>
      <c r="F123" t="str">
        <v>TBD</v>
      </c>
      <c r="G123" t="str">
        <v/>
      </c>
      <c r="H123" t="str">
        <v>28/09/2026</v>
      </c>
      <c r="I123" t="str">
        <v>10:56:41</v>
      </c>
      <c r="J123">
        <v>-12.214021</v>
      </c>
      <c r="K123">
        <v>-76.96932</v>
      </c>
      <c r="L123">
        <f>HYPERLINK("https://www.google.com/maps/search/?api=1&amp;query=-12.214021,-76.96932","Villa El Salvador, Lima")</f>
      </c>
      <c r="M123">
        <v>0</v>
      </c>
      <c r="N123">
        <v>100</v>
      </c>
      <c r="O123">
        <v>93930.7</v>
      </c>
      <c r="P123" t="str">
        <v>1,938.62</v>
      </c>
      <c r="Q123" t="str">
        <v/>
      </c>
      <c r="R123" t="str">
        <v/>
      </c>
      <c r="S123" t="str">
        <v/>
      </c>
      <c r="T123" t="str">
        <v/>
      </c>
    </row>
    <row r="124">
      <c r="A124" t="str">
        <v>123</v>
      </c>
      <c r="B124" t="str">
        <v>MASS BSF</v>
      </c>
      <c r="C124" t="str">
        <v>F1W-796</v>
      </c>
      <c r="D124" t="str">
        <v/>
      </c>
      <c r="E124" t="str">
        <v>867162026876599</v>
      </c>
      <c r="F124" t="str">
        <v>TBD</v>
      </c>
      <c r="G124" t="str">
        <v/>
      </c>
      <c r="H124" t="str">
        <v>28/09/2026</v>
      </c>
      <c r="I124" t="str">
        <v>10:57:27</v>
      </c>
      <c r="J124">
        <v>-12.214021</v>
      </c>
      <c r="K124">
        <v>-76.96932</v>
      </c>
      <c r="L124">
        <f>HYPERLINK("https://www.google.com/maps/search/?api=1&amp;query=-12.214021,-76.96932","Villa El Salvador, Lima")</f>
      </c>
      <c r="M124">
        <v>0</v>
      </c>
      <c r="N124">
        <v>100</v>
      </c>
      <c r="O124">
        <v>93930.7</v>
      </c>
      <c r="P124" t="str">
        <v>1,938.88</v>
      </c>
      <c r="Q124" t="str">
        <v>Vehículo apagado</v>
      </c>
      <c r="R124" t="str">
        <v/>
      </c>
      <c r="S124" t="str">
        <v/>
      </c>
      <c r="T124" t="str">
        <v/>
      </c>
    </row>
    <row r="125">
      <c r="A125" t="str">
        <v>124</v>
      </c>
      <c r="B125" t="str">
        <v>MASS BSF</v>
      </c>
      <c r="C125" t="str">
        <v>F1W-796</v>
      </c>
      <c r="D125" t="str">
        <v/>
      </c>
      <c r="E125" t="str">
        <v>867162026876599</v>
      </c>
      <c r="F125" t="str">
        <v>TBD</v>
      </c>
      <c r="G125" t="str">
        <v/>
      </c>
      <c r="H125" t="str">
        <v>28/09/2026</v>
      </c>
      <c r="I125" t="str">
        <v>10:57:31</v>
      </c>
      <c r="J125">
        <v>-12.214021</v>
      </c>
      <c r="K125">
        <v>-76.96932</v>
      </c>
      <c r="L125">
        <f>HYPERLINK("https://www.google.com/maps/search/?api=1&amp;query=-12.214021,-76.96932","Villa El Salvador, Lima")</f>
      </c>
      <c r="M125">
        <v>0</v>
      </c>
      <c r="N125">
        <v>100</v>
      </c>
      <c r="O125">
        <v>93930.7</v>
      </c>
      <c r="P125" t="str">
        <v>1,938.88</v>
      </c>
      <c r="Q125" t="str">
        <v/>
      </c>
      <c r="R125" t="str">
        <v/>
      </c>
      <c r="S125" t="str">
        <v/>
      </c>
      <c r="T125" t="str">
        <v/>
      </c>
    </row>
    <row r="126">
      <c r="A126" t="str">
        <v>125</v>
      </c>
      <c r="B126" t="str">
        <v>MASS BSF</v>
      </c>
      <c r="C126" t="str">
        <v>F1W-796</v>
      </c>
      <c r="D126" t="str">
        <v/>
      </c>
      <c r="E126" t="str">
        <v>867162026876599</v>
      </c>
      <c r="F126" t="str">
        <v>TBD</v>
      </c>
      <c r="G126" t="str">
        <v/>
      </c>
      <c r="H126" t="str">
        <v>28/09/2026</v>
      </c>
      <c r="I126" t="str">
        <v>11:15:40</v>
      </c>
      <c r="J126">
        <v>-12.214021</v>
      </c>
      <c r="K126">
        <v>-76.96932</v>
      </c>
      <c r="L126">
        <f>HYPERLINK("https://www.google.com/maps/search/?api=1&amp;query=-12.214021,-76.96932","Villa El Salvador, Lima")</f>
      </c>
      <c r="M126">
        <v>0</v>
      </c>
      <c r="N126">
        <v>100</v>
      </c>
      <c r="O126">
        <v>93930.7</v>
      </c>
      <c r="P126" t="str">
        <v>1,938.88</v>
      </c>
      <c r="Q126" t="str">
        <v>Vehículo encendido</v>
      </c>
      <c r="R126" t="str">
        <v/>
      </c>
      <c r="S126" t="str">
        <v/>
      </c>
      <c r="T126" t="str">
        <v/>
      </c>
    </row>
    <row r="127">
      <c r="A127" t="str">
        <v>126</v>
      </c>
      <c r="B127" t="str">
        <v>MASS BSF</v>
      </c>
      <c r="C127" t="str">
        <v>F1W-796</v>
      </c>
      <c r="D127" t="str">
        <v/>
      </c>
      <c r="E127" t="str">
        <v>867162026876599</v>
      </c>
      <c r="F127" t="str">
        <v>TBD</v>
      </c>
      <c r="G127" t="str">
        <v/>
      </c>
      <c r="H127" t="str">
        <v>28/09/2026</v>
      </c>
      <c r="I127" t="str">
        <v>11:15:46</v>
      </c>
      <c r="J127">
        <v>-12.213832</v>
      </c>
      <c r="K127">
        <v>-76.9694</v>
      </c>
      <c r="L127">
        <f>HYPERLINK("https://www.google.com/maps/search/?api=1&amp;query=-12.213832,-76.9694","Villa El Salvador, Lima")</f>
      </c>
      <c r="M127">
        <v>0</v>
      </c>
      <c r="N127">
        <v>100</v>
      </c>
      <c r="O127">
        <v>93930.7</v>
      </c>
      <c r="P127" t="str">
        <v>1,938.88</v>
      </c>
      <c r="Q127" t="str">
        <v/>
      </c>
      <c r="R127" t="str">
        <v/>
      </c>
      <c r="S127" t="str">
        <v/>
      </c>
      <c r="T127" t="str">
        <v/>
      </c>
    </row>
    <row r="128">
      <c r="A128" t="str">
        <v>127</v>
      </c>
      <c r="B128" t="str">
        <v>MASS BSF</v>
      </c>
      <c r="C128" t="str">
        <v>F1W-796</v>
      </c>
      <c r="D128" t="str">
        <v/>
      </c>
      <c r="E128" t="str">
        <v>867162026876599</v>
      </c>
      <c r="F128" t="str">
        <v>TBD</v>
      </c>
      <c r="G128" t="str">
        <v/>
      </c>
      <c r="H128" t="str">
        <v>28/09/2026</v>
      </c>
      <c r="I128" t="str">
        <v>11:16:44</v>
      </c>
      <c r="J128">
        <v>-12.213851</v>
      </c>
      <c r="K128">
        <v>-76.9694</v>
      </c>
      <c r="L128">
        <f>HYPERLINK("https://www.google.com/maps/search/?api=1&amp;query=-12.213851,-76.9694","Villa El Salvador, Lima")</f>
      </c>
      <c r="M128">
        <v>0</v>
      </c>
      <c r="N128">
        <v>100</v>
      </c>
      <c r="O128">
        <v>93930.7</v>
      </c>
      <c r="P128" t="str">
        <v>1,938.88</v>
      </c>
      <c r="Q128" t="str">
        <v/>
      </c>
      <c r="R128" t="str">
        <v/>
      </c>
      <c r="S128" t="str">
        <v/>
      </c>
      <c r="T128" t="str">
        <v/>
      </c>
    </row>
    <row r="129">
      <c r="A129" t="str">
        <v>128</v>
      </c>
      <c r="B129" t="str">
        <v>MASS BSF</v>
      </c>
      <c r="C129" t="str">
        <v>F1W-796</v>
      </c>
      <c r="D129" t="str">
        <v/>
      </c>
      <c r="E129" t="str">
        <v>867162026876599</v>
      </c>
      <c r="F129" t="str">
        <v>TBD</v>
      </c>
      <c r="G129" t="str">
        <v/>
      </c>
      <c r="H129" t="str">
        <v>28/09/2026</v>
      </c>
      <c r="I129" t="str">
        <v>11:17:44</v>
      </c>
      <c r="J129">
        <v>-12.213851</v>
      </c>
      <c r="K129">
        <v>-76.9694</v>
      </c>
      <c r="L129">
        <f>HYPERLINK("https://www.google.com/maps/search/?api=1&amp;query=-12.213851,-76.9694","Villa El Salvador, Lima")</f>
      </c>
      <c r="M129">
        <v>0</v>
      </c>
      <c r="N129">
        <v>100</v>
      </c>
      <c r="O129">
        <v>93930.7</v>
      </c>
      <c r="P129" t="str">
        <v>1,938.88</v>
      </c>
      <c r="Q129" t="str">
        <v/>
      </c>
      <c r="R129" t="str">
        <v/>
      </c>
      <c r="S129" t="str">
        <v/>
      </c>
      <c r="T129" t="str">
        <v/>
      </c>
    </row>
    <row r="130">
      <c r="A130" t="str">
        <v>129</v>
      </c>
      <c r="B130" t="str">
        <v>MASS BSF</v>
      </c>
      <c r="C130" t="str">
        <v>F1W-796</v>
      </c>
      <c r="D130" t="str">
        <v/>
      </c>
      <c r="E130" t="str">
        <v>867162026876599</v>
      </c>
      <c r="F130" t="str">
        <v>TBD</v>
      </c>
      <c r="G130" t="str">
        <v/>
      </c>
      <c r="H130" t="str">
        <v>28/09/2026</v>
      </c>
      <c r="I130" t="str">
        <v>11:18:44</v>
      </c>
      <c r="J130">
        <v>-12.213851</v>
      </c>
      <c r="K130">
        <v>-76.9694</v>
      </c>
      <c r="L130">
        <f>HYPERLINK("https://www.google.com/maps/search/?api=1&amp;query=-12.213851,-76.9694","Villa El Salvador, Lima")</f>
      </c>
      <c r="M130">
        <v>0</v>
      </c>
      <c r="N130">
        <v>100</v>
      </c>
      <c r="O130">
        <v>93930.7</v>
      </c>
      <c r="P130" t="str">
        <v>1,938.88</v>
      </c>
      <c r="Q130" t="str">
        <v/>
      </c>
      <c r="R130" t="str">
        <v/>
      </c>
      <c r="S130" t="str">
        <v/>
      </c>
      <c r="T130" t="str">
        <v/>
      </c>
    </row>
    <row r="131">
      <c r="A131" t="str">
        <v>130</v>
      </c>
      <c r="B131" t="str">
        <v>MASS BSF</v>
      </c>
      <c r="C131" t="str">
        <v>F1W-796</v>
      </c>
      <c r="D131" t="str">
        <v/>
      </c>
      <c r="E131" t="str">
        <v>867162026876599</v>
      </c>
      <c r="F131" t="str">
        <v>TBD</v>
      </c>
      <c r="G131" t="str">
        <v/>
      </c>
      <c r="H131" t="str">
        <v>28/09/2026</v>
      </c>
      <c r="I131" t="str">
        <v>11:19:01</v>
      </c>
      <c r="J131">
        <v>-12.214096</v>
      </c>
      <c r="K131">
        <v>-76.96897</v>
      </c>
      <c r="L131">
        <f>HYPERLINK("https://www.google.com/maps/search/?api=1&amp;query=-12.214096,-76.96897","Avenida Los Algarrobos, Villa El Salvador, Lima")</f>
      </c>
      <c r="M131">
        <v>11.4</v>
      </c>
      <c r="N131">
        <v>100</v>
      </c>
      <c r="O131">
        <v>93930.7</v>
      </c>
      <c r="P131" t="str">
        <v>1,938.88</v>
      </c>
      <c r="Q131" t="str">
        <v/>
      </c>
      <c r="R131" t="str">
        <v/>
      </c>
      <c r="S131" t="str">
        <v/>
      </c>
      <c r="T131" t="str">
        <v/>
      </c>
    </row>
    <row r="132">
      <c r="A132" t="str">
        <v>131</v>
      </c>
      <c r="B132" t="str">
        <v>MASS BSF</v>
      </c>
      <c r="C132" t="str">
        <v>F1W-796</v>
      </c>
      <c r="D132" t="str">
        <v/>
      </c>
      <c r="E132" t="str">
        <v>867162026876599</v>
      </c>
      <c r="F132" t="str">
        <v>TBD</v>
      </c>
      <c r="G132" t="str">
        <v/>
      </c>
      <c r="H132" t="str">
        <v>28/09/2026</v>
      </c>
      <c r="I132" t="str">
        <v>11:19:25</v>
      </c>
      <c r="J132">
        <v>-12.214748</v>
      </c>
      <c r="K132">
        <v>-76.96898</v>
      </c>
      <c r="L132">
        <f>HYPERLINK("https://www.google.com/maps/search/?api=1&amp;query=-12.214748,-76.96898","Avenida Los Algarrobos, Villa El Salvador, Lima")</f>
      </c>
      <c r="M132">
        <v>10.2</v>
      </c>
      <c r="N132">
        <v>100</v>
      </c>
      <c r="O132">
        <v>93930.8</v>
      </c>
      <c r="P132" t="str">
        <v>1,938.88</v>
      </c>
      <c r="Q132" t="str">
        <v/>
      </c>
      <c r="R132" t="str">
        <v/>
      </c>
      <c r="S132" t="str">
        <v/>
      </c>
      <c r="T132" t="str">
        <v/>
      </c>
    </row>
    <row r="133">
      <c r="A133" t="str">
        <v>132</v>
      </c>
      <c r="B133" t="str">
        <v>MASS BSF</v>
      </c>
      <c r="C133" t="str">
        <v>F1W-796</v>
      </c>
      <c r="D133" t="str">
        <v/>
      </c>
      <c r="E133" t="str">
        <v>867162026876599</v>
      </c>
      <c r="F133" t="str">
        <v>TBD</v>
      </c>
      <c r="G133" t="str">
        <v/>
      </c>
      <c r="H133" t="str">
        <v>28/09/2026</v>
      </c>
      <c r="I133" t="str">
        <v>11:19:44</v>
      </c>
      <c r="J133">
        <v>-12.215099</v>
      </c>
      <c r="K133">
        <v>-76.96879</v>
      </c>
      <c r="L133">
        <f>HYPERLINK("https://www.google.com/maps/search/?api=1&amp;query=-12.215099,-76.96879","Avenida Los Algarrobos, Villa El Salvador, Lima")</f>
      </c>
      <c r="M133">
        <v>13.7</v>
      </c>
      <c r="N133">
        <v>100</v>
      </c>
      <c r="O133">
        <v>93930.9</v>
      </c>
      <c r="P133" t="str">
        <v>1,938.88</v>
      </c>
      <c r="Q133" t="str">
        <v/>
      </c>
      <c r="R133" t="str">
        <v/>
      </c>
      <c r="S133" t="str">
        <v/>
      </c>
      <c r="T133" t="str">
        <v/>
      </c>
    </row>
    <row r="134">
      <c r="A134" t="str">
        <v>133</v>
      </c>
      <c r="B134" t="str">
        <v>MASS BSF</v>
      </c>
      <c r="C134" t="str">
        <v>F1W-796</v>
      </c>
      <c r="D134" t="str">
        <v/>
      </c>
      <c r="E134" t="str">
        <v>867162026876599</v>
      </c>
      <c r="F134" t="str">
        <v>TBD</v>
      </c>
      <c r="G134" t="str">
        <v/>
      </c>
      <c r="H134" t="str">
        <v>28/09/2026</v>
      </c>
      <c r="I134" t="str">
        <v>11:20:22</v>
      </c>
      <c r="J134">
        <v>-12.216294</v>
      </c>
      <c r="K134">
        <v>-76.96826</v>
      </c>
      <c r="L134">
        <f>HYPERLINK("https://www.google.com/maps/search/?api=1&amp;query=-12.216294,-76.96826","Avenida El Sol, Villa El Salvador, Lima")</f>
      </c>
      <c r="M134">
        <v>14.5</v>
      </c>
      <c r="N134">
        <v>100</v>
      </c>
      <c r="O134">
        <v>93931</v>
      </c>
      <c r="P134" t="str">
        <v>1,938.88</v>
      </c>
      <c r="Q134" t="str">
        <v/>
      </c>
      <c r="R134" t="str">
        <v/>
      </c>
      <c r="S134" t="str">
        <v/>
      </c>
      <c r="T134" t="str">
        <v/>
      </c>
    </row>
    <row r="135">
      <c r="A135" t="str">
        <v>134</v>
      </c>
      <c r="B135" t="str">
        <v>MASS BSF</v>
      </c>
      <c r="C135" t="str">
        <v>F1W-796</v>
      </c>
      <c r="D135" t="str">
        <v/>
      </c>
      <c r="E135" t="str">
        <v>867162026876599</v>
      </c>
      <c r="F135" t="str">
        <v>TBD</v>
      </c>
      <c r="G135" t="str">
        <v/>
      </c>
      <c r="H135" t="str">
        <v>28/09/2026</v>
      </c>
      <c r="I135" t="str">
        <v>11:20:44</v>
      </c>
      <c r="J135">
        <v>-12.216782</v>
      </c>
      <c r="K135">
        <v>-76.96879</v>
      </c>
      <c r="L135">
        <f>HYPERLINK("https://www.google.com/maps/search/?api=1&amp;query=-12.216782,-76.96879","Avenida El Sol, Villa El Salvador, Lima")</f>
      </c>
      <c r="M135">
        <v>29.5</v>
      </c>
      <c r="N135">
        <v>100</v>
      </c>
      <c r="O135">
        <v>93931.1</v>
      </c>
      <c r="P135" t="str">
        <v>1,938.88</v>
      </c>
      <c r="Q135" t="str">
        <v/>
      </c>
      <c r="R135" t="str">
        <v/>
      </c>
      <c r="S135" t="str">
        <v/>
      </c>
      <c r="T135" t="str">
        <v/>
      </c>
    </row>
    <row r="136">
      <c r="A136" t="str">
        <v>135</v>
      </c>
      <c r="B136" t="str">
        <v>MASS BSF</v>
      </c>
      <c r="C136" t="str">
        <v>F1W-796</v>
      </c>
      <c r="D136" t="str">
        <v/>
      </c>
      <c r="E136" t="str">
        <v>867162026876599</v>
      </c>
      <c r="F136" t="str">
        <v>TBD</v>
      </c>
      <c r="G136" t="str">
        <v/>
      </c>
      <c r="H136" t="str">
        <v>28/09/2026</v>
      </c>
      <c r="I136" t="str">
        <v>11:21:44</v>
      </c>
      <c r="J136">
        <v>-12.221335</v>
      </c>
      <c r="K136">
        <v>-76.97361</v>
      </c>
      <c r="L136">
        <f>HYPERLINK("https://www.google.com/maps/search/?api=1&amp;query=-12.221335,-76.97361","Avenida El Sol, Villa El Salvador, Lima")</f>
      </c>
      <c r="M136">
        <v>59.2</v>
      </c>
      <c r="N136">
        <v>100</v>
      </c>
      <c r="O136">
        <v>93931.9</v>
      </c>
      <c r="P136" t="str">
        <v>1,938.88</v>
      </c>
      <c r="Q136" t="str">
        <v/>
      </c>
      <c r="R136" t="str">
        <v/>
      </c>
      <c r="S136" t="str">
        <v/>
      </c>
      <c r="T136" t="str">
        <v/>
      </c>
    </row>
    <row r="137">
      <c r="A137" t="str">
        <v>136</v>
      </c>
      <c r="B137" t="str">
        <v>MASS BSF</v>
      </c>
      <c r="C137" t="str">
        <v>F1W-796</v>
      </c>
      <c r="D137" t="str">
        <v/>
      </c>
      <c r="E137" t="str">
        <v>867162026876599</v>
      </c>
      <c r="F137" t="str">
        <v>TBD</v>
      </c>
      <c r="G137" t="str">
        <v/>
      </c>
      <c r="H137" t="str">
        <v>28/09/2026</v>
      </c>
      <c r="I137" t="str">
        <v>11:21:54</v>
      </c>
      <c r="J137">
        <v>-12.222052</v>
      </c>
      <c r="K137">
        <v>-76.974556</v>
      </c>
      <c r="L137">
        <f>HYPERLINK("https://www.google.com/maps/search/?api=1&amp;query=-12.222052,-76.974556","Antigua Panamericana Sur, Villa El Salvador, Lima")</f>
      </c>
      <c r="M137">
        <v>13.7</v>
      </c>
      <c r="N137">
        <v>100</v>
      </c>
      <c r="O137">
        <v>93932</v>
      </c>
      <c r="P137" t="str">
        <v>1,938.88</v>
      </c>
      <c r="Q137" t="str">
        <v/>
      </c>
      <c r="R137" t="str">
        <v/>
      </c>
      <c r="S137" t="str">
        <v/>
      </c>
      <c r="T137" t="str">
        <v/>
      </c>
    </row>
    <row r="138">
      <c r="A138" t="str">
        <v>137</v>
      </c>
      <c r="B138" t="str">
        <v>MASS BSF</v>
      </c>
      <c r="C138" t="str">
        <v>F1W-796</v>
      </c>
      <c r="D138" t="str">
        <v/>
      </c>
      <c r="E138" t="str">
        <v>867162026876599</v>
      </c>
      <c r="F138" t="str">
        <v>TBD</v>
      </c>
      <c r="G138" t="str">
        <v/>
      </c>
      <c r="H138" t="str">
        <v>28/09/2026</v>
      </c>
      <c r="I138" t="str">
        <v>11:22:19</v>
      </c>
      <c r="J138">
        <v>-12.220436</v>
      </c>
      <c r="K138">
        <v>-76.9757</v>
      </c>
      <c r="L138">
        <f>HYPERLINK("https://www.google.com/maps/search/?api=1&amp;query=-12.220436,-76.9757","Antigua Panamericana Sur, Villa El Salvador, Lima")</f>
      </c>
      <c r="M138">
        <v>43.8</v>
      </c>
      <c r="N138">
        <v>100</v>
      </c>
      <c r="O138">
        <v>93932.2</v>
      </c>
      <c r="P138" t="str">
        <v>1,938.88</v>
      </c>
      <c r="Q138" t="str">
        <v/>
      </c>
      <c r="R138" t="str">
        <v/>
      </c>
      <c r="S138" t="str">
        <v/>
      </c>
      <c r="T138" t="str">
        <v/>
      </c>
    </row>
    <row r="139">
      <c r="A139" t="str">
        <v>138</v>
      </c>
      <c r="B139" t="str">
        <v>MASS BSF</v>
      </c>
      <c r="C139" t="str">
        <v>F1W-796</v>
      </c>
      <c r="D139" t="str">
        <v/>
      </c>
      <c r="E139" t="str">
        <v>867162026876599</v>
      </c>
      <c r="F139" t="str">
        <v>TBD</v>
      </c>
      <c r="G139" t="str">
        <v/>
      </c>
      <c r="H139" t="str">
        <v>28/09/2026</v>
      </c>
      <c r="I139" t="str">
        <v>11:22:43</v>
      </c>
      <c r="J139">
        <v>-12.218542</v>
      </c>
      <c r="K139">
        <v>-76.97584</v>
      </c>
      <c r="L139">
        <f>HYPERLINK("https://www.google.com/maps/search/?api=1&amp;query=-12.218542,-76.97584","Villa El Salvador, Lima")</f>
      </c>
      <c r="M139">
        <v>40.3</v>
      </c>
      <c r="N139">
        <v>100</v>
      </c>
      <c r="O139">
        <v>93932.4</v>
      </c>
      <c r="P139" t="str">
        <v>1,938.88</v>
      </c>
      <c r="Q139" t="str">
        <v/>
      </c>
      <c r="R139" t="str">
        <v/>
      </c>
      <c r="S139" t="str">
        <v/>
      </c>
      <c r="T139" t="str">
        <v/>
      </c>
    </row>
    <row r="140">
      <c r="A140" t="str">
        <v>139</v>
      </c>
      <c r="B140" t="str">
        <v>MASS BSF</v>
      </c>
      <c r="C140" t="str">
        <v>F1W-796</v>
      </c>
      <c r="D140" t="str">
        <v/>
      </c>
      <c r="E140" t="str">
        <v>867162026876599</v>
      </c>
      <c r="F140" t="str">
        <v>TBD</v>
      </c>
      <c r="G140" t="str">
        <v/>
      </c>
      <c r="H140" t="str">
        <v>28/09/2026</v>
      </c>
      <c r="I140" t="str">
        <v>11:22:43</v>
      </c>
      <c r="J140">
        <v>-12.218287</v>
      </c>
      <c r="K140">
        <v>-76.97601</v>
      </c>
      <c r="L140">
        <f>HYPERLINK("https://www.google.com/maps/search/?api=1&amp;query=-12.218287,-76.97601","Villa El Salvador, Lima")</f>
      </c>
      <c r="M140">
        <v>41.4</v>
      </c>
      <c r="N140">
        <v>100</v>
      </c>
      <c r="O140">
        <v>93932.4</v>
      </c>
      <c r="P140" t="str">
        <v>1,938.88</v>
      </c>
      <c r="Q140" t="str">
        <v/>
      </c>
      <c r="R140" t="str">
        <v/>
      </c>
      <c r="S140" t="str">
        <v/>
      </c>
      <c r="T140" t="str">
        <v/>
      </c>
    </row>
    <row r="141">
      <c r="A141" t="str">
        <v>140</v>
      </c>
      <c r="B141" t="str">
        <v>MASS BSF</v>
      </c>
      <c r="C141" t="str">
        <v>F1W-796</v>
      </c>
      <c r="D141" t="str">
        <v/>
      </c>
      <c r="E141" t="str">
        <v>867162026876599</v>
      </c>
      <c r="F141" t="str">
        <v>TBD</v>
      </c>
      <c r="G141" t="str">
        <v/>
      </c>
      <c r="H141" t="str">
        <v>28/09/2026</v>
      </c>
      <c r="I141" t="str">
        <v>11:22:52</v>
      </c>
      <c r="J141">
        <v>-12.217951</v>
      </c>
      <c r="K141">
        <v>-76.97695</v>
      </c>
      <c r="L141">
        <f>HYPERLINK("https://www.google.com/maps/search/?api=1&amp;query=-12.217951,-76.97695","Avenida Caminos del Inca, Chorrillos, Lima")</f>
      </c>
      <c r="M141">
        <v>47.8</v>
      </c>
      <c r="N141">
        <v>100</v>
      </c>
      <c r="O141">
        <v>93932.5</v>
      </c>
      <c r="P141" t="str">
        <v>1,938.88</v>
      </c>
      <c r="Q141" t="str">
        <v/>
      </c>
      <c r="R141" t="str">
        <v/>
      </c>
      <c r="S141" t="str">
        <v/>
      </c>
      <c r="T141" t="str">
        <v/>
      </c>
    </row>
    <row r="142">
      <c r="A142" t="str">
        <v>141</v>
      </c>
      <c r="B142" t="str">
        <v>MASS BSF</v>
      </c>
      <c r="C142" t="str">
        <v>F1W-796</v>
      </c>
      <c r="D142" t="str">
        <v/>
      </c>
      <c r="E142" t="str">
        <v>867162026876599</v>
      </c>
      <c r="F142" t="str">
        <v>TBD</v>
      </c>
      <c r="G142" t="str">
        <v/>
      </c>
      <c r="H142" t="str">
        <v>28/09/2026</v>
      </c>
      <c r="I142" t="str">
        <v>11:23:22</v>
      </c>
      <c r="J142">
        <v>-12.21733</v>
      </c>
      <c r="K142">
        <v>-76.979454</v>
      </c>
      <c r="L142">
        <f>HYPERLINK("https://www.google.com/maps/search/?api=1&amp;query=-12.21733,-76.979454","Avenida Caminos del Inca, Chorrillos, Lima")</f>
      </c>
      <c r="M142">
        <v>50.1</v>
      </c>
      <c r="N142">
        <v>100</v>
      </c>
      <c r="O142">
        <v>93932.8</v>
      </c>
      <c r="P142" t="str">
        <v>1,938.88</v>
      </c>
      <c r="Q142" t="str">
        <v/>
      </c>
      <c r="R142" t="str">
        <v/>
      </c>
      <c r="S142" t="str">
        <v/>
      </c>
      <c r="T142" t="str">
        <v/>
      </c>
    </row>
    <row r="143">
      <c r="A143" t="str">
        <v>142</v>
      </c>
      <c r="B143" t="str">
        <v>MASS BSF</v>
      </c>
      <c r="C143" t="str">
        <v>F1W-796</v>
      </c>
      <c r="D143" t="str">
        <v/>
      </c>
      <c r="E143" t="str">
        <v>867162026876599</v>
      </c>
      <c r="F143" t="str">
        <v>TBD</v>
      </c>
      <c r="G143" t="str">
        <v/>
      </c>
      <c r="H143" t="str">
        <v>28/09/2026</v>
      </c>
      <c r="I143" t="str">
        <v>11:23:39</v>
      </c>
      <c r="J143">
        <v>-12.21733</v>
      </c>
      <c r="K143">
        <v>-76.979454</v>
      </c>
      <c r="L143">
        <f>HYPERLINK("https://www.google.com/maps/search/?api=1&amp;query=-12.21733,-76.979454","Avenida Caminos del Inca, Chorrillos, Lima")</f>
      </c>
      <c r="M143">
        <v>50.1</v>
      </c>
      <c r="N143">
        <v>100</v>
      </c>
      <c r="O143">
        <v>93932.8</v>
      </c>
      <c r="P143" t="str">
        <v>1,938.88</v>
      </c>
      <c r="Q143" t="str">
        <v/>
      </c>
      <c r="R143" t="str">
        <v/>
      </c>
      <c r="S143" t="str">
        <v/>
      </c>
      <c r="T143" t="str">
        <v/>
      </c>
    </row>
    <row r="144">
      <c r="A144" t="str">
        <v>143</v>
      </c>
      <c r="B144" t="str">
        <v>MASS BSF</v>
      </c>
      <c r="C144" t="str">
        <v>F1W-796</v>
      </c>
      <c r="D144" t="str">
        <v/>
      </c>
      <c r="E144" t="str">
        <v>867162026876599</v>
      </c>
      <c r="F144" t="str">
        <v>TBD</v>
      </c>
      <c r="G144" t="str">
        <v/>
      </c>
      <c r="H144" t="str">
        <v>28/09/2026</v>
      </c>
      <c r="I144" t="str">
        <v>11:23:43</v>
      </c>
      <c r="J144">
        <v>-12.215743</v>
      </c>
      <c r="K144">
        <v>-76.98091</v>
      </c>
      <c r="L144">
        <f>HYPERLINK("https://www.google.com/maps/search/?api=1&amp;query=-12.215743,-76.98091","Avenida Caminos del Inca, Chorrillos, Lima")</f>
      </c>
      <c r="M144">
        <v>23.9</v>
      </c>
      <c r="N144">
        <v>100</v>
      </c>
      <c r="O144">
        <v>93933.1</v>
      </c>
      <c r="P144" t="str">
        <v>1,938.88</v>
      </c>
      <c r="Q144" t="str">
        <v/>
      </c>
      <c r="R144" t="str">
        <v/>
      </c>
      <c r="S144" t="str">
        <v/>
      </c>
      <c r="T144" t="str">
        <v/>
      </c>
    </row>
    <row r="145">
      <c r="A145" t="str">
        <v>144</v>
      </c>
      <c r="B145" t="str">
        <v>MASS BSF</v>
      </c>
      <c r="C145" t="str">
        <v>F1W-796</v>
      </c>
      <c r="D145" t="str">
        <v/>
      </c>
      <c r="E145" t="str">
        <v>867162026876599</v>
      </c>
      <c r="F145" t="str">
        <v>TBD</v>
      </c>
      <c r="G145" t="str">
        <v/>
      </c>
      <c r="H145" t="str">
        <v>28/09/2026</v>
      </c>
      <c r="I145" t="str">
        <v>11:23:43</v>
      </c>
      <c r="J145">
        <v>-12.215698</v>
      </c>
      <c r="K145">
        <v>-76.98105</v>
      </c>
      <c r="L145">
        <f>HYPERLINK("https://www.google.com/maps/search/?api=1&amp;query=-12.215698,-76.98105","Avenida Caminos del Inca, Chorrillos, Lima")</f>
      </c>
      <c r="M145">
        <v>17.5</v>
      </c>
      <c r="N145">
        <v>100</v>
      </c>
      <c r="O145">
        <v>93933.1</v>
      </c>
      <c r="P145" t="str">
        <v>1,938.88</v>
      </c>
      <c r="Q145" t="str">
        <v/>
      </c>
      <c r="R145" t="str">
        <v/>
      </c>
      <c r="S145" t="str">
        <v/>
      </c>
      <c r="T145" t="str">
        <v/>
      </c>
    </row>
    <row r="146">
      <c r="A146" t="str">
        <v>145</v>
      </c>
      <c r="B146" t="str">
        <v>MASS BSF</v>
      </c>
      <c r="C146" t="str">
        <v>F1W-796</v>
      </c>
      <c r="D146" t="str">
        <v/>
      </c>
      <c r="E146" t="str">
        <v>867162026876599</v>
      </c>
      <c r="F146" t="str">
        <v>TBD</v>
      </c>
      <c r="G146" t="str">
        <v/>
      </c>
      <c r="H146" t="str">
        <v>28/09/2026</v>
      </c>
      <c r="I146" t="str">
        <v>11:23:46</v>
      </c>
      <c r="J146">
        <v>-12.215775</v>
      </c>
      <c r="K146">
        <v>-76.981125</v>
      </c>
      <c r="L146">
        <f>HYPERLINK("https://www.google.com/maps/search/?api=1&amp;query=-12.215775,-76.981125","Avenida Caminos del Inca, Chorrillos, Lima")</f>
      </c>
      <c r="M146">
        <v>11.2</v>
      </c>
      <c r="N146">
        <v>100</v>
      </c>
      <c r="O146">
        <v>93933.1</v>
      </c>
      <c r="P146" t="str">
        <v>1,938.88</v>
      </c>
      <c r="Q146" t="str">
        <v/>
      </c>
      <c r="R146" t="str">
        <v/>
      </c>
      <c r="S146" t="str">
        <v/>
      </c>
      <c r="T146" t="str">
        <v/>
      </c>
    </row>
    <row r="147">
      <c r="A147" t="str">
        <v>146</v>
      </c>
      <c r="B147" t="str">
        <v>MASS BSF</v>
      </c>
      <c r="C147" t="str">
        <v>F1W-796</v>
      </c>
      <c r="D147" t="str">
        <v/>
      </c>
      <c r="E147" t="str">
        <v>867162026876599</v>
      </c>
      <c r="F147" t="str">
        <v>TBD</v>
      </c>
      <c r="G147" t="str">
        <v/>
      </c>
      <c r="H147" t="str">
        <v>28/09/2026</v>
      </c>
      <c r="I147" t="str">
        <v>11:23:51</v>
      </c>
      <c r="J147">
        <v>-12.215954</v>
      </c>
      <c r="K147">
        <v>-76.98104</v>
      </c>
      <c r="L147">
        <f>HYPERLINK("https://www.google.com/maps/search/?api=1&amp;query=-12.215954,-76.98104","Prolongación Huaylas, Chorrillos, Lima")</f>
      </c>
      <c r="M147">
        <v>22.6</v>
      </c>
      <c r="N147">
        <v>100</v>
      </c>
      <c r="O147">
        <v>93933.1</v>
      </c>
      <c r="P147" t="str">
        <v>1,938.88</v>
      </c>
      <c r="Q147" t="str">
        <v/>
      </c>
      <c r="R147" t="str">
        <v/>
      </c>
      <c r="S147" t="str">
        <v/>
      </c>
      <c r="T147" t="str">
        <v/>
      </c>
    </row>
    <row r="148">
      <c r="A148" t="str">
        <v>147</v>
      </c>
      <c r="B148" t="str">
        <v>MASS BSF</v>
      </c>
      <c r="C148" t="str">
        <v>F1W-796</v>
      </c>
      <c r="D148" t="str">
        <v/>
      </c>
      <c r="E148" t="str">
        <v>867162026876599</v>
      </c>
      <c r="F148" t="str">
        <v>TBD</v>
      </c>
      <c r="G148" t="str">
        <v/>
      </c>
      <c r="H148" t="str">
        <v>28/09/2026</v>
      </c>
      <c r="I148" t="str">
        <v>11:24:40</v>
      </c>
      <c r="J148">
        <v>-12.215954</v>
      </c>
      <c r="K148">
        <v>-76.98104</v>
      </c>
      <c r="L148">
        <f>HYPERLINK("https://www.google.com/maps/search/?api=1&amp;query=-12.215954,-76.98104","Prolongación Huaylas, Chorrillos, Lima")</f>
      </c>
      <c r="M148">
        <v>22.6</v>
      </c>
      <c r="N148">
        <v>100</v>
      </c>
      <c r="O148">
        <v>93933.1</v>
      </c>
      <c r="P148" t="str">
        <v>1,938.88</v>
      </c>
      <c r="Q148" t="str">
        <v/>
      </c>
      <c r="R148" t="str">
        <v/>
      </c>
      <c r="S148" t="str">
        <v/>
      </c>
      <c r="T148" t="str">
        <v/>
      </c>
    </row>
    <row r="149">
      <c r="A149" t="str">
        <v>148</v>
      </c>
      <c r="B149" t="str">
        <v>MASS BSF</v>
      </c>
      <c r="C149" t="str">
        <v>F1W-796</v>
      </c>
      <c r="D149" t="str">
        <v/>
      </c>
      <c r="E149" t="str">
        <v>867162026876599</v>
      </c>
      <c r="F149" t="str">
        <v>TBD</v>
      </c>
      <c r="G149" t="str">
        <v/>
      </c>
      <c r="H149" t="str">
        <v>28/09/2026</v>
      </c>
      <c r="I149" t="str">
        <v>11:25:40</v>
      </c>
      <c r="J149">
        <v>-12.220095</v>
      </c>
      <c r="K149">
        <v>-76.976974</v>
      </c>
      <c r="L149">
        <f>HYPERLINK("https://www.google.com/maps/search/?api=1&amp;query=-12.220095,-76.976974","Carretera Panamericana Sur, Chorrillos, Lima")</f>
      </c>
      <c r="M149">
        <v>64.8</v>
      </c>
      <c r="N149">
        <v>100</v>
      </c>
      <c r="O149">
        <v>93934.6</v>
      </c>
      <c r="P149" t="str">
        <v>1,938.88</v>
      </c>
      <c r="Q149" t="str">
        <v/>
      </c>
      <c r="R149" t="str">
        <v/>
      </c>
      <c r="S149" t="str">
        <v/>
      </c>
      <c r="T149" t="str">
        <v/>
      </c>
    </row>
    <row r="150">
      <c r="A150" t="str">
        <v>149</v>
      </c>
      <c r="B150" t="str">
        <v>MASS BSF</v>
      </c>
      <c r="C150" t="str">
        <v>F1W-796</v>
      </c>
      <c r="D150" t="str">
        <v/>
      </c>
      <c r="E150" t="str">
        <v>867162026876599</v>
      </c>
      <c r="F150" t="str">
        <v>TBD</v>
      </c>
      <c r="G150" t="str">
        <v/>
      </c>
      <c r="H150" t="str">
        <v>28/09/2026</v>
      </c>
      <c r="I150" t="str">
        <v>11:26:40</v>
      </c>
      <c r="J150">
        <v>-12.225621</v>
      </c>
      <c r="K150">
        <v>-76.97155</v>
      </c>
      <c r="L150">
        <f>HYPERLINK("https://www.google.com/maps/search/?api=1&amp;query=-12.225621,-76.97155","Carretera Panamericana Sur, Villa El Salvador, Lima")</f>
      </c>
      <c r="M150">
        <v>40.7</v>
      </c>
      <c r="N150">
        <v>100</v>
      </c>
      <c r="O150">
        <v>93935.2</v>
      </c>
      <c r="P150" t="str">
        <v>1,938.88</v>
      </c>
      <c r="Q150" t="str">
        <v/>
      </c>
      <c r="R150" t="str">
        <v/>
      </c>
      <c r="S150" t="str">
        <v/>
      </c>
      <c r="T150" t="str">
        <v/>
      </c>
    </row>
    <row r="151">
      <c r="A151" t="str">
        <v>150</v>
      </c>
      <c r="B151" t="str">
        <v>MASS BSF</v>
      </c>
      <c r="C151" t="str">
        <v>F1W-796</v>
      </c>
      <c r="D151" t="str">
        <v/>
      </c>
      <c r="E151" t="str">
        <v>867162026876599</v>
      </c>
      <c r="F151" t="str">
        <v>TBD</v>
      </c>
      <c r="G151" t="str">
        <v/>
      </c>
      <c r="H151" t="str">
        <v>28/09/2026</v>
      </c>
      <c r="I151" t="str">
        <v>11:27:40</v>
      </c>
      <c r="J151">
        <v>-12.229757</v>
      </c>
      <c r="K151">
        <v>-76.967514</v>
      </c>
      <c r="L151">
        <f>HYPERLINK("https://www.google.com/maps/search/?api=1&amp;query=-12.229757,-76.967514","Carretera Panamericana Sur, Villa El Salvador, Lima")</f>
      </c>
      <c r="M151">
        <v>66.9</v>
      </c>
      <c r="N151">
        <v>100</v>
      </c>
      <c r="O151">
        <v>93936.4</v>
      </c>
      <c r="P151" t="str">
        <v>1,938.88</v>
      </c>
      <c r="Q151" t="str">
        <v/>
      </c>
      <c r="R151" t="str">
        <v/>
      </c>
      <c r="S151" t="str">
        <v/>
      </c>
      <c r="T151" t="str">
        <v/>
      </c>
    </row>
    <row r="152">
      <c r="A152" t="str">
        <v>151</v>
      </c>
      <c r="B152" t="str">
        <v>MASS BSF</v>
      </c>
      <c r="C152" t="str">
        <v>F1W-796</v>
      </c>
      <c r="D152" t="str">
        <v/>
      </c>
      <c r="E152" t="str">
        <v>867162026876599</v>
      </c>
      <c r="F152" t="str">
        <v>TBD</v>
      </c>
      <c r="G152" t="str">
        <v/>
      </c>
      <c r="H152" t="str">
        <v>28/09/2026</v>
      </c>
      <c r="I152" t="str">
        <v>11:28:40</v>
      </c>
      <c r="J152">
        <v>-12.235478</v>
      </c>
      <c r="K152">
        <v>-76.95753</v>
      </c>
      <c r="L152">
        <f>HYPERLINK("https://www.google.com/maps/search/?api=1&amp;query=-12.235478,-76.95753","Carretera Panamericana Sur, Villa El Salvador, Lima")</f>
      </c>
      <c r="M152">
        <v>77.8</v>
      </c>
      <c r="N152">
        <v>100</v>
      </c>
      <c r="O152">
        <v>93937.8</v>
      </c>
      <c r="P152" t="str">
        <v>1,938.88</v>
      </c>
      <c r="Q152" t="str">
        <v/>
      </c>
      <c r="R152" t="str">
        <v/>
      </c>
      <c r="S152" t="str">
        <v/>
      </c>
      <c r="T152" t="str">
        <v/>
      </c>
    </row>
    <row r="153">
      <c r="A153" t="str">
        <v>152</v>
      </c>
      <c r="B153" t="str">
        <v>MASS BSF</v>
      </c>
      <c r="C153" t="str">
        <v>F1W-796</v>
      </c>
      <c r="D153" t="str">
        <v/>
      </c>
      <c r="E153" t="str">
        <v>867162026876599</v>
      </c>
      <c r="F153" t="str">
        <v>TBD</v>
      </c>
      <c r="G153" t="str">
        <v/>
      </c>
      <c r="H153" t="str">
        <v>28/09/2026</v>
      </c>
      <c r="I153" t="str">
        <v>11:29:40</v>
      </c>
      <c r="J153">
        <v>-12.241158</v>
      </c>
      <c r="K153">
        <v>-76.94658</v>
      </c>
      <c r="L153">
        <f>HYPERLINK("https://www.google.com/maps/search/?api=1&amp;query=-12.241158,-76.94658","Carretera Panamericana Sur, Villa El Salvador, Lima")</f>
      </c>
      <c r="M153">
        <v>77.9</v>
      </c>
      <c r="N153">
        <v>100</v>
      </c>
      <c r="O153">
        <v>93939</v>
      </c>
      <c r="P153" t="str">
        <v>1,938.88</v>
      </c>
      <c r="Q153" t="str">
        <v/>
      </c>
      <c r="R153" t="str">
        <v/>
      </c>
      <c r="S153" t="str">
        <v/>
      </c>
      <c r="T153" t="str">
        <v/>
      </c>
    </row>
    <row r="154">
      <c r="A154" t="str">
        <v>153</v>
      </c>
      <c r="B154" t="str">
        <v>MASS BSF</v>
      </c>
      <c r="C154" t="str">
        <v>F1W-796</v>
      </c>
      <c r="D154" t="str">
        <v/>
      </c>
      <c r="E154" t="str">
        <v>867162026876599</v>
      </c>
      <c r="F154" t="str">
        <v>TBD</v>
      </c>
      <c r="G154" t="str">
        <v/>
      </c>
      <c r="H154" t="str">
        <v>28/09/2026</v>
      </c>
      <c r="I154" t="str">
        <v>11:30:10</v>
      </c>
      <c r="J154">
        <v>-12.249442</v>
      </c>
      <c r="K154">
        <v>-76.93186</v>
      </c>
      <c r="L154">
        <f>HYPERLINK("https://www.google.com/maps/search/?api=1&amp;query=-12.249442,-76.93186","Carretera Panamericana Sur, Lurín, Lima")</f>
      </c>
      <c r="M154">
        <v>84.2</v>
      </c>
      <c r="N154">
        <v>100</v>
      </c>
      <c r="O154">
        <v>93939.7</v>
      </c>
      <c r="P154" t="str">
        <v>1,938.88</v>
      </c>
      <c r="Q154" t="str">
        <v>Excedió el límite de velocidad</v>
      </c>
      <c r="R154" t="str">
        <v/>
      </c>
      <c r="S154" t="str">
        <v/>
      </c>
      <c r="T154" t="str">
        <v/>
      </c>
    </row>
    <row r="155">
      <c r="A155" t="str">
        <v>154</v>
      </c>
      <c r="B155" t="str">
        <v>MASS BSF</v>
      </c>
      <c r="C155" t="str">
        <v>F1W-796</v>
      </c>
      <c r="D155" t="str">
        <v/>
      </c>
      <c r="E155" t="str">
        <v>867162026876599</v>
      </c>
      <c r="F155" t="str">
        <v>TBD</v>
      </c>
      <c r="G155" t="str">
        <v/>
      </c>
      <c r="H155" t="str">
        <v>28/09/2026</v>
      </c>
      <c r="I155" t="str">
        <v>11:30:40</v>
      </c>
      <c r="J155">
        <v>-12.246408</v>
      </c>
      <c r="K155">
        <v>-76.93641</v>
      </c>
      <c r="L155">
        <f>HYPERLINK("https://www.google.com/maps/search/?api=1&amp;query=-12.246408,-76.93641","Carretera Panamericana Sur, Lurín, Lima")</f>
      </c>
      <c r="M155">
        <v>74.8</v>
      </c>
      <c r="N155">
        <v>100</v>
      </c>
      <c r="O155">
        <v>93940.4</v>
      </c>
      <c r="P155" t="str">
        <v>1,938.88</v>
      </c>
      <c r="Q155" t="str">
        <v/>
      </c>
      <c r="R155" t="str">
        <v/>
      </c>
      <c r="S155" t="str">
        <v/>
      </c>
      <c r="T155" t="str">
        <v/>
      </c>
    </row>
    <row r="156">
      <c r="A156" t="str">
        <v>155</v>
      </c>
      <c r="B156" t="str">
        <v>MASS BSF</v>
      </c>
      <c r="C156" t="str">
        <v>F1W-796</v>
      </c>
      <c r="D156" t="str">
        <v/>
      </c>
      <c r="E156" t="str">
        <v>867162026876599</v>
      </c>
      <c r="F156" t="str">
        <v>TBD</v>
      </c>
      <c r="G156" t="str">
        <v/>
      </c>
      <c r="H156" t="str">
        <v>28/09/2026</v>
      </c>
      <c r="I156" t="str">
        <v>11:31:40</v>
      </c>
      <c r="J156">
        <v>-12.253305</v>
      </c>
      <c r="K156">
        <v>-76.926636</v>
      </c>
      <c r="L156">
        <f>HYPERLINK("https://www.google.com/maps/search/?api=1&amp;query=-12.253305,-76.926636","Carretera Panamericana Sur, Lurín, Lima")</f>
      </c>
      <c r="M156">
        <v>65.7</v>
      </c>
      <c r="N156">
        <v>100</v>
      </c>
      <c r="O156">
        <v>93941.6</v>
      </c>
      <c r="P156" t="str">
        <v>1,938.88</v>
      </c>
      <c r="Q156" t="str">
        <v/>
      </c>
      <c r="R156" t="str">
        <v/>
      </c>
      <c r="S156" t="str">
        <v/>
      </c>
      <c r="T156" t="str">
        <v/>
      </c>
    </row>
    <row r="157">
      <c r="A157" t="str">
        <v>156</v>
      </c>
      <c r="B157" t="str">
        <v>MASS BSF</v>
      </c>
      <c r="C157" t="str">
        <v>F1W-796</v>
      </c>
      <c r="D157" t="str">
        <v/>
      </c>
      <c r="E157" t="str">
        <v>867162026876599</v>
      </c>
      <c r="F157" t="str">
        <v>TBD</v>
      </c>
      <c r="G157" t="str">
        <v/>
      </c>
      <c r="H157" t="str">
        <v>28/09/2026</v>
      </c>
      <c r="I157" t="str">
        <v>11:31:52</v>
      </c>
      <c r="J157">
        <v>-12.260166</v>
      </c>
      <c r="K157">
        <v>-76.915245</v>
      </c>
      <c r="L157">
        <f>HYPERLINK("https://www.google.com/maps/search/?api=1&amp;query=-12.260166,-76.915245","Carretera Panamericana Sur, Lurín, Lima")</f>
      </c>
      <c r="M157">
        <v>82.7</v>
      </c>
      <c r="N157">
        <v>100</v>
      </c>
      <c r="O157">
        <v>93941.9</v>
      </c>
      <c r="P157" t="str">
        <v>1,938.88</v>
      </c>
      <c r="Q157" t="str">
        <v>Excedió el límite de velocidad</v>
      </c>
      <c r="R157" t="str">
        <v/>
      </c>
      <c r="S157" t="str">
        <v/>
      </c>
      <c r="T157" t="str">
        <v/>
      </c>
    </row>
    <row r="158">
      <c r="A158" t="str">
        <v>157</v>
      </c>
      <c r="B158" t="str">
        <v>MASS BSF</v>
      </c>
      <c r="C158" t="str">
        <v>F1W-796</v>
      </c>
      <c r="D158" t="str">
        <v/>
      </c>
      <c r="E158" t="str">
        <v>867162026876599</v>
      </c>
      <c r="F158" t="str">
        <v>TBD</v>
      </c>
      <c r="G158" t="str">
        <v/>
      </c>
      <c r="H158" t="str">
        <v>28/09/2026</v>
      </c>
      <c r="I158" t="str">
        <v>11:32:40</v>
      </c>
      <c r="J158">
        <v>-12.259182</v>
      </c>
      <c r="K158">
        <v>-76.91682</v>
      </c>
      <c r="L158">
        <f>HYPERLINK("https://www.google.com/maps/search/?api=1&amp;query=-12.259182,-76.91682","Carretera Panamericana Sur, Lurín, Lima")</f>
      </c>
      <c r="M158">
        <v>79.9</v>
      </c>
      <c r="N158">
        <v>100</v>
      </c>
      <c r="O158">
        <v>93943</v>
      </c>
      <c r="P158" t="str">
        <v>1,938.88</v>
      </c>
      <c r="Q158" t="str">
        <v/>
      </c>
      <c r="R158" t="str">
        <v/>
      </c>
      <c r="S158" t="str">
        <v/>
      </c>
      <c r="T158" t="str">
        <v/>
      </c>
    </row>
    <row r="159">
      <c r="A159" t="str">
        <v>158</v>
      </c>
      <c r="B159" t="str">
        <v>MASS BSF</v>
      </c>
      <c r="C159" t="str">
        <v>F1W-796</v>
      </c>
      <c r="D159" t="str">
        <v/>
      </c>
      <c r="E159" t="str">
        <v>867162026876599</v>
      </c>
      <c r="F159" t="str">
        <v>TBD</v>
      </c>
      <c r="G159" t="str">
        <v/>
      </c>
      <c r="H159" t="str">
        <v>28/09/2026</v>
      </c>
      <c r="I159" t="str">
        <v>11:33:22</v>
      </c>
      <c r="J159">
        <v>-12.270255</v>
      </c>
      <c r="K159">
        <v>-76.8992</v>
      </c>
      <c r="L159">
        <f>HYPERLINK("https://www.google.com/maps/search/?api=1&amp;query=-12.270255,-76.8992","Carretera Panamericana Sur, Lurín, Lima")</f>
      </c>
      <c r="M159">
        <v>81.7</v>
      </c>
      <c r="N159">
        <v>100</v>
      </c>
      <c r="O159">
        <v>93944</v>
      </c>
      <c r="P159" t="str">
        <v>1,938.88</v>
      </c>
      <c r="Q159" t="str">
        <v>Excedió el límite de velocidad</v>
      </c>
      <c r="R159" t="str">
        <v/>
      </c>
      <c r="S159" t="str">
        <v/>
      </c>
      <c r="T159" t="str">
        <v/>
      </c>
    </row>
    <row r="160">
      <c r="A160" t="str">
        <v>159</v>
      </c>
      <c r="B160" t="str">
        <v>MASS BSF</v>
      </c>
      <c r="C160" t="str">
        <v>F1W-796</v>
      </c>
      <c r="D160" t="str">
        <v/>
      </c>
      <c r="E160" t="str">
        <v>867162026876599</v>
      </c>
      <c r="F160" t="str">
        <v>TBD</v>
      </c>
      <c r="G160" t="str">
        <v/>
      </c>
      <c r="H160" t="str">
        <v>28/09/2026</v>
      </c>
      <c r="I160" t="str">
        <v>11:33:40</v>
      </c>
      <c r="J160">
        <v>-12.265972</v>
      </c>
      <c r="K160">
        <v>-76.90606</v>
      </c>
      <c r="L160">
        <f>HYPERLINK("https://www.google.com/maps/search/?api=1&amp;query=-12.265972,-76.90606","Carretera Panamericana Sur, Lurín, Lima")</f>
      </c>
      <c r="M160">
        <v>82.3</v>
      </c>
      <c r="N160">
        <v>100</v>
      </c>
      <c r="O160">
        <v>93944.3</v>
      </c>
      <c r="P160" t="str">
        <v>1,938.88</v>
      </c>
      <c r="Q160" t="str">
        <v/>
      </c>
      <c r="R160" t="str">
        <v/>
      </c>
      <c r="S160" t="str">
        <v/>
      </c>
      <c r="T160" t="str">
        <v/>
      </c>
    </row>
    <row r="161">
      <c r="A161" t="str">
        <v>160</v>
      </c>
      <c r="B161" t="str">
        <v>MASS BSF</v>
      </c>
      <c r="C161" t="str">
        <v>F1W-796</v>
      </c>
      <c r="D161" t="str">
        <v/>
      </c>
      <c r="E161" t="str">
        <v>867162026876599</v>
      </c>
      <c r="F161" t="str">
        <v>TBD</v>
      </c>
      <c r="G161" t="str">
        <v/>
      </c>
      <c r="H161" t="str">
        <v>28/09/2026</v>
      </c>
      <c r="I161" t="str">
        <v>11:34:19</v>
      </c>
      <c r="J161">
        <v>-12.276163</v>
      </c>
      <c r="K161">
        <v>-76.88981</v>
      </c>
      <c r="L161">
        <f>HYPERLINK("https://www.google.com/maps/search/?api=1&amp;query=-12.276163,-76.88981","Carretera Panamericana Sur, Lurín, Lima")</f>
      </c>
      <c r="M161">
        <v>82.8</v>
      </c>
      <c r="N161">
        <v>100</v>
      </c>
      <c r="O161">
        <v>93945.2</v>
      </c>
      <c r="P161" t="str">
        <v>1,938.88</v>
      </c>
      <c r="Q161" t="str">
        <v>Excedió el límite de velocidad</v>
      </c>
      <c r="R161" t="str">
        <v/>
      </c>
      <c r="S161" t="str">
        <v/>
      </c>
      <c r="T161" t="str">
        <v/>
      </c>
    </row>
    <row r="162">
      <c r="A162" t="str">
        <v>161</v>
      </c>
      <c r="B162" t="str">
        <v>MASS BSF</v>
      </c>
      <c r="C162" t="str">
        <v>F1W-796</v>
      </c>
      <c r="D162" t="str">
        <v/>
      </c>
      <c r="E162" t="str">
        <v>867162026876599</v>
      </c>
      <c r="F162" t="str">
        <v>TBD</v>
      </c>
      <c r="G162" t="str">
        <v/>
      </c>
      <c r="H162" t="str">
        <v>28/09/2026</v>
      </c>
      <c r="I162" t="str">
        <v>11:34:40</v>
      </c>
      <c r="J162">
        <v>-12.272431</v>
      </c>
      <c r="K162">
        <v>-76.89575</v>
      </c>
      <c r="L162">
        <f>HYPERLINK("https://www.google.com/maps/search/?api=1&amp;query=-12.272431,-76.89575","Carretera Panamericana Sur, Lurín, Lima")</f>
      </c>
      <c r="M162">
        <v>69.1</v>
      </c>
      <c r="N162">
        <v>100</v>
      </c>
      <c r="O162">
        <v>93945.7</v>
      </c>
      <c r="P162" t="str">
        <v>1,938.88</v>
      </c>
      <c r="Q162" t="str">
        <v/>
      </c>
      <c r="R162" t="str">
        <v/>
      </c>
      <c r="S162" t="str">
        <v/>
      </c>
      <c r="T162" t="str">
        <v/>
      </c>
    </row>
    <row r="163">
      <c r="A163" t="str">
        <v>162</v>
      </c>
      <c r="B163" t="str">
        <v>MASS BSF</v>
      </c>
      <c r="C163" t="str">
        <v>F1W-796</v>
      </c>
      <c r="D163" t="str">
        <v/>
      </c>
      <c r="E163" t="str">
        <v>867162026876599</v>
      </c>
      <c r="F163" t="str">
        <v>TBD</v>
      </c>
      <c r="G163" t="str">
        <v/>
      </c>
      <c r="H163" t="str">
        <v>28/09/2026</v>
      </c>
      <c r="I163" t="str">
        <v>11:35:40</v>
      </c>
      <c r="J163">
        <v>-12.278976</v>
      </c>
      <c r="K163">
        <v>-76.88536</v>
      </c>
      <c r="L163">
        <f>HYPERLINK("https://www.google.com/maps/search/?api=1&amp;query=-12.278976,-76.88536","Carretera Panamericana Sur, Lurín, Lima")</f>
      </c>
      <c r="M163">
        <v>87.4</v>
      </c>
      <c r="N163">
        <v>100</v>
      </c>
      <c r="O163">
        <v>93947.1</v>
      </c>
      <c r="P163" t="str">
        <v>1,938.88</v>
      </c>
      <c r="Q163" t="str">
        <v/>
      </c>
      <c r="R163" t="str">
        <v/>
      </c>
      <c r="S163" t="str">
        <v/>
      </c>
      <c r="T163" t="str">
        <v/>
      </c>
    </row>
    <row r="164">
      <c r="A164" t="str">
        <v>163</v>
      </c>
      <c r="B164" t="str">
        <v>MASS BSF</v>
      </c>
      <c r="C164" t="str">
        <v>F1W-796</v>
      </c>
      <c r="D164" t="str">
        <v/>
      </c>
      <c r="E164" t="str">
        <v>867162026876599</v>
      </c>
      <c r="F164" t="str">
        <v>TBD</v>
      </c>
      <c r="G164" t="str">
        <v/>
      </c>
      <c r="H164" t="str">
        <v>28/09/2026</v>
      </c>
      <c r="I164" t="str">
        <v>11:36:40</v>
      </c>
      <c r="J164">
        <v>-12.28607</v>
      </c>
      <c r="K164">
        <v>-76.87402</v>
      </c>
      <c r="L164">
        <f>HYPERLINK("https://www.google.com/maps/search/?api=1&amp;query=-12.28607,-76.87402","Carretera Panamericana Sur, Lurín, Lima")</f>
      </c>
      <c r="M164">
        <v>88.6</v>
      </c>
      <c r="N164">
        <v>100</v>
      </c>
      <c r="O164">
        <v>93948.6</v>
      </c>
      <c r="P164" t="str">
        <v>1,938.88</v>
      </c>
      <c r="Q164" t="str">
        <v/>
      </c>
      <c r="R164" t="str">
        <v/>
      </c>
      <c r="S164" t="str">
        <v/>
      </c>
      <c r="T164" t="str">
        <v/>
      </c>
    </row>
    <row r="165">
      <c r="A165" t="str">
        <v>164</v>
      </c>
      <c r="B165" t="str">
        <v>MASS BSF</v>
      </c>
      <c r="C165" t="str">
        <v>F1W-796</v>
      </c>
      <c r="D165" t="str">
        <v/>
      </c>
      <c r="E165" t="str">
        <v>867162026876599</v>
      </c>
      <c r="F165" t="str">
        <v>TBD</v>
      </c>
      <c r="G165" t="str">
        <v/>
      </c>
      <c r="H165" t="str">
        <v>28/09/2026</v>
      </c>
      <c r="I165" t="str">
        <v>11:37:40</v>
      </c>
      <c r="J165">
        <v>-12.293163</v>
      </c>
      <c r="K165">
        <v>-76.86271</v>
      </c>
      <c r="L165">
        <f>HYPERLINK("https://www.google.com/maps/search/?api=1&amp;query=-12.293163,-76.86271","Carretera Panamericana Sur, Lurín, Lima")</f>
      </c>
      <c r="M165">
        <v>85.6</v>
      </c>
      <c r="N165">
        <v>100</v>
      </c>
      <c r="O165">
        <v>93949.9</v>
      </c>
      <c r="P165" t="str">
        <v>1,938.88</v>
      </c>
      <c r="Q165" t="str">
        <v/>
      </c>
      <c r="R165" t="str">
        <v/>
      </c>
      <c r="S165" t="str">
        <v/>
      </c>
      <c r="T165" t="str">
        <v/>
      </c>
    </row>
    <row r="166">
      <c r="A166" t="str">
        <v>165</v>
      </c>
      <c r="B166" t="str">
        <v>MASS BSF</v>
      </c>
      <c r="C166" t="str">
        <v>F1W-796</v>
      </c>
      <c r="D166" t="str">
        <v/>
      </c>
      <c r="E166" t="str">
        <v>867162026876599</v>
      </c>
      <c r="F166" t="str">
        <v>TBD</v>
      </c>
      <c r="G166" t="str">
        <v/>
      </c>
      <c r="H166" t="str">
        <v>28/09/2026</v>
      </c>
      <c r="I166" t="str">
        <v>11:38:40</v>
      </c>
      <c r="J166">
        <v>-12.298459</v>
      </c>
      <c r="K166">
        <v>-76.85266</v>
      </c>
      <c r="L166">
        <f>HYPERLINK("https://www.google.com/maps/search/?api=1&amp;query=-12.298459,-76.85266","Carretera Panamericana Sur, Lurín, Lima")</f>
      </c>
      <c r="M166">
        <v>64.1</v>
      </c>
      <c r="N166">
        <v>100</v>
      </c>
      <c r="O166">
        <v>93951.1</v>
      </c>
      <c r="P166" t="str">
        <v>1,938.88</v>
      </c>
      <c r="Q166" t="str">
        <v/>
      </c>
      <c r="R166" t="str">
        <v/>
      </c>
      <c r="S166" t="str">
        <v/>
      </c>
      <c r="T166" t="str">
        <v/>
      </c>
    </row>
    <row r="167">
      <c r="A167" t="str">
        <v>166</v>
      </c>
      <c r="B167" t="str">
        <v>MASS BSF</v>
      </c>
      <c r="C167" t="str">
        <v>F1W-796</v>
      </c>
      <c r="D167" t="str">
        <v/>
      </c>
      <c r="E167" t="str">
        <v>867162026876599</v>
      </c>
      <c r="F167" t="str">
        <v>TBD</v>
      </c>
      <c r="G167" t="str">
        <v/>
      </c>
      <c r="H167" t="str">
        <v>28/09/2026</v>
      </c>
      <c r="I167" t="str">
        <v>11:39:40</v>
      </c>
      <c r="J167">
        <v>-12.303105</v>
      </c>
      <c r="K167">
        <v>-76.842476</v>
      </c>
      <c r="L167">
        <f>HYPERLINK("https://www.google.com/maps/search/?api=1&amp;query=-12.303105,-76.842476","Carretera Panamericana Sur, Lurín, Lima")</f>
      </c>
      <c r="M167">
        <v>69.4</v>
      </c>
      <c r="N167">
        <v>100</v>
      </c>
      <c r="O167">
        <v>93952.3</v>
      </c>
      <c r="P167" t="str">
        <v>1,938.88</v>
      </c>
      <c r="Q167" t="str">
        <v/>
      </c>
      <c r="R167" t="str">
        <v/>
      </c>
      <c r="S167" t="str">
        <v/>
      </c>
      <c r="T167" t="str">
        <v/>
      </c>
    </row>
    <row r="168">
      <c r="A168" t="str">
        <v>167</v>
      </c>
      <c r="B168" t="str">
        <v>MASS BSF</v>
      </c>
      <c r="C168" t="str">
        <v>F1W-796</v>
      </c>
      <c r="D168" t="str">
        <v/>
      </c>
      <c r="E168" t="str">
        <v>867162026876599</v>
      </c>
      <c r="F168" t="str">
        <v>TBD</v>
      </c>
      <c r="G168" t="str">
        <v/>
      </c>
      <c r="H168" t="str">
        <v>28/09/2026</v>
      </c>
      <c r="I168" t="str">
        <v>11:40:40</v>
      </c>
      <c r="J168">
        <v>-12.311112</v>
      </c>
      <c r="K168">
        <v>-76.83488</v>
      </c>
      <c r="L168">
        <f>HYPERLINK("https://www.google.com/maps/search/?api=1&amp;query=-12.311112,-76.83488","Carretera Panamericana Sur, Punta Hermosa, Lima")</f>
      </c>
      <c r="M168">
        <v>75.3</v>
      </c>
      <c r="N168">
        <v>100</v>
      </c>
      <c r="O168">
        <v>93953.5</v>
      </c>
      <c r="P168" t="str">
        <v>1,938.88</v>
      </c>
      <c r="Q168" t="str">
        <v/>
      </c>
      <c r="R168" t="str">
        <v/>
      </c>
      <c r="S168" t="str">
        <v/>
      </c>
      <c r="T168" t="str">
        <v/>
      </c>
    </row>
    <row r="169">
      <c r="A169" t="str">
        <v>168</v>
      </c>
      <c r="B169" t="str">
        <v>MASS BSF</v>
      </c>
      <c r="C169" t="str">
        <v>F1W-796</v>
      </c>
      <c r="D169" t="str">
        <v/>
      </c>
      <c r="E169" t="str">
        <v>867162026876599</v>
      </c>
      <c r="F169" t="str">
        <v>TBD</v>
      </c>
      <c r="G169" t="str">
        <v/>
      </c>
      <c r="H169" t="str">
        <v>28/09/2026</v>
      </c>
      <c r="I169" t="str">
        <v>11:41:25</v>
      </c>
      <c r="J169">
        <v>-12.327079</v>
      </c>
      <c r="K169">
        <v>-76.8242</v>
      </c>
      <c r="L169">
        <f>HYPERLINK("https://www.google.com/maps/search/?api=1&amp;query=-12.327079,-76.8242","Carretera Panamericana Sur, Punta Hermosa, Lima")</f>
      </c>
      <c r="M169">
        <v>83.4</v>
      </c>
      <c r="N169">
        <v>100</v>
      </c>
      <c r="O169">
        <v>93954.5</v>
      </c>
      <c r="P169" t="str">
        <v>1,938.88</v>
      </c>
      <c r="Q169" t="str">
        <v>Excedió el límite de velocidad</v>
      </c>
      <c r="R169" t="str">
        <v/>
      </c>
      <c r="S169" t="str">
        <v/>
      </c>
      <c r="T169" t="str">
        <v/>
      </c>
    </row>
    <row r="170">
      <c r="A170" t="str">
        <v>169</v>
      </c>
      <c r="B170" t="str">
        <v>MASS BSF</v>
      </c>
      <c r="C170" t="str">
        <v>F1W-796</v>
      </c>
      <c r="D170" t="str">
        <v/>
      </c>
      <c r="E170" t="str">
        <v>867162026876599</v>
      </c>
      <c r="F170" t="str">
        <v>TBD</v>
      </c>
      <c r="G170" t="str">
        <v/>
      </c>
      <c r="H170" t="str">
        <v>28/09/2026</v>
      </c>
      <c r="I170" t="str">
        <v>11:41:40</v>
      </c>
      <c r="J170">
        <v>-12.320344</v>
      </c>
      <c r="K170">
        <v>-76.82874</v>
      </c>
      <c r="L170">
        <f>HYPERLINK("https://www.google.com/maps/search/?api=1&amp;query=-12.320344,-76.82874","Carretera Panamericana Sur, Punta Hermosa, Lima")</f>
      </c>
      <c r="M170">
        <v>73</v>
      </c>
      <c r="N170">
        <v>100</v>
      </c>
      <c r="O170">
        <v>93954.9</v>
      </c>
      <c r="P170" t="str">
        <v>1,938.88</v>
      </c>
      <c r="Q170" t="str">
        <v/>
      </c>
      <c r="R170" t="str">
        <v/>
      </c>
      <c r="S170" t="str">
        <v/>
      </c>
      <c r="T170" t="str">
        <v/>
      </c>
    </row>
    <row r="171">
      <c r="A171" t="str">
        <v>170</v>
      </c>
      <c r="B171" t="str">
        <v>MASS BSF</v>
      </c>
      <c r="C171" t="str">
        <v>F1W-796</v>
      </c>
      <c r="D171" t="str">
        <v/>
      </c>
      <c r="E171" t="str">
        <v>867162026876599</v>
      </c>
      <c r="F171" t="str">
        <v>TBD</v>
      </c>
      <c r="G171" t="str">
        <v/>
      </c>
      <c r="H171" t="str">
        <v>28/09/2026</v>
      </c>
      <c r="I171" t="str">
        <v>11:42:07</v>
      </c>
      <c r="J171">
        <v>-12.33033</v>
      </c>
      <c r="K171">
        <v>-76.82204</v>
      </c>
      <c r="L171">
        <f>HYPERLINK("https://www.google.com/maps/search/?api=1&amp;query=-12.33033,-76.82204","Carretera Panamericana Sur, Punta Hermosa, Lima")</f>
      </c>
      <c r="M171">
        <v>88</v>
      </c>
      <c r="N171">
        <v>100</v>
      </c>
      <c r="O171">
        <v>93955.5</v>
      </c>
      <c r="P171" t="str">
        <v>1,938.88</v>
      </c>
      <c r="Q171" t="str">
        <v>Exceso de velocidad en segmento vial</v>
      </c>
      <c r="R171" t="str">
        <v/>
      </c>
      <c r="S171" t="str">
        <v/>
      </c>
      <c r="T171" t="str">
        <v/>
      </c>
    </row>
    <row r="172">
      <c r="A172" t="str">
        <v>171</v>
      </c>
      <c r="B172" t="str">
        <v>MASS BSF</v>
      </c>
      <c r="C172" t="str">
        <v>F1W-796</v>
      </c>
      <c r="D172" t="str">
        <v/>
      </c>
      <c r="E172" t="str">
        <v>867162026876599</v>
      </c>
      <c r="F172" t="str">
        <v>TBD</v>
      </c>
      <c r="G172" t="str">
        <v/>
      </c>
      <c r="H172" t="str">
        <v>28/09/2026</v>
      </c>
      <c r="I172" t="str">
        <v>11:42:07</v>
      </c>
      <c r="J172">
        <v>-12.334426</v>
      </c>
      <c r="K172">
        <v>-76.81937</v>
      </c>
      <c r="L172">
        <f>HYPERLINK("https://www.google.com/maps/search/?api=1&amp;query=-12.334426,-76.81937","Carretera Panamericana Sur, Punta Hermosa, Lima")</f>
      </c>
      <c r="M172">
        <v>57.8</v>
      </c>
      <c r="N172">
        <v>100</v>
      </c>
      <c r="O172">
        <v>93955.5</v>
      </c>
      <c r="P172" t="str">
        <v>1,938.88</v>
      </c>
      <c r="Q172" t="str">
        <v/>
      </c>
      <c r="R172" t="str">
        <v/>
      </c>
      <c r="S172" t="str">
        <v/>
      </c>
      <c r="T172" t="str">
        <v/>
      </c>
    </row>
    <row r="173">
      <c r="A173" t="str">
        <v>172</v>
      </c>
      <c r="B173" t="str">
        <v>MASS BSF</v>
      </c>
      <c r="C173" t="str">
        <v>F1W-796</v>
      </c>
      <c r="D173" t="str">
        <v/>
      </c>
      <c r="E173" t="str">
        <v>867162026876599</v>
      </c>
      <c r="F173" t="str">
        <v>TBD</v>
      </c>
      <c r="G173" t="str">
        <v/>
      </c>
      <c r="H173" t="str">
        <v>28/09/2026</v>
      </c>
      <c r="I173" t="str">
        <v>11:42:22</v>
      </c>
      <c r="J173">
        <v>-12.335686</v>
      </c>
      <c r="K173">
        <v>-76.818825</v>
      </c>
      <c r="L173">
        <f>HYPERLINK("https://www.google.com/maps/search/?api=1&amp;query=-12.335686,-76.818825","Carretera Panamericana Sur, Punta Hermosa, Lima")</f>
      </c>
      <c r="M173">
        <v>25.8</v>
      </c>
      <c r="N173">
        <v>100</v>
      </c>
      <c r="O173">
        <v>93955.6</v>
      </c>
      <c r="P173" t="str">
        <v>1,938.88</v>
      </c>
      <c r="Q173" t="str">
        <v/>
      </c>
      <c r="R173" t="str">
        <v/>
      </c>
      <c r="S173" t="str">
        <v/>
      </c>
      <c r="T173" t="str">
        <v/>
      </c>
    </row>
    <row r="174">
      <c r="A174" t="str">
        <v>173</v>
      </c>
      <c r="B174" t="str">
        <v>MASS BSF</v>
      </c>
      <c r="C174" t="str">
        <v>F1W-796</v>
      </c>
      <c r="D174" t="str">
        <v/>
      </c>
      <c r="E174" t="str">
        <v>867162026876599</v>
      </c>
      <c r="F174" t="str">
        <v>TBD</v>
      </c>
      <c r="G174" t="str">
        <v/>
      </c>
      <c r="H174" t="str">
        <v>28/09/2026</v>
      </c>
      <c r="I174" t="str">
        <v>11:42:27</v>
      </c>
      <c r="J174">
        <v>-12.335872</v>
      </c>
      <c r="K174">
        <v>-76.81908</v>
      </c>
      <c r="L174">
        <f>HYPERLINK("https://www.google.com/maps/search/?api=1&amp;query=-12.335872,-76.81908","Antigua Panamericana Sur, Punta Hermosa, Lima")</f>
      </c>
      <c r="M174">
        <v>19.8</v>
      </c>
      <c r="N174">
        <v>100</v>
      </c>
      <c r="O174">
        <v>93955.7</v>
      </c>
      <c r="P174" t="str">
        <v>1,938.88</v>
      </c>
      <c r="Q174" t="str">
        <v/>
      </c>
      <c r="R174" t="str">
        <v/>
      </c>
      <c r="S174" t="str">
        <v/>
      </c>
      <c r="T174" t="str">
        <v/>
      </c>
    </row>
    <row r="175">
      <c r="A175" t="str">
        <v>174</v>
      </c>
      <c r="B175" t="str">
        <v>MASS BSF</v>
      </c>
      <c r="C175" t="str">
        <v>F1W-796</v>
      </c>
      <c r="D175" t="str">
        <v/>
      </c>
      <c r="E175" t="str">
        <v>867162026876599</v>
      </c>
      <c r="F175" t="str">
        <v>TBD</v>
      </c>
      <c r="G175" t="str">
        <v/>
      </c>
      <c r="H175" t="str">
        <v>28/09/2026</v>
      </c>
      <c r="I175" t="str">
        <v>11:42:31</v>
      </c>
      <c r="J175">
        <v>-12.335797</v>
      </c>
      <c r="K175">
        <v>-76.81921</v>
      </c>
      <c r="L175">
        <f>HYPERLINK("https://www.google.com/maps/search/?api=1&amp;query=-12.335797,-76.81921","Antigua Panamericana Sur, Punta Hermosa, Lima")</f>
      </c>
      <c r="M175">
        <v>20.5</v>
      </c>
      <c r="N175">
        <v>100</v>
      </c>
      <c r="O175">
        <v>93955.7</v>
      </c>
      <c r="P175" t="str">
        <v>1,938.88</v>
      </c>
      <c r="Q175" t="str">
        <v/>
      </c>
      <c r="R175" t="str">
        <v/>
      </c>
      <c r="S175" t="str">
        <v/>
      </c>
      <c r="T175" t="str">
        <v/>
      </c>
    </row>
    <row r="176">
      <c r="A176" t="str">
        <v>175</v>
      </c>
      <c r="B176" t="str">
        <v>MASS BSF</v>
      </c>
      <c r="C176" t="str">
        <v>F1W-796</v>
      </c>
      <c r="D176" t="str">
        <v/>
      </c>
      <c r="E176" t="str">
        <v>867162026876599</v>
      </c>
      <c r="F176" t="str">
        <v>TBD</v>
      </c>
      <c r="G176" t="str">
        <v/>
      </c>
      <c r="H176" t="str">
        <v>28/09/2026</v>
      </c>
      <c r="I176" t="str">
        <v>11:43:04</v>
      </c>
      <c r="J176">
        <v>-12.335052</v>
      </c>
      <c r="K176">
        <v>-76.81968</v>
      </c>
      <c r="L176">
        <f>HYPERLINK("https://www.google.com/maps/search/?api=1&amp;query=-12.335052,-76.81968","Antigua Panamericana Sur, Punta Hermosa, Lima")</f>
      </c>
      <c r="M176">
        <v>31.8</v>
      </c>
      <c r="N176">
        <v>100</v>
      </c>
      <c r="O176">
        <v>93955.9</v>
      </c>
      <c r="P176" t="str">
        <v>1,938.88</v>
      </c>
      <c r="Q176" t="str">
        <v/>
      </c>
      <c r="R176" t="str">
        <v/>
      </c>
      <c r="S176" t="str">
        <v/>
      </c>
      <c r="T176" t="str">
        <v/>
      </c>
    </row>
    <row r="177">
      <c r="A177" t="str">
        <v>176</v>
      </c>
      <c r="B177" t="str">
        <v>MASS BSF</v>
      </c>
      <c r="C177" t="str">
        <v>F1W-796</v>
      </c>
      <c r="D177" t="str">
        <v/>
      </c>
      <c r="E177" t="str">
        <v>867162026876599</v>
      </c>
      <c r="F177" t="str">
        <v>TBD</v>
      </c>
      <c r="G177" t="str">
        <v/>
      </c>
      <c r="H177" t="str">
        <v>28/09/2026</v>
      </c>
      <c r="I177" t="str">
        <v>11:43:04</v>
      </c>
      <c r="J177">
        <v>-12.333754</v>
      </c>
      <c r="K177">
        <v>-76.82051</v>
      </c>
      <c r="L177">
        <f>HYPERLINK("https://www.google.com/maps/search/?api=1&amp;query=-12.333754,-76.82051","Antigua Panamericana Sur, Punta Hermosa, Lima")</f>
      </c>
      <c r="M177">
        <v>17.5</v>
      </c>
      <c r="N177">
        <v>100</v>
      </c>
      <c r="O177">
        <v>93955.9</v>
      </c>
      <c r="P177" t="str">
        <v>1,938.88</v>
      </c>
      <c r="Q177" t="str">
        <v/>
      </c>
      <c r="R177" t="str">
        <v/>
      </c>
      <c r="S177" t="str">
        <v/>
      </c>
      <c r="T177" t="str">
        <v/>
      </c>
    </row>
    <row r="178">
      <c r="A178" t="str">
        <v>177</v>
      </c>
      <c r="B178" t="str">
        <v>MASS BSF</v>
      </c>
      <c r="C178" t="str">
        <v>F1W-796</v>
      </c>
      <c r="D178" t="str">
        <v/>
      </c>
      <c r="E178" t="str">
        <v>867162026876599</v>
      </c>
      <c r="F178" t="str">
        <v>TBD</v>
      </c>
      <c r="G178" t="str">
        <v/>
      </c>
      <c r="H178" t="str">
        <v>28/09/2026</v>
      </c>
      <c r="I178" t="str">
        <v>11:43:06</v>
      </c>
      <c r="J178">
        <v>-12.3337</v>
      </c>
      <c r="K178">
        <v>-76.82039</v>
      </c>
      <c r="L178">
        <f>HYPERLINK("https://www.google.com/maps/search/?api=1&amp;query=-12.3337,-76.82039","Antigua Panamericana Sur, Punta Hermosa, Lima")</f>
      </c>
      <c r="M178">
        <v>20.9</v>
      </c>
      <c r="N178">
        <v>100</v>
      </c>
      <c r="O178">
        <v>93955.9</v>
      </c>
      <c r="P178" t="str">
        <v>1,938.88</v>
      </c>
      <c r="Q178" t="str">
        <v/>
      </c>
      <c r="R178" t="str">
        <v/>
      </c>
      <c r="S178" t="str">
        <v/>
      </c>
      <c r="T178" t="str">
        <v/>
      </c>
    </row>
    <row r="179">
      <c r="A179" t="str">
        <v>178</v>
      </c>
      <c r="B179" t="str">
        <v>MASS BSF</v>
      </c>
      <c r="C179" t="str">
        <v>F1W-796</v>
      </c>
      <c r="D179" t="str">
        <v/>
      </c>
      <c r="E179" t="str">
        <v>867162026876599</v>
      </c>
      <c r="F179" t="str">
        <v>TBD</v>
      </c>
      <c r="G179" t="str">
        <v/>
      </c>
      <c r="H179" t="str">
        <v>28/09/2026</v>
      </c>
      <c r="I179" t="str">
        <v>11:43:18</v>
      </c>
      <c r="J179">
        <v>-12.3334</v>
      </c>
      <c r="K179">
        <v>-76.8196</v>
      </c>
      <c r="L179">
        <f>HYPERLINK("https://www.google.com/maps/search/?api=1&amp;query=-12.3334,-76.8196","Carretera Panamericana Sur, Punta Hermosa, Lima")</f>
      </c>
      <c r="M179">
        <v>32</v>
      </c>
      <c r="N179">
        <v>100</v>
      </c>
      <c r="O179">
        <v>93956</v>
      </c>
      <c r="P179" t="str">
        <v>1,938.88</v>
      </c>
      <c r="Q179" t="str">
        <v/>
      </c>
      <c r="R179" t="str">
        <v/>
      </c>
      <c r="S179" t="str">
        <v/>
      </c>
      <c r="T179" t="str">
        <v/>
      </c>
    </row>
    <row r="180">
      <c r="A180" t="str">
        <v>179</v>
      </c>
      <c r="B180" t="str">
        <v>MASS BSF</v>
      </c>
      <c r="C180" t="str">
        <v>F1W-796</v>
      </c>
      <c r="D180" t="str">
        <v/>
      </c>
      <c r="E180" t="str">
        <v>867162026876599</v>
      </c>
      <c r="F180" t="str">
        <v>TBD</v>
      </c>
      <c r="G180" t="str">
        <v/>
      </c>
      <c r="H180" t="str">
        <v>28/09/2026</v>
      </c>
      <c r="I180" t="str">
        <v>11:43:24</v>
      </c>
      <c r="J180">
        <v>-12.332938</v>
      </c>
      <c r="K180">
        <v>-76.81985</v>
      </c>
      <c r="L180">
        <f>HYPERLINK("https://www.google.com/maps/search/?api=1&amp;query=-12.332938,-76.81985","Carretera Panamericana Sur, Punta Hermosa, Lima")</f>
      </c>
      <c r="M180">
        <v>37.5</v>
      </c>
      <c r="N180">
        <v>100</v>
      </c>
      <c r="O180">
        <v>93956.1</v>
      </c>
      <c r="P180" t="str">
        <v>1,938.88</v>
      </c>
      <c r="Q180" t="str">
        <v/>
      </c>
      <c r="R180" t="str">
        <v/>
      </c>
      <c r="S180" t="str">
        <v/>
      </c>
      <c r="T180" t="str">
        <v/>
      </c>
    </row>
    <row r="181">
      <c r="A181" t="str">
        <v>180</v>
      </c>
      <c r="B181" t="str">
        <v>MASS BSF</v>
      </c>
      <c r="C181" t="str">
        <v>F1W-796</v>
      </c>
      <c r="D181" t="str">
        <v/>
      </c>
      <c r="E181" t="str">
        <v>867162026876599</v>
      </c>
      <c r="F181" t="str">
        <v>TBD</v>
      </c>
      <c r="G181" t="str">
        <v/>
      </c>
      <c r="H181" t="str">
        <v>28/09/2026</v>
      </c>
      <c r="I181" t="str">
        <v>11:44:00</v>
      </c>
      <c r="J181">
        <v>-12.331285</v>
      </c>
      <c r="K181">
        <v>-76.82118</v>
      </c>
      <c r="L181">
        <f>HYPERLINK("https://www.google.com/maps/search/?api=1&amp;query=-12.331285,-76.82118","Carretera Panamericana Sur, Punta Hermosa, Lima")</f>
      </c>
      <c r="M181">
        <v>57.2</v>
      </c>
      <c r="N181">
        <v>100</v>
      </c>
      <c r="O181">
        <v>93956.6</v>
      </c>
      <c r="P181" t="str">
        <v>1,938.88</v>
      </c>
      <c r="Q181" t="str">
        <v/>
      </c>
      <c r="R181" t="str">
        <v/>
      </c>
      <c r="S181" t="str">
        <v/>
      </c>
      <c r="T181" t="str">
        <v/>
      </c>
    </row>
    <row r="182">
      <c r="A182" t="str">
        <v>181</v>
      </c>
      <c r="B182" t="str">
        <v>MASS BSF</v>
      </c>
      <c r="C182" t="str">
        <v>F1W-796</v>
      </c>
      <c r="D182" t="str">
        <v/>
      </c>
      <c r="E182" t="str">
        <v>867162026876599</v>
      </c>
      <c r="F182" t="str">
        <v>TBD</v>
      </c>
      <c r="G182" t="str">
        <v/>
      </c>
      <c r="H182" t="str">
        <v>28/09/2026</v>
      </c>
      <c r="I182" t="str">
        <v>11:45:00</v>
      </c>
      <c r="J182">
        <v>-12.323741</v>
      </c>
      <c r="K182">
        <v>-76.82626</v>
      </c>
      <c r="L182">
        <f>HYPERLINK("https://www.google.com/maps/search/?api=1&amp;query=-12.323741,-76.82626","Carretera Panamericana Sur, Punta Hermosa, Lima")</f>
      </c>
      <c r="M182">
        <v>55.6</v>
      </c>
      <c r="N182">
        <v>100</v>
      </c>
      <c r="O182">
        <v>93957.5</v>
      </c>
      <c r="P182" t="str">
        <v>1,938.88</v>
      </c>
      <c r="Q182" t="str">
        <v/>
      </c>
      <c r="R182" t="str">
        <v/>
      </c>
      <c r="S182" t="str">
        <v/>
      </c>
      <c r="T182" t="str">
        <v/>
      </c>
    </row>
    <row r="183">
      <c r="A183" t="str">
        <v>182</v>
      </c>
      <c r="B183" t="str">
        <v>MASS BSF</v>
      </c>
      <c r="C183" t="str">
        <v>F1W-796</v>
      </c>
      <c r="D183" t="str">
        <v/>
      </c>
      <c r="E183" t="str">
        <v>867162026876599</v>
      </c>
      <c r="F183" t="str">
        <v>TBD</v>
      </c>
      <c r="G183" t="str">
        <v/>
      </c>
      <c r="H183" t="str">
        <v>28/09/2026</v>
      </c>
      <c r="I183" t="str">
        <v>11:45:49</v>
      </c>
      <c r="J183">
        <v>-12.318359</v>
      </c>
      <c r="K183">
        <v>-76.8297</v>
      </c>
      <c r="L183">
        <f>HYPERLINK("https://www.google.com/maps/search/?api=1&amp;query=-12.318359,-76.8297","Carretera Panamericana Sur, Punta Hermosa, Lima")</f>
      </c>
      <c r="M183">
        <v>27.4</v>
      </c>
      <c r="N183">
        <v>100</v>
      </c>
      <c r="O183">
        <v>93958.1</v>
      </c>
      <c r="P183" t="str">
        <v>1,938.88</v>
      </c>
      <c r="Q183" t="str">
        <v/>
      </c>
      <c r="R183" t="str">
        <v/>
      </c>
      <c r="S183" t="str">
        <v/>
      </c>
      <c r="T183" t="str">
        <v/>
      </c>
    </row>
    <row r="184">
      <c r="A184" t="str">
        <v>183</v>
      </c>
      <c r="B184" t="str">
        <v>MASS BSF</v>
      </c>
      <c r="C184" t="str">
        <v>F1W-796</v>
      </c>
      <c r="D184" t="str">
        <v/>
      </c>
      <c r="E184" t="str">
        <v>867162026876599</v>
      </c>
      <c r="F184" t="str">
        <v>TBD</v>
      </c>
      <c r="G184" t="str">
        <v/>
      </c>
      <c r="H184" t="str">
        <v>28/09/2026</v>
      </c>
      <c r="I184" t="str">
        <v>11:45:49</v>
      </c>
      <c r="J184">
        <v>-12.318013</v>
      </c>
      <c r="K184">
        <v>-76.829796</v>
      </c>
      <c r="L184">
        <f>HYPERLINK("https://www.google.com/maps/search/?api=1&amp;query=-12.318013,-76.829796","Carretera Panamericana Sur, Punta Hermosa, Lima")</f>
      </c>
      <c r="M184">
        <v>21.9</v>
      </c>
      <c r="N184">
        <v>100</v>
      </c>
      <c r="O184">
        <v>93958.1</v>
      </c>
      <c r="P184" t="str">
        <v>1,938.88</v>
      </c>
      <c r="Q184" t="str">
        <v/>
      </c>
      <c r="R184" t="str">
        <v/>
      </c>
      <c r="S184" t="str">
        <v/>
      </c>
      <c r="T184" t="str">
        <v/>
      </c>
    </row>
    <row r="185">
      <c r="A185" t="str">
        <v>184</v>
      </c>
      <c r="B185" t="str">
        <v>MASS BSF</v>
      </c>
      <c r="C185" t="str">
        <v>F1W-796</v>
      </c>
      <c r="D185" t="str">
        <v/>
      </c>
      <c r="E185" t="str">
        <v>867162026876599</v>
      </c>
      <c r="F185" t="str">
        <v>TBD</v>
      </c>
      <c r="G185" t="str">
        <v/>
      </c>
      <c r="H185" t="str">
        <v>28/09/2026</v>
      </c>
      <c r="I185" t="str">
        <v>11:46:34</v>
      </c>
      <c r="J185">
        <v>-12.317562</v>
      </c>
      <c r="K185">
        <v>-76.82967</v>
      </c>
      <c r="L185">
        <f>HYPERLINK("https://www.google.com/maps/search/?api=1&amp;query=-12.317562,-76.82967","Punta Hermosa, Lima")</f>
      </c>
      <c r="M185">
        <v>4.2</v>
      </c>
      <c r="N185">
        <v>100</v>
      </c>
      <c r="O185">
        <v>93958.1</v>
      </c>
      <c r="P185" t="str">
        <v>1,938.88</v>
      </c>
      <c r="Q185" t="str">
        <v/>
      </c>
      <c r="R185" t="str">
        <v/>
      </c>
      <c r="S185" t="str">
        <v/>
      </c>
      <c r="T185" t="str">
        <v/>
      </c>
    </row>
    <row r="186">
      <c r="A186" t="str">
        <v>185</v>
      </c>
      <c r="B186" t="str">
        <v>MASS BSF</v>
      </c>
      <c r="C186" t="str">
        <v>F1W-796</v>
      </c>
      <c r="D186" t="str">
        <v/>
      </c>
      <c r="E186" t="str">
        <v>867162026876599</v>
      </c>
      <c r="F186" t="str">
        <v>TBD</v>
      </c>
      <c r="G186" t="str">
        <v/>
      </c>
      <c r="H186" t="str">
        <v>28/09/2026</v>
      </c>
      <c r="I186" t="str">
        <v>11:46:34</v>
      </c>
      <c r="J186">
        <v>-12.317562</v>
      </c>
      <c r="K186">
        <v>-76.82967</v>
      </c>
      <c r="L186">
        <f>HYPERLINK("https://www.google.com/maps/search/?api=1&amp;query=-12.317562,-76.82967","Punta Hermosa, Lima")</f>
      </c>
      <c r="M186">
        <v>4.2</v>
      </c>
      <c r="N186">
        <v>98</v>
      </c>
      <c r="O186">
        <v>93957.5</v>
      </c>
      <c r="P186" t="str">
        <v>1,938.55</v>
      </c>
      <c r="Q186" t="str">
        <v>Llegó a la zona</v>
      </c>
      <c r="R186" t="str">
        <v>MASS BSF 1</v>
      </c>
      <c r="S186" t="str">
        <v xml:space="preserve"> </v>
      </c>
      <c r="T186" t="str">
        <v/>
      </c>
    </row>
    <row r="187">
      <c r="A187" t="str">
        <v>186</v>
      </c>
      <c r="B187" t="str">
        <v>MASS BSF</v>
      </c>
      <c r="C187" t="str">
        <v>F1W-796</v>
      </c>
      <c r="D187" t="str">
        <v/>
      </c>
      <c r="E187" t="str">
        <v>867162026876599</v>
      </c>
      <c r="F187" t="str">
        <v>TBD</v>
      </c>
      <c r="G187" t="str">
        <v/>
      </c>
      <c r="H187" t="str">
        <v>28/09/2026</v>
      </c>
      <c r="I187" t="str">
        <v>11:46:45</v>
      </c>
      <c r="J187">
        <v>-12.317525</v>
      </c>
      <c r="K187">
        <v>-76.82963</v>
      </c>
      <c r="L187">
        <f>HYPERLINK("https://www.google.com/maps/search/?api=1&amp;query=-12.317525,-76.82963","Punta Hermosa, Lima")</f>
      </c>
      <c r="M187">
        <v>4.5</v>
      </c>
      <c r="N187">
        <v>100</v>
      </c>
      <c r="O187">
        <v>93958.1</v>
      </c>
      <c r="P187" t="str">
        <v>1,938.88</v>
      </c>
      <c r="Q187" t="str">
        <v/>
      </c>
      <c r="R187" t="str">
        <v/>
      </c>
      <c r="S187" t="str">
        <v/>
      </c>
      <c r="T187" t="str">
        <v/>
      </c>
    </row>
    <row r="188">
      <c r="A188" t="str">
        <v>187</v>
      </c>
      <c r="B188" t="str">
        <v>MASS BSF</v>
      </c>
      <c r="C188" t="str">
        <v>F1W-796</v>
      </c>
      <c r="D188" t="str">
        <v/>
      </c>
      <c r="E188" t="str">
        <v>867162026876599</v>
      </c>
      <c r="F188" t="str">
        <v>TBD</v>
      </c>
      <c r="G188" t="str">
        <v/>
      </c>
      <c r="H188" t="str">
        <v>28/09/2026</v>
      </c>
      <c r="I188" t="str">
        <v>11:47:45</v>
      </c>
      <c r="J188">
        <v>-12.31729</v>
      </c>
      <c r="K188">
        <v>-76.829185</v>
      </c>
      <c r="L188">
        <f>HYPERLINK("https://www.google.com/maps/search/?api=1&amp;query=-12.31729,-76.829185","Punta Hermosa, Lima")</f>
      </c>
      <c r="M188">
        <v>9.1</v>
      </c>
      <c r="N188">
        <v>100</v>
      </c>
      <c r="O188">
        <v>93958.2</v>
      </c>
      <c r="P188" t="str">
        <v>1,938.88</v>
      </c>
      <c r="Q188" t="str">
        <v/>
      </c>
      <c r="R188" t="str">
        <v/>
      </c>
      <c r="S188" t="str">
        <v/>
      </c>
      <c r="T188" t="str">
        <v/>
      </c>
    </row>
    <row r="189">
      <c r="A189" t="str">
        <v>188</v>
      </c>
      <c r="B189" t="str">
        <v>MASS BSF</v>
      </c>
      <c r="C189" t="str">
        <v>F1W-796</v>
      </c>
      <c r="D189" t="str">
        <v/>
      </c>
      <c r="E189" t="str">
        <v>867162026876599</v>
      </c>
      <c r="F189" t="str">
        <v>TBD</v>
      </c>
      <c r="G189" t="str">
        <v/>
      </c>
      <c r="H189" t="str">
        <v>28/09/2026</v>
      </c>
      <c r="I189" t="str">
        <v>11:48:45</v>
      </c>
      <c r="J189">
        <v>-12.316485</v>
      </c>
      <c r="K189">
        <v>-76.827805</v>
      </c>
      <c r="L189">
        <f>HYPERLINK("https://www.google.com/maps/search/?api=1&amp;query=-12.316485,-76.827805","Punta Hermosa, Lima")</f>
      </c>
      <c r="M189">
        <v>18.8</v>
      </c>
      <c r="N189">
        <v>100</v>
      </c>
      <c r="O189">
        <v>93958.4</v>
      </c>
      <c r="P189" t="str">
        <v>1,938.88</v>
      </c>
      <c r="Q189" t="str">
        <v/>
      </c>
      <c r="R189" t="str">
        <v/>
      </c>
      <c r="S189" t="str">
        <v/>
      </c>
      <c r="T189" t="str">
        <v/>
      </c>
    </row>
    <row r="190">
      <c r="A190" t="str">
        <v>189</v>
      </c>
      <c r="B190" t="str">
        <v>MASS BSF</v>
      </c>
      <c r="C190" t="str">
        <v>F1W-796</v>
      </c>
      <c r="D190" t="str">
        <v/>
      </c>
      <c r="E190" t="str">
        <v>867162026876599</v>
      </c>
      <c r="F190" t="str">
        <v>TBD</v>
      </c>
      <c r="G190" t="str">
        <v/>
      </c>
      <c r="H190" t="str">
        <v>28/09/2026</v>
      </c>
      <c r="I190" t="str">
        <v>11:49:36</v>
      </c>
      <c r="J190">
        <v>-12.315391</v>
      </c>
      <c r="K190">
        <v>-76.82594</v>
      </c>
      <c r="L190">
        <f>HYPERLINK("https://www.google.com/maps/search/?api=1&amp;query=-12.315391,-76.82594","Punta Hermosa, Lima")</f>
      </c>
      <c r="M190">
        <v>14.1</v>
      </c>
      <c r="N190">
        <v>100</v>
      </c>
      <c r="O190">
        <v>93958.6</v>
      </c>
      <c r="P190" t="str">
        <v>1,938.88</v>
      </c>
      <c r="Q190" t="str">
        <v/>
      </c>
      <c r="R190" t="str">
        <v/>
      </c>
      <c r="S190" t="str">
        <v/>
      </c>
      <c r="T190" t="str">
        <v/>
      </c>
    </row>
    <row r="191">
      <c r="A191" t="str">
        <v>190</v>
      </c>
      <c r="B191" t="str">
        <v>MASS BSF</v>
      </c>
      <c r="C191" t="str">
        <v>F1W-796</v>
      </c>
      <c r="D191" t="str">
        <v/>
      </c>
      <c r="E191" t="str">
        <v>867162026876599</v>
      </c>
      <c r="F191" t="str">
        <v>TBD</v>
      </c>
      <c r="G191" t="str">
        <v/>
      </c>
      <c r="H191" t="str">
        <v>28/09/2026</v>
      </c>
      <c r="I191" t="str">
        <v>11:49:45</v>
      </c>
      <c r="J191">
        <v>-12.315593</v>
      </c>
      <c r="K191">
        <v>-76.825745</v>
      </c>
      <c r="L191">
        <f>HYPERLINK("https://www.google.com/maps/search/?api=1&amp;query=-12.315593,-76.825745","Punta Hermosa, Lima")</f>
      </c>
      <c r="M191">
        <v>24.4</v>
      </c>
      <c r="N191">
        <v>100</v>
      </c>
      <c r="O191">
        <v>93958.6</v>
      </c>
      <c r="P191" t="str">
        <v>1,938.88</v>
      </c>
      <c r="Q191" t="str">
        <v/>
      </c>
      <c r="R191" t="str">
        <v/>
      </c>
      <c r="S191" t="str">
        <v/>
      </c>
      <c r="T191" t="str">
        <v/>
      </c>
    </row>
    <row r="192">
      <c r="A192" t="str">
        <v>191</v>
      </c>
      <c r="B192" t="str">
        <v>MASS BSF</v>
      </c>
      <c r="C192" t="str">
        <v>F1W-796</v>
      </c>
      <c r="D192" t="str">
        <v/>
      </c>
      <c r="E192" t="str">
        <v>867162026876599</v>
      </c>
      <c r="F192" t="str">
        <v>TBD</v>
      </c>
      <c r="G192" t="str">
        <v/>
      </c>
      <c r="H192" t="str">
        <v>28/09/2026</v>
      </c>
      <c r="I192" t="str">
        <v>11:50:45</v>
      </c>
      <c r="J192">
        <v>-12.317928</v>
      </c>
      <c r="K192">
        <v>-76.82426</v>
      </c>
      <c r="L192">
        <f>HYPERLINK("https://www.google.com/maps/search/?api=1&amp;query=-12.317928,-76.82426","Punta Hermosa, Lima")</f>
      </c>
      <c r="M192">
        <v>0</v>
      </c>
      <c r="N192">
        <v>100</v>
      </c>
      <c r="O192">
        <v>93958.9</v>
      </c>
      <c r="P192" t="str">
        <v>1,938.88</v>
      </c>
      <c r="Q192" t="str">
        <v/>
      </c>
      <c r="R192" t="str">
        <v/>
      </c>
      <c r="S192" t="str">
        <v/>
      </c>
      <c r="T192" t="str">
        <v/>
      </c>
    </row>
    <row r="193">
      <c r="A193" t="str">
        <v>192</v>
      </c>
      <c r="B193" t="str">
        <v>MASS BSF</v>
      </c>
      <c r="C193" t="str">
        <v>F1W-796</v>
      </c>
      <c r="D193" t="str">
        <v/>
      </c>
      <c r="E193" t="str">
        <v>867162026876599</v>
      </c>
      <c r="F193" t="str">
        <v>TBD</v>
      </c>
      <c r="G193" t="str">
        <v/>
      </c>
      <c r="H193" t="str">
        <v>28/09/2026</v>
      </c>
      <c r="I193" t="str">
        <v>11:51:34</v>
      </c>
      <c r="J193">
        <v>-12.318477</v>
      </c>
      <c r="K193">
        <v>-76.82384</v>
      </c>
      <c r="L193">
        <f>HYPERLINK("https://www.google.com/maps/search/?api=1&amp;query=-12.318477,-76.82384","Punta Hermosa, Lima")</f>
      </c>
      <c r="M193">
        <v>16.7</v>
      </c>
      <c r="N193">
        <v>100</v>
      </c>
      <c r="O193">
        <v>93959</v>
      </c>
      <c r="P193" t="str">
        <v>1,938.88</v>
      </c>
      <c r="Q193" t="str">
        <v/>
      </c>
      <c r="R193" t="str">
        <v/>
      </c>
      <c r="S193" t="str">
        <v/>
      </c>
      <c r="T193" t="str">
        <v/>
      </c>
    </row>
    <row r="194">
      <c r="A194" t="str">
        <v>193</v>
      </c>
      <c r="B194" t="str">
        <v>MASS BSF</v>
      </c>
      <c r="C194" t="str">
        <v>F1W-796</v>
      </c>
      <c r="D194" t="str">
        <v/>
      </c>
      <c r="E194" t="str">
        <v>867162026876599</v>
      </c>
      <c r="F194" t="str">
        <v>TBD</v>
      </c>
      <c r="G194" t="str">
        <v/>
      </c>
      <c r="H194" t="str">
        <v>28/09/2026</v>
      </c>
      <c r="I194" t="str">
        <v>11:51:45</v>
      </c>
      <c r="J194">
        <v>-12.31836</v>
      </c>
      <c r="K194">
        <v>-76.823524</v>
      </c>
      <c r="L194">
        <f>HYPERLINK("https://www.google.com/maps/search/?api=1&amp;query=-12.31836,-76.823524","Punta Hermosa, Lima")</f>
      </c>
      <c r="M194">
        <v>13.8</v>
      </c>
      <c r="N194">
        <v>100</v>
      </c>
      <c r="O194">
        <v>93959.1</v>
      </c>
      <c r="P194" t="str">
        <v>1,938.88</v>
      </c>
      <c r="Q194" t="str">
        <v/>
      </c>
      <c r="R194" t="str">
        <v/>
      </c>
      <c r="S194" t="str">
        <v/>
      </c>
      <c r="T194" t="str">
        <v/>
      </c>
    </row>
    <row r="195">
      <c r="A195" t="str">
        <v>194</v>
      </c>
      <c r="B195" t="str">
        <v>MASS BSF</v>
      </c>
      <c r="C195" t="str">
        <v>F1W-796</v>
      </c>
      <c r="D195" t="str">
        <v/>
      </c>
      <c r="E195" t="str">
        <v>867162026876599</v>
      </c>
      <c r="F195" t="str">
        <v>TBD</v>
      </c>
      <c r="G195" t="str">
        <v/>
      </c>
      <c r="H195" t="str">
        <v>28/09/2026</v>
      </c>
      <c r="I195" t="str">
        <v>11:51:55</v>
      </c>
      <c r="J195">
        <v>-12.318024</v>
      </c>
      <c r="K195">
        <v>-76.82298</v>
      </c>
      <c r="L195">
        <f>HYPERLINK("https://www.google.com/maps/search/?api=1&amp;query=-12.318024,-76.82298","Punta Hermosa, Lima")</f>
      </c>
      <c r="M195">
        <v>19.5</v>
      </c>
      <c r="N195">
        <v>100</v>
      </c>
      <c r="O195">
        <v>93959.1</v>
      </c>
      <c r="P195" t="str">
        <v>1,938.88</v>
      </c>
      <c r="Q195" t="str">
        <v/>
      </c>
      <c r="R195" t="str">
        <v/>
      </c>
      <c r="S195" t="str">
        <v/>
      </c>
      <c r="T195" t="str">
        <v/>
      </c>
    </row>
    <row r="196">
      <c r="A196" t="str">
        <v>195</v>
      </c>
      <c r="B196" t="str">
        <v>MASS BSF</v>
      </c>
      <c r="C196" t="str">
        <v>F1W-796</v>
      </c>
      <c r="D196" t="str">
        <v/>
      </c>
      <c r="E196" t="str">
        <v>867162026876599</v>
      </c>
      <c r="F196" t="str">
        <v>TBD</v>
      </c>
      <c r="G196" t="str">
        <v/>
      </c>
      <c r="H196" t="str">
        <v>28/09/2026</v>
      </c>
      <c r="I196" t="str">
        <v>11:52:07</v>
      </c>
      <c r="J196">
        <v>-12.317622</v>
      </c>
      <c r="K196">
        <v>-76.82287</v>
      </c>
      <c r="L196">
        <f>HYPERLINK("https://www.google.com/maps/search/?api=1&amp;query=-12.317622,-76.82287","Punta Hermosa, Lima")</f>
      </c>
      <c r="M196">
        <v>12.5</v>
      </c>
      <c r="N196">
        <v>100</v>
      </c>
      <c r="O196">
        <v>93959.2</v>
      </c>
      <c r="P196" t="str">
        <v>1,938.88</v>
      </c>
      <c r="Q196" t="str">
        <v/>
      </c>
      <c r="R196" t="str">
        <v/>
      </c>
      <c r="S196" t="str">
        <v/>
      </c>
      <c r="T196" t="str">
        <v/>
      </c>
    </row>
    <row r="197">
      <c r="A197" t="str">
        <v>196</v>
      </c>
      <c r="B197" t="str">
        <v>MASS BSF</v>
      </c>
      <c r="C197" t="str">
        <v>F1W-796</v>
      </c>
      <c r="D197" t="str">
        <v/>
      </c>
      <c r="E197" t="str">
        <v>867162026876599</v>
      </c>
      <c r="F197" t="str">
        <v>TBD</v>
      </c>
      <c r="G197" t="str">
        <v/>
      </c>
      <c r="H197" t="str">
        <v>28/09/2026</v>
      </c>
      <c r="I197" t="str">
        <v>11:52:18</v>
      </c>
      <c r="J197">
        <v>-12.317354</v>
      </c>
      <c r="K197">
        <v>-76.82292</v>
      </c>
      <c r="L197">
        <f>HYPERLINK("https://www.google.com/maps/search/?api=1&amp;query=-12.317354,-76.82292","Punta Hermosa, Lima")</f>
      </c>
      <c r="M197">
        <v>8.3</v>
      </c>
      <c r="N197">
        <v>100</v>
      </c>
      <c r="O197">
        <v>93959.2</v>
      </c>
      <c r="P197" t="str">
        <v>1,938.88</v>
      </c>
      <c r="Q197" t="str">
        <v/>
      </c>
      <c r="R197" t="str">
        <v/>
      </c>
      <c r="S197" t="str">
        <v/>
      </c>
      <c r="T197" t="str">
        <v/>
      </c>
    </row>
    <row r="198">
      <c r="A198" t="str">
        <v>197</v>
      </c>
      <c r="B198" t="str">
        <v>MASS BSF</v>
      </c>
      <c r="C198" t="str">
        <v>F1W-796</v>
      </c>
      <c r="D198" t="str">
        <v/>
      </c>
      <c r="E198" t="str">
        <v>867162026876599</v>
      </c>
      <c r="F198" t="str">
        <v>TBD</v>
      </c>
      <c r="G198" t="str">
        <v/>
      </c>
      <c r="H198" t="str">
        <v>28/09/2026</v>
      </c>
      <c r="I198" t="str">
        <v>11:52:45</v>
      </c>
      <c r="J198">
        <v>-12.317354</v>
      </c>
      <c r="K198">
        <v>-76.82288</v>
      </c>
      <c r="L198">
        <f>HYPERLINK("https://www.google.com/maps/search/?api=1&amp;query=-12.317354,-76.82288","Punta Hermosa, Lima")</f>
      </c>
      <c r="M198">
        <v>0</v>
      </c>
      <c r="N198">
        <v>100</v>
      </c>
      <c r="O198">
        <v>93959.2</v>
      </c>
      <c r="P198" t="str">
        <v>1,938.88</v>
      </c>
      <c r="Q198" t="str">
        <v/>
      </c>
      <c r="R198" t="str">
        <v/>
      </c>
      <c r="S198" t="str">
        <v/>
      </c>
      <c r="T198" t="str">
        <v/>
      </c>
    </row>
    <row r="199">
      <c r="A199" t="str">
        <v>198</v>
      </c>
      <c r="B199" t="str">
        <v>MASS BSF</v>
      </c>
      <c r="C199" t="str">
        <v>F1W-796</v>
      </c>
      <c r="D199" t="str">
        <v/>
      </c>
      <c r="E199" t="str">
        <v>867162026876599</v>
      </c>
      <c r="F199" t="str">
        <v>TBD</v>
      </c>
      <c r="G199" t="str">
        <v/>
      </c>
      <c r="H199" t="str">
        <v>28/09/2026</v>
      </c>
      <c r="I199" t="str">
        <v>11:53:45</v>
      </c>
      <c r="J199">
        <v>-12.317354</v>
      </c>
      <c r="K199">
        <v>-76.82288</v>
      </c>
      <c r="L199">
        <f>HYPERLINK("https://www.google.com/maps/search/?api=1&amp;query=-12.317354,-76.82288","Punta Hermosa, Lima")</f>
      </c>
      <c r="M199">
        <v>0</v>
      </c>
      <c r="N199">
        <v>100</v>
      </c>
      <c r="O199">
        <v>93959.2</v>
      </c>
      <c r="P199" t="str">
        <v>1,938.88</v>
      </c>
      <c r="Q199" t="str">
        <v/>
      </c>
      <c r="R199" t="str">
        <v/>
      </c>
      <c r="S199" t="str">
        <v/>
      </c>
      <c r="T199" t="str">
        <v/>
      </c>
    </row>
    <row r="200">
      <c r="A200" t="str">
        <v>199</v>
      </c>
      <c r="B200" t="str">
        <v>MASS BSF</v>
      </c>
      <c r="C200" t="str">
        <v>F1W-796</v>
      </c>
      <c r="D200" t="str">
        <v/>
      </c>
      <c r="E200" t="str">
        <v>867162026876599</v>
      </c>
      <c r="F200" t="str">
        <v>TBD</v>
      </c>
      <c r="G200" t="str">
        <v/>
      </c>
      <c r="H200" t="str">
        <v>28/09/2026</v>
      </c>
      <c r="I200" t="str">
        <v>11:54:45</v>
      </c>
      <c r="J200">
        <v>-12.317354</v>
      </c>
      <c r="K200">
        <v>-76.82288</v>
      </c>
      <c r="L200">
        <f>HYPERLINK("https://www.google.com/maps/search/?api=1&amp;query=-12.317354,-76.82288","Punta Hermosa, Lima")</f>
      </c>
      <c r="M200">
        <v>0</v>
      </c>
      <c r="N200">
        <v>100</v>
      </c>
      <c r="O200">
        <v>93959.2</v>
      </c>
      <c r="P200" t="str">
        <v>1,938.88</v>
      </c>
      <c r="Q200" t="str">
        <v/>
      </c>
      <c r="R200" t="str">
        <v/>
      </c>
      <c r="S200" t="str">
        <v/>
      </c>
      <c r="T200" t="str">
        <v/>
      </c>
    </row>
    <row r="201">
      <c r="A201" t="str">
        <v>200</v>
      </c>
      <c r="B201" t="str">
        <v>MASS BSF</v>
      </c>
      <c r="C201" t="str">
        <v>F1W-796</v>
      </c>
      <c r="D201" t="str">
        <v/>
      </c>
      <c r="E201" t="str">
        <v>867162026876599</v>
      </c>
      <c r="F201" t="str">
        <v>TBD</v>
      </c>
      <c r="G201" t="str">
        <v/>
      </c>
      <c r="H201" t="str">
        <v>28/09/2026</v>
      </c>
      <c r="I201" t="str">
        <v>11:55:45</v>
      </c>
      <c r="J201">
        <v>-12.317354</v>
      </c>
      <c r="K201">
        <v>-76.82288</v>
      </c>
      <c r="L201">
        <f>HYPERLINK("https://www.google.com/maps/search/?api=1&amp;query=-12.317354,-76.82288","Punta Hermosa, Lima")</f>
      </c>
      <c r="M201">
        <v>0</v>
      </c>
      <c r="N201">
        <v>100</v>
      </c>
      <c r="O201">
        <v>93959.2</v>
      </c>
      <c r="P201" t="str">
        <v>1,938.88</v>
      </c>
      <c r="Q201" t="str">
        <v/>
      </c>
      <c r="R201" t="str">
        <v/>
      </c>
      <c r="S201" t="str">
        <v/>
      </c>
      <c r="T201" t="str">
        <v/>
      </c>
    </row>
    <row r="202">
      <c r="A202" t="str">
        <v>201</v>
      </c>
      <c r="B202" t="str">
        <v>MASS BSF</v>
      </c>
      <c r="C202" t="str">
        <v>F1W-796</v>
      </c>
      <c r="D202" t="str">
        <v/>
      </c>
      <c r="E202" t="str">
        <v>867162026876599</v>
      </c>
      <c r="F202" t="str">
        <v>TBD</v>
      </c>
      <c r="G202" t="str">
        <v/>
      </c>
      <c r="H202" t="str">
        <v>28/09/2026</v>
      </c>
      <c r="I202" t="str">
        <v>11:56:45</v>
      </c>
      <c r="J202">
        <v>-12.317354</v>
      </c>
      <c r="K202">
        <v>-76.82288</v>
      </c>
      <c r="L202">
        <f>HYPERLINK("https://www.google.com/maps/search/?api=1&amp;query=-12.317354,-76.82288","Punta Hermosa, Lima")</f>
      </c>
      <c r="M202">
        <v>0</v>
      </c>
      <c r="N202">
        <v>100</v>
      </c>
      <c r="O202">
        <v>93959.2</v>
      </c>
      <c r="P202" t="str">
        <v>1,938.88</v>
      </c>
      <c r="Q202" t="str">
        <v/>
      </c>
      <c r="R202" t="str">
        <v/>
      </c>
      <c r="S202" t="str">
        <v/>
      </c>
      <c r="T202" t="str">
        <v/>
      </c>
    </row>
    <row r="203">
      <c r="A203" t="str">
        <v>202</v>
      </c>
      <c r="B203" t="str">
        <v>MASS BSF</v>
      </c>
      <c r="C203" t="str">
        <v>F1W-796</v>
      </c>
      <c r="D203" t="str">
        <v/>
      </c>
      <c r="E203" t="str">
        <v>867162026876599</v>
      </c>
      <c r="F203" t="str">
        <v>TBD</v>
      </c>
      <c r="G203" t="str">
        <v/>
      </c>
      <c r="H203" t="str">
        <v>28/09/2026</v>
      </c>
      <c r="I203" t="str">
        <v>11:57:45</v>
      </c>
      <c r="J203">
        <v>-12.317354</v>
      </c>
      <c r="K203">
        <v>-76.82288</v>
      </c>
      <c r="L203">
        <f>HYPERLINK("https://www.google.com/maps/search/?api=1&amp;query=-12.317354,-76.82288","Punta Hermosa, Lima")</f>
      </c>
      <c r="M203">
        <v>0</v>
      </c>
      <c r="N203">
        <v>100</v>
      </c>
      <c r="O203">
        <v>93959.2</v>
      </c>
      <c r="P203" t="str">
        <v>1,938.88</v>
      </c>
      <c r="Q203" t="str">
        <v/>
      </c>
      <c r="R203" t="str">
        <v/>
      </c>
      <c r="S203" t="str">
        <v/>
      </c>
      <c r="T203" t="str">
        <v/>
      </c>
    </row>
    <row r="204">
      <c r="A204" t="str">
        <v>203</v>
      </c>
      <c r="B204" t="str">
        <v>MASS BSF</v>
      </c>
      <c r="C204" t="str">
        <v>F1W-796</v>
      </c>
      <c r="D204" t="str">
        <v/>
      </c>
      <c r="E204" t="str">
        <v>867162026876599</v>
      </c>
      <c r="F204" t="str">
        <v>TBD</v>
      </c>
      <c r="G204" t="str">
        <v/>
      </c>
      <c r="H204" t="str">
        <v>28/09/2026</v>
      </c>
      <c r="I204" t="str">
        <v>11:58:45</v>
      </c>
      <c r="J204">
        <v>-12.317354</v>
      </c>
      <c r="K204">
        <v>-76.82288</v>
      </c>
      <c r="L204">
        <f>HYPERLINK("https://www.google.com/maps/search/?api=1&amp;query=-12.317354,-76.82288","Punta Hermosa, Lima")</f>
      </c>
      <c r="M204">
        <v>0</v>
      </c>
      <c r="N204">
        <v>100</v>
      </c>
      <c r="O204">
        <v>93959.2</v>
      </c>
      <c r="P204" t="str">
        <v>1,938.88</v>
      </c>
      <c r="Q204" t="str">
        <v/>
      </c>
      <c r="R204" t="str">
        <v/>
      </c>
      <c r="S204" t="str">
        <v/>
      </c>
      <c r="T204" t="str">
        <v/>
      </c>
    </row>
    <row r="205">
      <c r="A205" t="str">
        <v>204</v>
      </c>
      <c r="B205" t="str">
        <v>MASS BSF</v>
      </c>
      <c r="C205" t="str">
        <v>F1W-796</v>
      </c>
      <c r="D205" t="str">
        <v/>
      </c>
      <c r="E205" t="str">
        <v>867162026876599</v>
      </c>
      <c r="F205" t="str">
        <v>TBD</v>
      </c>
      <c r="G205" t="str">
        <v/>
      </c>
      <c r="H205" t="str">
        <v>28/09/2026</v>
      </c>
      <c r="I205" t="str">
        <v>11:59:16</v>
      </c>
      <c r="J205">
        <v>-12.317354</v>
      </c>
      <c r="K205">
        <v>-76.82288</v>
      </c>
      <c r="L205">
        <f>HYPERLINK("https://www.google.com/maps/search/?api=1&amp;query=-12.317354,-76.82288","Punta Hermosa, Lima")</f>
      </c>
      <c r="M205">
        <v>0</v>
      </c>
      <c r="N205">
        <v>100</v>
      </c>
      <c r="O205">
        <v>93959.2</v>
      </c>
      <c r="P205" t="str">
        <v>1,939.62</v>
      </c>
      <c r="Q205" t="str">
        <v>Vehículo apagado</v>
      </c>
      <c r="R205" t="str">
        <v/>
      </c>
      <c r="S205" t="str">
        <v/>
      </c>
      <c r="T205" t="str">
        <v/>
      </c>
    </row>
    <row r="206">
      <c r="A206" t="str">
        <v>205</v>
      </c>
      <c r="B206" t="str">
        <v>MASS BSF</v>
      </c>
      <c r="C206" t="str">
        <v>F1W-796</v>
      </c>
      <c r="D206" t="str">
        <v/>
      </c>
      <c r="E206" t="str">
        <v>867162026876599</v>
      </c>
      <c r="F206" t="str">
        <v>TBD</v>
      </c>
      <c r="G206" t="str">
        <v/>
      </c>
      <c r="H206" t="str">
        <v>28/09/2026</v>
      </c>
      <c r="I206" t="str">
        <v>11:59:20</v>
      </c>
      <c r="J206">
        <v>-12.317354</v>
      </c>
      <c r="K206">
        <v>-76.82288</v>
      </c>
      <c r="L206">
        <f>HYPERLINK("https://www.google.com/maps/search/?api=1&amp;query=-12.317354,-76.82288","Punta Hermosa, Lima")</f>
      </c>
      <c r="M206">
        <v>0</v>
      </c>
      <c r="N206">
        <v>100</v>
      </c>
      <c r="O206">
        <v>93959.2</v>
      </c>
      <c r="P206" t="str">
        <v>1,938.88</v>
      </c>
      <c r="Q206" t="str">
        <v/>
      </c>
      <c r="R206" t="str">
        <v/>
      </c>
      <c r="S206" t="str">
        <v/>
      </c>
      <c r="T206" t="str">
        <v/>
      </c>
    </row>
    <row r="207">
      <c r="A207" t="str">
        <v>206</v>
      </c>
      <c r="B207" t="str">
        <v>MASS BSF</v>
      </c>
      <c r="C207" t="str">
        <v>F1W-796</v>
      </c>
      <c r="D207" t="str">
        <v/>
      </c>
      <c r="E207" t="str">
        <v>867162026876599</v>
      </c>
      <c r="F207" t="str">
        <v>TBD</v>
      </c>
      <c r="G207" t="str">
        <v/>
      </c>
      <c r="H207" t="str">
        <v>28/09/2026</v>
      </c>
      <c r="I207" t="str">
        <v>12:09:14</v>
      </c>
      <c r="J207">
        <v>-12.317354</v>
      </c>
      <c r="K207">
        <v>-76.82288</v>
      </c>
      <c r="L207">
        <f>HYPERLINK("https://www.google.com/maps/search/?api=1&amp;query=-12.317354,-76.82288","Punta Hermosa, Lima")</f>
      </c>
      <c r="M207">
        <v>0</v>
      </c>
      <c r="N207">
        <v>100</v>
      </c>
      <c r="O207">
        <v>93959.2</v>
      </c>
      <c r="P207" t="str">
        <v>1,939.62</v>
      </c>
      <c r="Q207" t="str">
        <v>Vehículo encendido</v>
      </c>
      <c r="R207" t="str">
        <v/>
      </c>
      <c r="S207" t="str">
        <v/>
      </c>
      <c r="T207" t="str">
        <v/>
      </c>
    </row>
    <row r="208">
      <c r="A208" t="str">
        <v>207</v>
      </c>
      <c r="B208" t="str">
        <v>MASS BSF</v>
      </c>
      <c r="C208" t="str">
        <v>F1W-796</v>
      </c>
      <c r="D208" t="str">
        <v/>
      </c>
      <c r="E208" t="str">
        <v>867162026876599</v>
      </c>
      <c r="F208" t="str">
        <v>TBD</v>
      </c>
      <c r="G208" t="str">
        <v/>
      </c>
      <c r="H208" t="str">
        <v>28/09/2026</v>
      </c>
      <c r="I208" t="str">
        <v>12:09:21</v>
      </c>
      <c r="J208">
        <v>-12.31831</v>
      </c>
      <c r="K208">
        <v>-76.82337</v>
      </c>
      <c r="L208">
        <f>HYPERLINK("https://www.google.com/maps/search/?api=1&amp;query=-12.31831,-76.82337","Punta Hermosa, Lima")</f>
      </c>
      <c r="M208">
        <v>17.3</v>
      </c>
      <c r="N208">
        <v>100</v>
      </c>
      <c r="O208">
        <v>93959.3</v>
      </c>
      <c r="P208" t="str">
        <v>1,939.62</v>
      </c>
      <c r="Q208" t="str">
        <v/>
      </c>
      <c r="R208" t="str">
        <v/>
      </c>
      <c r="S208" t="str">
        <v/>
      </c>
      <c r="T208" t="str">
        <v/>
      </c>
    </row>
    <row r="209">
      <c r="A209" t="str">
        <v>208</v>
      </c>
      <c r="B209" t="str">
        <v>MASS BSF</v>
      </c>
      <c r="C209" t="str">
        <v>F1W-796</v>
      </c>
      <c r="D209" t="str">
        <v/>
      </c>
      <c r="E209" t="str">
        <v>867162026876599</v>
      </c>
      <c r="F209" t="str">
        <v>TBD</v>
      </c>
      <c r="G209" t="str">
        <v/>
      </c>
      <c r="H209" t="str">
        <v>28/09/2026</v>
      </c>
      <c r="I209" t="str">
        <v>12:09:36</v>
      </c>
      <c r="J209">
        <v>-12.318468</v>
      </c>
      <c r="K209">
        <v>-76.82383</v>
      </c>
      <c r="L209">
        <f>HYPERLINK("https://www.google.com/maps/search/?api=1&amp;query=-12.318468,-76.82383","Punta Hermosa, Lima")</f>
      </c>
      <c r="M209">
        <v>11.3</v>
      </c>
      <c r="N209">
        <v>100</v>
      </c>
      <c r="O209">
        <v>93959.4</v>
      </c>
      <c r="P209" t="str">
        <v>1,939.62</v>
      </c>
      <c r="Q209" t="str">
        <v/>
      </c>
      <c r="R209" t="str">
        <v/>
      </c>
      <c r="S209" t="str">
        <v/>
      </c>
      <c r="T209" t="str">
        <v/>
      </c>
    </row>
    <row r="210">
      <c r="A210" t="str">
        <v>209</v>
      </c>
      <c r="B210" t="str">
        <v>MASS BSF</v>
      </c>
      <c r="C210" t="str">
        <v>F1W-796</v>
      </c>
      <c r="D210" t="str">
        <v/>
      </c>
      <c r="E210" t="str">
        <v>867162026876599</v>
      </c>
      <c r="F210" t="str">
        <v>TBD</v>
      </c>
      <c r="G210" t="str">
        <v/>
      </c>
      <c r="H210" t="str">
        <v>28/09/2026</v>
      </c>
      <c r="I210" t="str">
        <v>12:09:43</v>
      </c>
      <c r="J210">
        <v>-12.318343</v>
      </c>
      <c r="K210">
        <v>-76.82397</v>
      </c>
      <c r="L210">
        <f>HYPERLINK("https://www.google.com/maps/search/?api=1&amp;query=-12.318343,-76.82397","Punta Hermosa, Lima")</f>
      </c>
      <c r="M210">
        <v>15.8</v>
      </c>
      <c r="N210">
        <v>100</v>
      </c>
      <c r="O210">
        <v>93959.4</v>
      </c>
      <c r="P210" t="str">
        <v>1,939.62</v>
      </c>
      <c r="Q210" t="str">
        <v/>
      </c>
      <c r="R210" t="str">
        <v/>
      </c>
      <c r="S210" t="str">
        <v/>
      </c>
      <c r="T210" t="str">
        <v/>
      </c>
    </row>
    <row r="211">
      <c r="A211" t="str">
        <v>210</v>
      </c>
      <c r="B211" t="str">
        <v>MASS BSF</v>
      </c>
      <c r="C211" t="str">
        <v>F1W-796</v>
      </c>
      <c r="D211" t="str">
        <v/>
      </c>
      <c r="E211" t="str">
        <v>867162026876599</v>
      </c>
      <c r="F211" t="str">
        <v>TBD</v>
      </c>
      <c r="G211" t="str">
        <v/>
      </c>
      <c r="H211" t="str">
        <v>28/09/2026</v>
      </c>
      <c r="I211" t="str">
        <v>12:10:17</v>
      </c>
      <c r="J211">
        <v>-12.317908</v>
      </c>
      <c r="K211">
        <v>-76.824196</v>
      </c>
      <c r="L211">
        <f>HYPERLINK("https://www.google.com/maps/search/?api=1&amp;query=-12.317908,-76.824196","Punta Hermosa, Lima")</f>
      </c>
      <c r="M211">
        <v>0</v>
      </c>
      <c r="N211">
        <v>100</v>
      </c>
      <c r="O211">
        <v>93959.4</v>
      </c>
      <c r="P211" t="str">
        <v>1,939.62</v>
      </c>
      <c r="Q211" t="str">
        <v/>
      </c>
      <c r="R211" t="str">
        <v/>
      </c>
      <c r="S211" t="str">
        <v/>
      </c>
      <c r="T211" t="str">
        <v/>
      </c>
    </row>
    <row r="212">
      <c r="A212" t="str">
        <v>211</v>
      </c>
      <c r="B212" t="str">
        <v>MASS BSF</v>
      </c>
      <c r="C212" t="str">
        <v>F1W-796</v>
      </c>
      <c r="D212" t="str">
        <v/>
      </c>
      <c r="E212" t="str">
        <v>867162026876599</v>
      </c>
      <c r="F212" t="str">
        <v>TBD</v>
      </c>
      <c r="G212" t="str">
        <v/>
      </c>
      <c r="H212" t="str">
        <v>28/09/2026</v>
      </c>
      <c r="I212" t="str">
        <v>12:10:27</v>
      </c>
      <c r="J212">
        <v>-12.317847</v>
      </c>
      <c r="K212">
        <v>-76.824196</v>
      </c>
      <c r="L212">
        <f>HYPERLINK("https://www.google.com/maps/search/?api=1&amp;query=-12.317847,-76.824196","Punta Hermosa, Lima")</f>
      </c>
      <c r="M212">
        <v>6.7</v>
      </c>
      <c r="N212">
        <v>100</v>
      </c>
      <c r="O212">
        <v>93959.4</v>
      </c>
      <c r="P212" t="str">
        <v>1,939.62</v>
      </c>
      <c r="Q212" t="str">
        <v/>
      </c>
      <c r="R212" t="str">
        <v/>
      </c>
      <c r="S212" t="str">
        <v/>
      </c>
      <c r="T212" t="str">
        <v/>
      </c>
    </row>
    <row r="213">
      <c r="A213" t="str">
        <v>212</v>
      </c>
      <c r="B213" t="str">
        <v>MASS BSF</v>
      </c>
      <c r="C213" t="str">
        <v>F1W-796</v>
      </c>
      <c r="D213" t="str">
        <v/>
      </c>
      <c r="E213" t="str">
        <v>867162026876599</v>
      </c>
      <c r="F213" t="str">
        <v>TBD</v>
      </c>
      <c r="G213" t="str">
        <v/>
      </c>
      <c r="H213" t="str">
        <v>28/09/2026</v>
      </c>
      <c r="I213" t="str">
        <v>12:11:17</v>
      </c>
      <c r="J213">
        <v>-12.31774</v>
      </c>
      <c r="K213">
        <v>-76.82417</v>
      </c>
      <c r="L213">
        <f>HYPERLINK("https://www.google.com/maps/search/?api=1&amp;query=-12.31774,-76.82417","Punta Hermosa, Lima")</f>
      </c>
      <c r="M213">
        <v>0</v>
      </c>
      <c r="N213">
        <v>100</v>
      </c>
      <c r="O213">
        <v>93959.5</v>
      </c>
      <c r="P213" t="str">
        <v>1,939.62</v>
      </c>
      <c r="Q213" t="str">
        <v/>
      </c>
      <c r="R213" t="str">
        <v/>
      </c>
      <c r="S213" t="str">
        <v/>
      </c>
      <c r="T213" t="str">
        <v/>
      </c>
    </row>
    <row r="214">
      <c r="A214" t="str">
        <v>213</v>
      </c>
      <c r="B214" t="str">
        <v>MASS BSF</v>
      </c>
      <c r="C214" t="str">
        <v>F1W-796</v>
      </c>
      <c r="D214" t="str">
        <v/>
      </c>
      <c r="E214" t="str">
        <v>867162026876599</v>
      </c>
      <c r="F214" t="str">
        <v>TBD</v>
      </c>
      <c r="G214" t="str">
        <v/>
      </c>
      <c r="H214" t="str">
        <v>28/09/2026</v>
      </c>
      <c r="I214" t="str">
        <v>12:12:17</v>
      </c>
      <c r="J214">
        <v>-12.31774</v>
      </c>
      <c r="K214">
        <v>-76.82417</v>
      </c>
      <c r="L214">
        <f>HYPERLINK("https://www.google.com/maps/search/?api=1&amp;query=-12.31774,-76.82417","Punta Hermosa, Lima")</f>
      </c>
      <c r="M214">
        <v>0</v>
      </c>
      <c r="N214">
        <v>100</v>
      </c>
      <c r="O214">
        <v>93959.5</v>
      </c>
      <c r="P214" t="str">
        <v>1,939.62</v>
      </c>
      <c r="Q214" t="str">
        <v/>
      </c>
      <c r="R214" t="str">
        <v/>
      </c>
      <c r="S214" t="str">
        <v/>
      </c>
      <c r="T214" t="str">
        <v/>
      </c>
    </row>
    <row r="215">
      <c r="A215" t="str">
        <v>214</v>
      </c>
      <c r="B215" t="str">
        <v>MASS BSF</v>
      </c>
      <c r="C215" t="str">
        <v>F1W-796</v>
      </c>
      <c r="D215" t="str">
        <v/>
      </c>
      <c r="E215" t="str">
        <v>867162026876599</v>
      </c>
      <c r="F215" t="str">
        <v>TBD</v>
      </c>
      <c r="G215" t="str">
        <v/>
      </c>
      <c r="H215" t="str">
        <v>28/09/2026</v>
      </c>
      <c r="I215" t="str">
        <v>12:13:17</v>
      </c>
      <c r="J215">
        <v>-12.31774</v>
      </c>
      <c r="K215">
        <v>-76.82417</v>
      </c>
      <c r="L215">
        <f>HYPERLINK("https://www.google.com/maps/search/?api=1&amp;query=-12.31774,-76.82417","Punta Hermosa, Lima")</f>
      </c>
      <c r="M215">
        <v>0</v>
      </c>
      <c r="N215">
        <v>100</v>
      </c>
      <c r="O215">
        <v>93959.5</v>
      </c>
      <c r="P215" t="str">
        <v>1,939.62</v>
      </c>
      <c r="Q215" t="str">
        <v/>
      </c>
      <c r="R215" t="str">
        <v/>
      </c>
      <c r="S215" t="str">
        <v/>
      </c>
      <c r="T215" t="str">
        <v/>
      </c>
    </row>
    <row r="216">
      <c r="A216" t="str">
        <v>215</v>
      </c>
      <c r="B216" t="str">
        <v>MASS BSF</v>
      </c>
      <c r="C216" t="str">
        <v>F1W-796</v>
      </c>
      <c r="D216" t="str">
        <v/>
      </c>
      <c r="E216" t="str">
        <v>867162026876599</v>
      </c>
      <c r="F216" t="str">
        <v>TBD</v>
      </c>
      <c r="G216" t="str">
        <v/>
      </c>
      <c r="H216" t="str">
        <v>28/09/2026</v>
      </c>
      <c r="I216" t="str">
        <v>12:14:17</v>
      </c>
      <c r="J216">
        <v>-12.31774</v>
      </c>
      <c r="K216">
        <v>-76.82417</v>
      </c>
      <c r="L216">
        <f>HYPERLINK("https://www.google.com/maps/search/?api=1&amp;query=-12.31774,-76.82417","Punta Hermosa, Lima")</f>
      </c>
      <c r="M216">
        <v>0</v>
      </c>
      <c r="N216">
        <v>100</v>
      </c>
      <c r="O216">
        <v>93959.5</v>
      </c>
      <c r="P216" t="str">
        <v>1,939.62</v>
      </c>
      <c r="Q216" t="str">
        <v/>
      </c>
      <c r="R216" t="str">
        <v/>
      </c>
      <c r="S216" t="str">
        <v/>
      </c>
      <c r="T216" t="str">
        <v/>
      </c>
    </row>
    <row r="217">
      <c r="A217" t="str">
        <v>216</v>
      </c>
      <c r="B217" t="str">
        <v>MASS BSF</v>
      </c>
      <c r="C217" t="str">
        <v>F1W-796</v>
      </c>
      <c r="D217" t="str">
        <v/>
      </c>
      <c r="E217" t="str">
        <v>867162026876599</v>
      </c>
      <c r="F217" t="str">
        <v>TBD</v>
      </c>
      <c r="G217" t="str">
        <v/>
      </c>
      <c r="H217" t="str">
        <v>28/09/2026</v>
      </c>
      <c r="I217" t="str">
        <v>12:14:20</v>
      </c>
      <c r="J217">
        <v>-12.31774</v>
      </c>
      <c r="K217">
        <v>-76.82417</v>
      </c>
      <c r="L217">
        <f>HYPERLINK("https://www.google.com/maps/search/?api=1&amp;query=-12.31774,-76.82417","Punta Hermosa, Lima")</f>
      </c>
      <c r="M217">
        <v>0</v>
      </c>
      <c r="N217">
        <v>100</v>
      </c>
      <c r="O217">
        <v>93959.5</v>
      </c>
      <c r="P217" t="str">
        <v>1,939.70</v>
      </c>
      <c r="Q217" t="str">
        <v>Vehículo apagado</v>
      </c>
      <c r="R217" t="str">
        <v/>
      </c>
      <c r="S217" t="str">
        <v/>
      </c>
      <c r="T217" t="str">
        <v/>
      </c>
    </row>
    <row r="218">
      <c r="A218" t="str">
        <v>217</v>
      </c>
      <c r="B218" t="str">
        <v>MASS BSF</v>
      </c>
      <c r="C218" t="str">
        <v>F1W-796</v>
      </c>
      <c r="D218" t="str">
        <v/>
      </c>
      <c r="E218" t="str">
        <v>867162026876599</v>
      </c>
      <c r="F218" t="str">
        <v>TBD</v>
      </c>
      <c r="G218" t="str">
        <v/>
      </c>
      <c r="H218" t="str">
        <v>28/09/2026</v>
      </c>
      <c r="I218" t="str">
        <v>12:14:23</v>
      </c>
      <c r="J218">
        <v>-12.31774</v>
      </c>
      <c r="K218">
        <v>-76.82417</v>
      </c>
      <c r="L218">
        <f>HYPERLINK("https://www.google.com/maps/search/?api=1&amp;query=-12.31774,-76.82417","Punta Hermosa, Lima")</f>
      </c>
      <c r="M218">
        <v>0</v>
      </c>
      <c r="N218">
        <v>100</v>
      </c>
      <c r="O218">
        <v>93959.5</v>
      </c>
      <c r="P218" t="str">
        <v>1,939.70</v>
      </c>
      <c r="Q218" t="str">
        <v/>
      </c>
      <c r="R218" t="str">
        <v/>
      </c>
      <c r="S218" t="str">
        <v/>
      </c>
      <c r="T218" t="str">
        <v/>
      </c>
    </row>
    <row r="219">
      <c r="A219" t="str">
        <v>218</v>
      </c>
      <c r="B219" t="str">
        <v>MASS BSF</v>
      </c>
      <c r="C219" t="str">
        <v>F1W-796</v>
      </c>
      <c r="D219" t="str">
        <v/>
      </c>
      <c r="E219" t="str">
        <v>867162026876599</v>
      </c>
      <c r="F219" t="str">
        <v>TBD</v>
      </c>
      <c r="G219" t="str">
        <v/>
      </c>
      <c r="H219" t="str">
        <v>28/09/2026</v>
      </c>
      <c r="I219" t="str">
        <v>12:44:23</v>
      </c>
      <c r="J219">
        <v>-12.31774</v>
      </c>
      <c r="K219">
        <v>-76.82417</v>
      </c>
      <c r="L219">
        <f>HYPERLINK("https://www.google.com/maps/search/?api=1&amp;query=-12.31774,-76.82417","Punta Hermosa, Lima")</f>
      </c>
      <c r="M219">
        <v>0</v>
      </c>
      <c r="N219">
        <v>98</v>
      </c>
      <c r="O219">
        <v>93959.5</v>
      </c>
      <c r="P219" t="str">
        <v>1,939.70</v>
      </c>
      <c r="Q219" t="str">
        <v/>
      </c>
      <c r="R219" t="str">
        <v/>
      </c>
      <c r="S219" t="str">
        <v/>
      </c>
      <c r="T219" t="str">
        <v/>
      </c>
    </row>
    <row r="220">
      <c r="A220" t="str">
        <v>219</v>
      </c>
      <c r="B220" t="str">
        <v>MASS BSF</v>
      </c>
      <c r="C220" t="str">
        <v>F1W-796</v>
      </c>
      <c r="D220" t="str">
        <v/>
      </c>
      <c r="E220" t="str">
        <v>867162026876599</v>
      </c>
      <c r="F220" t="str">
        <v>TBD</v>
      </c>
      <c r="G220" t="str">
        <v/>
      </c>
      <c r="H220" t="str">
        <v>28/09/2026</v>
      </c>
      <c r="I220" t="str">
        <v>12:46:28</v>
      </c>
      <c r="J220">
        <v>-12.31774</v>
      </c>
      <c r="K220">
        <v>-76.82417</v>
      </c>
      <c r="L220">
        <f>HYPERLINK("https://www.google.com/maps/search/?api=1&amp;query=-12.31774,-76.82417","Punta Hermosa, Lima")</f>
      </c>
      <c r="M220">
        <v>0</v>
      </c>
      <c r="N220">
        <v>98</v>
      </c>
      <c r="O220">
        <v>93959.5</v>
      </c>
      <c r="P220" t="str">
        <v>1,939.70</v>
      </c>
      <c r="Q220" t="str">
        <v>Vehículo encendido</v>
      </c>
      <c r="R220" t="str">
        <v/>
      </c>
      <c r="S220" t="str">
        <v/>
      </c>
      <c r="T220" t="str">
        <v/>
      </c>
    </row>
    <row r="221">
      <c r="A221" t="str">
        <v>220</v>
      </c>
      <c r="B221" t="str">
        <v>MASS BSF</v>
      </c>
      <c r="C221" t="str">
        <v>F1W-796</v>
      </c>
      <c r="D221" t="str">
        <v/>
      </c>
      <c r="E221" t="str">
        <v>867162026876599</v>
      </c>
      <c r="F221" t="str">
        <v>TBD</v>
      </c>
      <c r="G221" t="str">
        <v/>
      </c>
      <c r="H221" t="str">
        <v>28/09/2026</v>
      </c>
      <c r="I221" t="str">
        <v>12:46:33</v>
      </c>
      <c r="J221">
        <v>-12.317911</v>
      </c>
      <c r="K221">
        <v>-76.82443</v>
      </c>
      <c r="L221">
        <f>HYPERLINK("https://www.google.com/maps/search/?api=1&amp;query=-12.317911,-76.82443","Punta Hermosa, Lima")</f>
      </c>
      <c r="M221">
        <v>5</v>
      </c>
      <c r="N221">
        <v>98</v>
      </c>
      <c r="O221">
        <v>93959.5</v>
      </c>
      <c r="P221" t="str">
        <v>1,939.70</v>
      </c>
      <c r="Q221" t="str">
        <v/>
      </c>
      <c r="R221" t="str">
        <v/>
      </c>
      <c r="S221" t="str">
        <v/>
      </c>
      <c r="T221" t="str">
        <v/>
      </c>
    </row>
    <row r="222">
      <c r="A222" t="str">
        <v>221</v>
      </c>
      <c r="B222" t="str">
        <v>MASS BSF</v>
      </c>
      <c r="C222" t="str">
        <v>F1W-796</v>
      </c>
      <c r="D222" t="str">
        <v/>
      </c>
      <c r="E222" t="str">
        <v>867162026876599</v>
      </c>
      <c r="F222" t="str">
        <v>TBD</v>
      </c>
      <c r="G222" t="str">
        <v/>
      </c>
      <c r="H222" t="str">
        <v>28/09/2026</v>
      </c>
      <c r="I222" t="str">
        <v>12:47:33</v>
      </c>
      <c r="J222">
        <v>-12.317971</v>
      </c>
      <c r="K222">
        <v>-76.82437</v>
      </c>
      <c r="L222">
        <f>HYPERLINK("https://www.google.com/maps/search/?api=1&amp;query=-12.317971,-76.82437","Punta Hermosa, Lima")</f>
      </c>
      <c r="M222">
        <v>0</v>
      </c>
      <c r="N222">
        <v>98</v>
      </c>
      <c r="O222">
        <v>93959.5</v>
      </c>
      <c r="P222" t="str">
        <v>1,939.70</v>
      </c>
      <c r="Q222" t="str">
        <v/>
      </c>
      <c r="R222" t="str">
        <v/>
      </c>
      <c r="S222" t="str">
        <v/>
      </c>
      <c r="T222" t="str">
        <v/>
      </c>
    </row>
    <row r="223">
      <c r="A223" t="str">
        <v>222</v>
      </c>
      <c r="B223" t="str">
        <v>MASS BSF</v>
      </c>
      <c r="C223" t="str">
        <v>F1W-796</v>
      </c>
      <c r="D223" t="str">
        <v/>
      </c>
      <c r="E223" t="str">
        <v>867162026876599</v>
      </c>
      <c r="F223" t="str">
        <v>TBD</v>
      </c>
      <c r="G223" t="str">
        <v/>
      </c>
      <c r="H223" t="str">
        <v>28/09/2026</v>
      </c>
      <c r="I223" t="str">
        <v>12:48:33</v>
      </c>
      <c r="J223">
        <v>-12.317971</v>
      </c>
      <c r="K223">
        <v>-76.82437</v>
      </c>
      <c r="L223">
        <f>HYPERLINK("https://www.google.com/maps/search/?api=1&amp;query=-12.317971,-76.82437","Punta Hermosa, Lima")</f>
      </c>
      <c r="M223">
        <v>0</v>
      </c>
      <c r="N223">
        <v>98</v>
      </c>
      <c r="O223">
        <v>93959.5</v>
      </c>
      <c r="P223" t="str">
        <v>1,939.70</v>
      </c>
      <c r="Q223" t="str">
        <v/>
      </c>
      <c r="R223" t="str">
        <v/>
      </c>
      <c r="S223" t="str">
        <v/>
      </c>
      <c r="T223" t="str">
        <v/>
      </c>
    </row>
    <row r="224">
      <c r="A224" t="str">
        <v>223</v>
      </c>
      <c r="B224" t="str">
        <v>MASS BSF</v>
      </c>
      <c r="C224" t="str">
        <v>F1W-796</v>
      </c>
      <c r="D224" t="str">
        <v/>
      </c>
      <c r="E224" t="str">
        <v>867162026876599</v>
      </c>
      <c r="F224" t="str">
        <v>TBD</v>
      </c>
      <c r="G224" t="str">
        <v/>
      </c>
      <c r="H224" t="str">
        <v>28/09/2026</v>
      </c>
      <c r="I224" t="str">
        <v>12:49:33</v>
      </c>
      <c r="J224">
        <v>-12.317971</v>
      </c>
      <c r="K224">
        <v>-76.82437</v>
      </c>
      <c r="L224">
        <f>HYPERLINK("https://www.google.com/maps/search/?api=1&amp;query=-12.317971,-76.82437","Punta Hermosa, Lima")</f>
      </c>
      <c r="M224">
        <v>0</v>
      </c>
      <c r="N224">
        <v>98</v>
      </c>
      <c r="O224">
        <v>93959.5</v>
      </c>
      <c r="P224" t="str">
        <v>1,939.70</v>
      </c>
      <c r="Q224" t="str">
        <v/>
      </c>
      <c r="R224" t="str">
        <v/>
      </c>
      <c r="S224" t="str">
        <v/>
      </c>
      <c r="T224" t="str">
        <v/>
      </c>
    </row>
    <row r="225">
      <c r="A225" t="str">
        <v>224</v>
      </c>
      <c r="B225" t="str">
        <v>MASS BSF</v>
      </c>
      <c r="C225" t="str">
        <v>F1W-796</v>
      </c>
      <c r="D225" t="str">
        <v/>
      </c>
      <c r="E225" t="str">
        <v>867162026876599</v>
      </c>
      <c r="F225" t="str">
        <v>TBD</v>
      </c>
      <c r="G225" t="str">
        <v/>
      </c>
      <c r="H225" t="str">
        <v>28/09/2026</v>
      </c>
      <c r="I225" t="str">
        <v>12:50:33</v>
      </c>
      <c r="J225">
        <v>-12.317971</v>
      </c>
      <c r="K225">
        <v>-76.82437</v>
      </c>
      <c r="L225">
        <f>HYPERLINK("https://www.google.com/maps/search/?api=1&amp;query=-12.317971,-76.82437","Punta Hermosa, Lima")</f>
      </c>
      <c r="M225">
        <v>0</v>
      </c>
      <c r="N225">
        <v>98</v>
      </c>
      <c r="O225">
        <v>93959.5</v>
      </c>
      <c r="P225" t="str">
        <v>1,939.70</v>
      </c>
      <c r="Q225" t="str">
        <v/>
      </c>
      <c r="R225" t="str">
        <v/>
      </c>
      <c r="S225" t="str">
        <v/>
      </c>
      <c r="T225" t="str">
        <v/>
      </c>
    </row>
    <row r="226">
      <c r="A226" t="str">
        <v>225</v>
      </c>
      <c r="B226" t="str">
        <v>MASS BSF</v>
      </c>
      <c r="C226" t="str">
        <v>F1W-796</v>
      </c>
      <c r="D226" t="str">
        <v/>
      </c>
      <c r="E226" t="str">
        <v>867162026876599</v>
      </c>
      <c r="F226" t="str">
        <v>TBD</v>
      </c>
      <c r="G226" t="str">
        <v/>
      </c>
      <c r="H226" t="str">
        <v>28/09/2026</v>
      </c>
      <c r="I226" t="str">
        <v>12:51:33</v>
      </c>
      <c r="J226">
        <v>-12.317971</v>
      </c>
      <c r="K226">
        <v>-76.82437</v>
      </c>
      <c r="L226">
        <f>HYPERLINK("https://www.google.com/maps/search/?api=1&amp;query=-12.317971,-76.82437","Punta Hermosa, Lima")</f>
      </c>
      <c r="M226">
        <v>0</v>
      </c>
      <c r="N226">
        <v>98</v>
      </c>
      <c r="O226">
        <v>93959.5</v>
      </c>
      <c r="P226" t="str">
        <v>1,939.70</v>
      </c>
      <c r="Q226" t="str">
        <v/>
      </c>
      <c r="R226" t="str">
        <v/>
      </c>
      <c r="S226" t="str">
        <v/>
      </c>
      <c r="T226" t="str">
        <v/>
      </c>
    </row>
    <row r="227">
      <c r="A227" t="str">
        <v>226</v>
      </c>
      <c r="B227" t="str">
        <v>MASS BSF</v>
      </c>
      <c r="C227" t="str">
        <v>F1W-796</v>
      </c>
      <c r="D227" t="str">
        <v/>
      </c>
      <c r="E227" t="str">
        <v>867162026876599</v>
      </c>
      <c r="F227" t="str">
        <v>TBD</v>
      </c>
      <c r="G227" t="str">
        <v/>
      </c>
      <c r="H227" t="str">
        <v>28/09/2026</v>
      </c>
      <c r="I227" t="str">
        <v>12:51:56</v>
      </c>
      <c r="J227">
        <v>-12.317971</v>
      </c>
      <c r="K227">
        <v>-76.82437</v>
      </c>
      <c r="L227">
        <f>HYPERLINK("https://www.google.com/maps/search/?api=1&amp;query=-12.317971,-76.82437","Punta Hermosa, Lima")</f>
      </c>
      <c r="M227">
        <v>0</v>
      </c>
      <c r="N227">
        <v>98</v>
      </c>
      <c r="O227">
        <v>93959.5</v>
      </c>
      <c r="P227" t="str">
        <v>1,939.78</v>
      </c>
      <c r="Q227" t="str">
        <v>Vehículo apagado</v>
      </c>
      <c r="R227" t="str">
        <v/>
      </c>
      <c r="S227" t="str">
        <v/>
      </c>
      <c r="T227" t="str">
        <v/>
      </c>
    </row>
    <row r="228">
      <c r="A228" t="str">
        <v>227</v>
      </c>
      <c r="B228" t="str">
        <v>MASS BSF</v>
      </c>
      <c r="C228" t="str">
        <v>F1W-796</v>
      </c>
      <c r="D228" t="str">
        <v/>
      </c>
      <c r="E228" t="str">
        <v>867162026876599</v>
      </c>
      <c r="F228" t="str">
        <v>TBD</v>
      </c>
      <c r="G228" t="str">
        <v/>
      </c>
      <c r="H228" t="str">
        <v>28/09/2026</v>
      </c>
      <c r="I228" t="str">
        <v>12:51:59</v>
      </c>
      <c r="J228">
        <v>-12.317971</v>
      </c>
      <c r="K228">
        <v>-76.82437</v>
      </c>
      <c r="L228">
        <f>HYPERLINK("https://www.google.com/maps/search/?api=1&amp;query=-12.317971,-76.82437","Punta Hermosa, Lima")</f>
      </c>
      <c r="M228">
        <v>0</v>
      </c>
      <c r="N228">
        <v>98</v>
      </c>
      <c r="O228">
        <v>93959.5</v>
      </c>
      <c r="P228" t="str">
        <v>1,939.78</v>
      </c>
      <c r="Q228" t="str">
        <v/>
      </c>
      <c r="R228" t="str">
        <v/>
      </c>
      <c r="S228" t="str">
        <v/>
      </c>
      <c r="T228" t="str">
        <v/>
      </c>
    </row>
    <row r="229">
      <c r="A229" t="str">
        <v>228</v>
      </c>
      <c r="B229" t="str">
        <v>MASS BSF</v>
      </c>
      <c r="C229" t="str">
        <v>F1W-796</v>
      </c>
      <c r="D229" t="str">
        <v/>
      </c>
      <c r="E229" t="str">
        <v>867162026876599</v>
      </c>
      <c r="F229" t="str">
        <v>TBD</v>
      </c>
      <c r="G229" t="str">
        <v/>
      </c>
      <c r="H229" t="str">
        <v>28/09/2026</v>
      </c>
      <c r="I229" t="str">
        <v>13:22:00</v>
      </c>
      <c r="J229">
        <v>-12.317971</v>
      </c>
      <c r="K229">
        <v>-76.82437</v>
      </c>
      <c r="L229">
        <f>HYPERLINK("https://www.google.com/maps/search/?api=1&amp;query=-12.317971,-76.82437","Punta Hermosa, Lima")</f>
      </c>
      <c r="M229">
        <v>0</v>
      </c>
      <c r="N229">
        <v>98</v>
      </c>
      <c r="O229">
        <v>93959.5</v>
      </c>
      <c r="P229" t="str">
        <v>1,939.78</v>
      </c>
      <c r="Q229" t="str">
        <v/>
      </c>
      <c r="R229" t="str">
        <v/>
      </c>
      <c r="S229" t="str">
        <v/>
      </c>
      <c r="T229" t="str">
        <v/>
      </c>
    </row>
    <row r="230">
      <c r="A230" t="str">
        <v>229</v>
      </c>
      <c r="B230" t="str">
        <v>MASS BSF</v>
      </c>
      <c r="C230" t="str">
        <v>F1W-796</v>
      </c>
      <c r="D230" t="str">
        <v/>
      </c>
      <c r="E230" t="str">
        <v>867162026876599</v>
      </c>
      <c r="F230" t="str">
        <v>TBD</v>
      </c>
      <c r="G230" t="str">
        <v/>
      </c>
      <c r="H230" t="str">
        <v>28/09/2026</v>
      </c>
      <c r="I230" t="str">
        <v>13:31:06</v>
      </c>
      <c r="J230">
        <v>-12.317971</v>
      </c>
      <c r="K230">
        <v>-76.82437</v>
      </c>
      <c r="L230">
        <f>HYPERLINK("https://www.google.com/maps/search/?api=1&amp;query=-12.317971,-76.82437","Punta Hermosa, Lima")</f>
      </c>
      <c r="M230">
        <v>0</v>
      </c>
      <c r="N230">
        <v>98</v>
      </c>
      <c r="O230">
        <v>93959.5</v>
      </c>
      <c r="P230" t="str">
        <v>1,939.78</v>
      </c>
      <c r="Q230" t="str">
        <v>Vehículo encendido</v>
      </c>
      <c r="R230" t="str">
        <v/>
      </c>
      <c r="S230" t="str">
        <v/>
      </c>
      <c r="T230" t="str">
        <v/>
      </c>
    </row>
    <row r="231">
      <c r="A231" t="str">
        <v>230</v>
      </c>
      <c r="B231" t="str">
        <v>MASS BSF</v>
      </c>
      <c r="C231" t="str">
        <v>F1W-796</v>
      </c>
      <c r="D231" t="str">
        <v/>
      </c>
      <c r="E231" t="str">
        <v>867162026876599</v>
      </c>
      <c r="F231" t="str">
        <v>TBD</v>
      </c>
      <c r="G231" t="str">
        <v/>
      </c>
      <c r="H231" t="str">
        <v>28/09/2026</v>
      </c>
      <c r="I231" t="str">
        <v>13:31:14</v>
      </c>
      <c r="J231">
        <v>-12.317681</v>
      </c>
      <c r="K231">
        <v>-76.82451</v>
      </c>
      <c r="L231">
        <f>HYPERLINK("https://www.google.com/maps/search/?api=1&amp;query=-12.317681,-76.82451","Punta Hermosa, Lima")</f>
      </c>
      <c r="M231">
        <v>1.1</v>
      </c>
      <c r="N231">
        <v>98</v>
      </c>
      <c r="O231">
        <v>93959.5</v>
      </c>
      <c r="P231" t="str">
        <v>1,939.78</v>
      </c>
      <c r="Q231" t="str">
        <v/>
      </c>
      <c r="R231" t="str">
        <v/>
      </c>
      <c r="S231" t="str">
        <v/>
      </c>
      <c r="T231" t="str">
        <v/>
      </c>
    </row>
    <row r="232">
      <c r="A232" t="str">
        <v>231</v>
      </c>
      <c r="B232" t="str">
        <v>MASS BSF</v>
      </c>
      <c r="C232" t="str">
        <v>F1W-796</v>
      </c>
      <c r="D232" t="str">
        <v/>
      </c>
      <c r="E232" t="str">
        <v>867162026876599</v>
      </c>
      <c r="F232" t="str">
        <v>TBD</v>
      </c>
      <c r="G232" t="str">
        <v/>
      </c>
      <c r="H232" t="str">
        <v>28/09/2026</v>
      </c>
      <c r="I232" t="str">
        <v>13:32:10</v>
      </c>
      <c r="J232">
        <v>-12.317718</v>
      </c>
      <c r="K232">
        <v>-76.82444</v>
      </c>
      <c r="L232">
        <f>HYPERLINK("https://www.google.com/maps/search/?api=1&amp;query=-12.317718,-76.82444","Punta Hermosa, Lima")</f>
      </c>
      <c r="M232">
        <v>1.6</v>
      </c>
      <c r="N232">
        <v>98</v>
      </c>
      <c r="O232">
        <v>93959.5</v>
      </c>
      <c r="P232" t="str">
        <v>1,939.78</v>
      </c>
      <c r="Q232" t="str">
        <v/>
      </c>
      <c r="R232" t="str">
        <v/>
      </c>
      <c r="S232" t="str">
        <v/>
      </c>
      <c r="T232" t="str">
        <v/>
      </c>
    </row>
    <row r="233">
      <c r="A233" t="str">
        <v>232</v>
      </c>
      <c r="B233" t="str">
        <v>MASS BSF</v>
      </c>
      <c r="C233" t="str">
        <v>F1W-796</v>
      </c>
      <c r="D233" t="str">
        <v/>
      </c>
      <c r="E233" t="str">
        <v>867162026876599</v>
      </c>
      <c r="F233" t="str">
        <v>TBD</v>
      </c>
      <c r="G233" t="str">
        <v/>
      </c>
      <c r="H233" t="str">
        <v>28/09/2026</v>
      </c>
      <c r="I233" t="str">
        <v>13:33:11</v>
      </c>
      <c r="J233">
        <v>-12.317718</v>
      </c>
      <c r="K233">
        <v>-76.82444</v>
      </c>
      <c r="L233">
        <f>HYPERLINK("https://www.google.com/maps/search/?api=1&amp;query=-12.317718,-76.82444","Punta Hermosa, Lima")</f>
      </c>
      <c r="M233">
        <v>0</v>
      </c>
      <c r="N233">
        <v>98</v>
      </c>
      <c r="O233">
        <v>93959.5</v>
      </c>
      <c r="P233" t="str">
        <v>1,939.78</v>
      </c>
      <c r="Q233" t="str">
        <v/>
      </c>
      <c r="R233" t="str">
        <v/>
      </c>
      <c r="S233" t="str">
        <v/>
      </c>
      <c r="T233" t="str">
        <v/>
      </c>
    </row>
    <row r="234">
      <c r="A234" t="str">
        <v>233</v>
      </c>
      <c r="B234" t="str">
        <v>MASS BSF</v>
      </c>
      <c r="C234" t="str">
        <v>F1W-796</v>
      </c>
      <c r="D234" t="str">
        <v/>
      </c>
      <c r="E234" t="str">
        <v>867162026876599</v>
      </c>
      <c r="F234" t="str">
        <v>TBD</v>
      </c>
      <c r="G234" t="str">
        <v/>
      </c>
      <c r="H234" t="str">
        <v>28/09/2026</v>
      </c>
      <c r="I234" t="str">
        <v>13:34:11</v>
      </c>
      <c r="J234">
        <v>-12.317718</v>
      </c>
      <c r="K234">
        <v>-76.82444</v>
      </c>
      <c r="L234">
        <f>HYPERLINK("https://www.google.com/maps/search/?api=1&amp;query=-12.317718,-76.82444","Punta Hermosa, Lima")</f>
      </c>
      <c r="M234">
        <v>0</v>
      </c>
      <c r="N234">
        <v>98</v>
      </c>
      <c r="O234">
        <v>93959.5</v>
      </c>
      <c r="P234" t="str">
        <v>1,939.78</v>
      </c>
      <c r="Q234" t="str">
        <v/>
      </c>
      <c r="R234" t="str">
        <v/>
      </c>
      <c r="S234" t="str">
        <v/>
      </c>
      <c r="T234" t="str">
        <v/>
      </c>
    </row>
    <row r="235">
      <c r="A235" t="str">
        <v>234</v>
      </c>
      <c r="B235" t="str">
        <v>MASS BSF</v>
      </c>
      <c r="C235" t="str">
        <v>F1W-796</v>
      </c>
      <c r="D235" t="str">
        <v/>
      </c>
      <c r="E235" t="str">
        <v>867162026876599</v>
      </c>
      <c r="F235" t="str">
        <v>TBD</v>
      </c>
      <c r="G235" t="str">
        <v/>
      </c>
      <c r="H235" t="str">
        <v>28/09/2026</v>
      </c>
      <c r="I235" t="str">
        <v>13:35:11</v>
      </c>
      <c r="J235">
        <v>-12.317809</v>
      </c>
      <c r="K235">
        <v>-76.82438</v>
      </c>
      <c r="L235">
        <f>HYPERLINK("https://www.google.com/maps/search/?api=1&amp;query=-12.317809,-76.82438","Punta Hermosa, Lima")</f>
      </c>
      <c r="M235">
        <v>0</v>
      </c>
      <c r="N235">
        <v>98</v>
      </c>
      <c r="O235">
        <v>93959.5</v>
      </c>
      <c r="P235" t="str">
        <v>1,939.78</v>
      </c>
      <c r="Q235" t="str">
        <v/>
      </c>
      <c r="R235" t="str">
        <v/>
      </c>
      <c r="S235" t="str">
        <v/>
      </c>
      <c r="T235" t="str">
        <v/>
      </c>
    </row>
    <row r="236">
      <c r="A236" t="str">
        <v>235</v>
      </c>
      <c r="B236" t="str">
        <v>MASS BSF</v>
      </c>
      <c r="C236" t="str">
        <v>F1W-796</v>
      </c>
      <c r="D236" t="str">
        <v/>
      </c>
      <c r="E236" t="str">
        <v>867162026876599</v>
      </c>
      <c r="F236" t="str">
        <v>TBD</v>
      </c>
      <c r="G236" t="str">
        <v/>
      </c>
      <c r="H236" t="str">
        <v>28/09/2026</v>
      </c>
      <c r="I236" t="str">
        <v>13:36:11</v>
      </c>
      <c r="J236">
        <v>-12.317809</v>
      </c>
      <c r="K236">
        <v>-76.82438</v>
      </c>
      <c r="L236">
        <f>HYPERLINK("https://www.google.com/maps/search/?api=1&amp;query=-12.317809,-76.82438","Punta Hermosa, Lima")</f>
      </c>
      <c r="M236">
        <v>0</v>
      </c>
      <c r="N236">
        <v>98</v>
      </c>
      <c r="O236">
        <v>93959.5</v>
      </c>
      <c r="P236" t="str">
        <v>1,939.78</v>
      </c>
      <c r="Q236" t="str">
        <v/>
      </c>
      <c r="R236" t="str">
        <v/>
      </c>
      <c r="S236" t="str">
        <v/>
      </c>
      <c r="T236" t="str">
        <v/>
      </c>
    </row>
    <row r="237">
      <c r="A237" t="str">
        <v>236</v>
      </c>
      <c r="B237" t="str">
        <v>MASS BSF</v>
      </c>
      <c r="C237" t="str">
        <v>F1W-796</v>
      </c>
      <c r="D237" t="str">
        <v/>
      </c>
      <c r="E237" t="str">
        <v>867162026876599</v>
      </c>
      <c r="F237" t="str">
        <v>TBD</v>
      </c>
      <c r="G237" t="str">
        <v/>
      </c>
      <c r="H237" t="str">
        <v>28/09/2026</v>
      </c>
      <c r="I237" t="str">
        <v>13:37:11</v>
      </c>
      <c r="J237">
        <v>-12.317809</v>
      </c>
      <c r="K237">
        <v>-76.82438</v>
      </c>
      <c r="L237">
        <f>HYPERLINK("https://www.google.com/maps/search/?api=1&amp;query=-12.317809,-76.82438","Punta Hermosa, Lima")</f>
      </c>
      <c r="M237">
        <v>0</v>
      </c>
      <c r="N237">
        <v>98</v>
      </c>
      <c r="O237">
        <v>93959.5</v>
      </c>
      <c r="P237" t="str">
        <v>1,939.78</v>
      </c>
      <c r="Q237" t="str">
        <v/>
      </c>
      <c r="R237" t="str">
        <v/>
      </c>
      <c r="S237" t="str">
        <v/>
      </c>
      <c r="T237" t="str">
        <v/>
      </c>
    </row>
    <row r="238">
      <c r="A238" t="str">
        <v>237</v>
      </c>
      <c r="B238" t="str">
        <v>MASS BSF</v>
      </c>
      <c r="C238" t="str">
        <v>F1W-796</v>
      </c>
      <c r="D238" t="str">
        <v/>
      </c>
      <c r="E238" t="str">
        <v>867162026876599</v>
      </c>
      <c r="F238" t="str">
        <v>TBD</v>
      </c>
      <c r="G238" t="str">
        <v/>
      </c>
      <c r="H238" t="str">
        <v>28/09/2026</v>
      </c>
      <c r="I238" t="str">
        <v>13:38:11</v>
      </c>
      <c r="J238">
        <v>-12.317809</v>
      </c>
      <c r="K238">
        <v>-76.82438</v>
      </c>
      <c r="L238">
        <f>HYPERLINK("https://www.google.com/maps/search/?api=1&amp;query=-12.317809,-76.82438","Punta Hermosa, Lima")</f>
      </c>
      <c r="M238">
        <v>0</v>
      </c>
      <c r="N238">
        <v>98</v>
      </c>
      <c r="O238">
        <v>93959.5</v>
      </c>
      <c r="P238" t="str">
        <v>1,939.45</v>
      </c>
      <c r="Q238" t="str">
        <v/>
      </c>
      <c r="R238" t="str">
        <v/>
      </c>
      <c r="S238" t="str">
        <v/>
      </c>
      <c r="T238" t="str">
        <v/>
      </c>
    </row>
    <row r="239">
      <c r="A239" t="str">
        <v>238</v>
      </c>
      <c r="B239" t="str">
        <v>MASS BSF</v>
      </c>
      <c r="C239" t="str">
        <v>F1W-796</v>
      </c>
      <c r="D239" t="str">
        <v/>
      </c>
      <c r="E239" t="str">
        <v>867162026876599</v>
      </c>
      <c r="F239" t="str">
        <v>TBD</v>
      </c>
      <c r="G239" t="str">
        <v/>
      </c>
      <c r="H239" t="str">
        <v>28/09/2026</v>
      </c>
      <c r="I239" t="str">
        <v>13:39:11</v>
      </c>
      <c r="J239">
        <v>-12.317809</v>
      </c>
      <c r="K239">
        <v>-76.82438</v>
      </c>
      <c r="L239">
        <f>HYPERLINK("https://www.google.com/maps/search/?api=1&amp;query=-12.317809,-76.82438","Punta Hermosa, Lima")</f>
      </c>
      <c r="M239">
        <v>0</v>
      </c>
      <c r="N239">
        <v>98</v>
      </c>
      <c r="O239">
        <v>93959.5</v>
      </c>
      <c r="P239" t="str">
        <v>1,939.45</v>
      </c>
      <c r="Q239" t="str">
        <v/>
      </c>
      <c r="R239" t="str">
        <v/>
      </c>
      <c r="S239" t="str">
        <v/>
      </c>
      <c r="T239" t="str">
        <v/>
      </c>
    </row>
    <row r="240">
      <c r="A240" t="str">
        <v>239</v>
      </c>
      <c r="B240" t="str">
        <v>MASS BSF</v>
      </c>
      <c r="C240" t="str">
        <v>F1W-796</v>
      </c>
      <c r="D240" t="str">
        <v/>
      </c>
      <c r="E240" t="str">
        <v>867162026876599</v>
      </c>
      <c r="F240" t="str">
        <v>TBD</v>
      </c>
      <c r="G240" t="str">
        <v/>
      </c>
      <c r="H240" t="str">
        <v>28/09/2026</v>
      </c>
      <c r="I240" t="str">
        <v>13:39:46</v>
      </c>
      <c r="J240">
        <v>-12.317809</v>
      </c>
      <c r="K240">
        <v>-76.82438</v>
      </c>
      <c r="L240">
        <f>HYPERLINK("https://www.google.com/maps/search/?api=1&amp;query=-12.317809,-76.82438","Punta Hermosa, Lima")</f>
      </c>
      <c r="M240">
        <v>0</v>
      </c>
      <c r="N240">
        <v>98</v>
      </c>
      <c r="O240">
        <v>93959.5</v>
      </c>
      <c r="P240" t="str">
        <v>1,939.60</v>
      </c>
      <c r="Q240" t="str">
        <v>Vehículo apagado</v>
      </c>
      <c r="R240" t="str">
        <v/>
      </c>
      <c r="S240" t="str">
        <v/>
      </c>
      <c r="T240" t="str">
        <v/>
      </c>
    </row>
    <row r="241">
      <c r="A241" t="str">
        <v>240</v>
      </c>
      <c r="B241" t="str">
        <v>MASS BSF</v>
      </c>
      <c r="C241" t="str">
        <v>F1W-796</v>
      </c>
      <c r="D241" t="str">
        <v/>
      </c>
      <c r="E241" t="str">
        <v>867162026876599</v>
      </c>
      <c r="F241" t="str">
        <v>TBD</v>
      </c>
      <c r="G241" t="str">
        <v/>
      </c>
      <c r="H241" t="str">
        <v>28/09/2026</v>
      </c>
      <c r="I241" t="str">
        <v>13:39:49</v>
      </c>
      <c r="J241">
        <v>-12.317809</v>
      </c>
      <c r="K241">
        <v>-76.82438</v>
      </c>
      <c r="L241">
        <f>HYPERLINK("https://www.google.com/maps/search/?api=1&amp;query=-12.317809,-76.82438","Punta Hermosa, Lima")</f>
      </c>
      <c r="M241">
        <v>0</v>
      </c>
      <c r="N241">
        <v>98</v>
      </c>
      <c r="O241">
        <v>93959.5</v>
      </c>
      <c r="P241" t="str">
        <v>1,939.45</v>
      </c>
      <c r="Q241" t="str">
        <v/>
      </c>
      <c r="R241" t="str">
        <v/>
      </c>
      <c r="S241" t="str">
        <v/>
      </c>
      <c r="T241" t="str">
        <v/>
      </c>
    </row>
    <row r="242">
      <c r="A242" t="str">
        <v>241</v>
      </c>
      <c r="B242" t="str">
        <v>MASS BSF</v>
      </c>
      <c r="C242" t="str">
        <v>F1W-796</v>
      </c>
      <c r="D242" t="str">
        <v/>
      </c>
      <c r="E242" t="str">
        <v>867162026876599</v>
      </c>
      <c r="F242" t="str">
        <v>TBD</v>
      </c>
      <c r="G242" t="str">
        <v/>
      </c>
      <c r="H242" t="str">
        <v>28/09/2026</v>
      </c>
      <c r="I242" t="str">
        <v>13:59:27</v>
      </c>
      <c r="J242">
        <v>-12.317809</v>
      </c>
      <c r="K242">
        <v>-76.82438</v>
      </c>
      <c r="L242">
        <f>HYPERLINK("https://www.google.com/maps/search/?api=1&amp;query=-12.317809,-76.82438","Punta Hermosa, Lima")</f>
      </c>
      <c r="M242">
        <v>0</v>
      </c>
      <c r="N242">
        <v>98</v>
      </c>
      <c r="O242">
        <v>93959.6</v>
      </c>
      <c r="P242" t="str">
        <v>1,939.60</v>
      </c>
      <c r="Q242" t="str">
        <v>Vehículo encendido</v>
      </c>
      <c r="R242" t="str">
        <v/>
      </c>
      <c r="S242" t="str">
        <v/>
      </c>
      <c r="T242" t="str">
        <v/>
      </c>
    </row>
    <row r="243">
      <c r="A243" t="str">
        <v>242</v>
      </c>
      <c r="B243" t="str">
        <v>MASS BSF</v>
      </c>
      <c r="C243" t="str">
        <v>F1W-796</v>
      </c>
      <c r="D243" t="str">
        <v/>
      </c>
      <c r="E243" t="str">
        <v>867162026876599</v>
      </c>
      <c r="F243" t="str">
        <v>TBD</v>
      </c>
      <c r="G243" t="str">
        <v/>
      </c>
      <c r="H243" t="str">
        <v>28/09/2026</v>
      </c>
      <c r="I243" t="str">
        <v>13:59:34</v>
      </c>
      <c r="J243">
        <v>-12.317896</v>
      </c>
      <c r="K243">
        <v>-76.82419</v>
      </c>
      <c r="L243">
        <f>HYPERLINK("https://www.google.com/maps/search/?api=1&amp;query=-12.317896,-76.82419","Punta Hermosa, Lima")</f>
      </c>
      <c r="M243">
        <v>0.5</v>
      </c>
      <c r="N243">
        <v>98</v>
      </c>
      <c r="O243">
        <v>93959.6</v>
      </c>
      <c r="P243" t="str">
        <v>1,939.60</v>
      </c>
      <c r="Q243" t="str">
        <v/>
      </c>
      <c r="R243" t="str">
        <v/>
      </c>
      <c r="S243" t="str">
        <v/>
      </c>
      <c r="T243" t="str">
        <v/>
      </c>
    </row>
    <row r="244">
      <c r="A244" t="str">
        <v>243</v>
      </c>
      <c r="B244" t="str">
        <v>MASS BSF</v>
      </c>
      <c r="C244" t="str">
        <v>F1W-796</v>
      </c>
      <c r="D244" t="str">
        <v/>
      </c>
      <c r="E244" t="str">
        <v>867162026876599</v>
      </c>
      <c r="F244" t="str">
        <v>TBD</v>
      </c>
      <c r="G244" t="str">
        <v/>
      </c>
      <c r="H244" t="str">
        <v>28/09/2026</v>
      </c>
      <c r="I244" t="str">
        <v>14:00:34</v>
      </c>
      <c r="J244">
        <v>-12.317907</v>
      </c>
      <c r="K244">
        <v>-76.82419</v>
      </c>
      <c r="L244">
        <f>HYPERLINK("https://www.google.com/maps/search/?api=1&amp;query=-12.317907,-76.82419","Punta Hermosa, Lima")</f>
      </c>
      <c r="M244">
        <v>0</v>
      </c>
      <c r="N244">
        <v>98</v>
      </c>
      <c r="O244">
        <v>93959.6</v>
      </c>
      <c r="P244" t="str">
        <v>1,939.60</v>
      </c>
      <c r="Q244" t="str">
        <v/>
      </c>
      <c r="R244" t="str">
        <v/>
      </c>
      <c r="S244" t="str">
        <v/>
      </c>
      <c r="T244" t="str">
        <v/>
      </c>
    </row>
    <row r="245">
      <c r="A245" t="str">
        <v>244</v>
      </c>
      <c r="B245" t="str">
        <v>MASS BSF</v>
      </c>
      <c r="C245" t="str">
        <v>F1W-796</v>
      </c>
      <c r="D245" t="str">
        <v/>
      </c>
      <c r="E245" t="str">
        <v>867162026876599</v>
      </c>
      <c r="F245" t="str">
        <v>TBD</v>
      </c>
      <c r="G245" t="str">
        <v/>
      </c>
      <c r="H245" t="str">
        <v>28/09/2026</v>
      </c>
      <c r="I245" t="str">
        <v>14:01:34</v>
      </c>
      <c r="J245">
        <v>-12.317907</v>
      </c>
      <c r="K245">
        <v>-76.82419</v>
      </c>
      <c r="L245">
        <f>HYPERLINK("https://www.google.com/maps/search/?api=1&amp;query=-12.317907,-76.82419","Punta Hermosa, Lima")</f>
      </c>
      <c r="M245">
        <v>0</v>
      </c>
      <c r="N245">
        <v>98</v>
      </c>
      <c r="O245">
        <v>93959.6</v>
      </c>
      <c r="P245" t="str">
        <v>1,939.60</v>
      </c>
      <c r="Q245" t="str">
        <v/>
      </c>
      <c r="R245" t="str">
        <v/>
      </c>
      <c r="S245" t="str">
        <v/>
      </c>
      <c r="T245" t="str">
        <v/>
      </c>
    </row>
    <row r="246">
      <c r="A246" t="str">
        <v>245</v>
      </c>
      <c r="B246" t="str">
        <v>MASS BSF</v>
      </c>
      <c r="C246" t="str">
        <v>F1W-796</v>
      </c>
      <c r="D246" t="str">
        <v/>
      </c>
      <c r="E246" t="str">
        <v>867162026876599</v>
      </c>
      <c r="F246" t="str">
        <v>TBD</v>
      </c>
      <c r="G246" t="str">
        <v/>
      </c>
      <c r="H246" t="str">
        <v>28/09/2026</v>
      </c>
      <c r="I246" t="str">
        <v>14:02:34</v>
      </c>
      <c r="J246">
        <v>-12.317907</v>
      </c>
      <c r="K246">
        <v>-76.82419</v>
      </c>
      <c r="L246">
        <f>HYPERLINK("https://www.google.com/maps/search/?api=1&amp;query=-12.317907,-76.82419","Punta Hermosa, Lima")</f>
      </c>
      <c r="M246">
        <v>0</v>
      </c>
      <c r="N246">
        <v>98</v>
      </c>
      <c r="O246">
        <v>93959.6</v>
      </c>
      <c r="P246" t="str">
        <v>1,939.60</v>
      </c>
      <c r="Q246" t="str">
        <v/>
      </c>
      <c r="R246" t="str">
        <v/>
      </c>
      <c r="S246" t="str">
        <v/>
      </c>
      <c r="T246" t="str">
        <v/>
      </c>
    </row>
    <row r="247">
      <c r="A247" t="str">
        <v>246</v>
      </c>
      <c r="B247" t="str">
        <v>MASS BSF</v>
      </c>
      <c r="C247" t="str">
        <v>F1W-796</v>
      </c>
      <c r="D247" t="str">
        <v/>
      </c>
      <c r="E247" t="str">
        <v>867162026876599</v>
      </c>
      <c r="F247" t="str">
        <v>TBD</v>
      </c>
      <c r="G247" t="str">
        <v/>
      </c>
      <c r="H247" t="str">
        <v>28/09/2026</v>
      </c>
      <c r="I247" t="str">
        <v>14:02:45</v>
      </c>
      <c r="J247">
        <v>-12.317907</v>
      </c>
      <c r="K247">
        <v>-76.82419</v>
      </c>
      <c r="L247">
        <f>HYPERLINK("https://www.google.com/maps/search/?api=1&amp;query=-12.317907,-76.82419","Punta Hermosa, Lima")</f>
      </c>
      <c r="M247">
        <v>0</v>
      </c>
      <c r="N247">
        <v>98</v>
      </c>
      <c r="O247">
        <v>93959.6</v>
      </c>
      <c r="P247" t="str">
        <v>1,939.65</v>
      </c>
      <c r="Q247" t="str">
        <v>Vehículo apagado</v>
      </c>
      <c r="R247" t="str">
        <v/>
      </c>
      <c r="S247" t="str">
        <v/>
      </c>
      <c r="T247" t="str">
        <v/>
      </c>
    </row>
    <row r="248">
      <c r="A248" t="str">
        <v>247</v>
      </c>
      <c r="B248" t="str">
        <v>MASS BSF</v>
      </c>
      <c r="C248" t="str">
        <v>F1W-796</v>
      </c>
      <c r="D248" t="str">
        <v/>
      </c>
      <c r="E248" t="str">
        <v>867162026876599</v>
      </c>
      <c r="F248" t="str">
        <v>TBD</v>
      </c>
      <c r="G248" t="str">
        <v/>
      </c>
      <c r="H248" t="str">
        <v>28/09/2026</v>
      </c>
      <c r="I248" t="str">
        <v>14:02:49</v>
      </c>
      <c r="J248">
        <v>-12.317907</v>
      </c>
      <c r="K248">
        <v>-76.82419</v>
      </c>
      <c r="L248">
        <f>HYPERLINK("https://www.google.com/maps/search/?api=1&amp;query=-12.317907,-76.82419","Punta Hermosa, Lima")</f>
      </c>
      <c r="M248">
        <v>0</v>
      </c>
      <c r="N248">
        <v>98</v>
      </c>
      <c r="O248">
        <v>93959.6</v>
      </c>
      <c r="P248" t="str">
        <v>1,939.65</v>
      </c>
      <c r="Q248" t="str">
        <v/>
      </c>
      <c r="R248" t="str">
        <v/>
      </c>
      <c r="S248" t="str">
        <v/>
      </c>
      <c r="T248" t="str">
        <v/>
      </c>
    </row>
    <row r="249">
      <c r="A249" t="str">
        <v>248</v>
      </c>
      <c r="B249" t="str">
        <v>MASS BSF</v>
      </c>
      <c r="C249" t="str">
        <v>F1W-796</v>
      </c>
      <c r="D249" t="str">
        <v/>
      </c>
      <c r="E249" t="str">
        <v>867162026876599</v>
      </c>
      <c r="F249" t="str">
        <v>TBD</v>
      </c>
      <c r="G249" t="str">
        <v/>
      </c>
      <c r="H249" t="str">
        <v>28/09/2026</v>
      </c>
      <c r="I249" t="str">
        <v>14:04:21</v>
      </c>
      <c r="J249">
        <v>-12.31793</v>
      </c>
      <c r="K249">
        <v>-76.82414</v>
      </c>
      <c r="L249">
        <f>HYPERLINK("https://www.google.com/maps/search/?api=1&amp;query=-12.31793,-76.82414","Punta Hermosa, Lima")</f>
      </c>
      <c r="M249">
        <v>0</v>
      </c>
      <c r="N249">
        <v>98</v>
      </c>
      <c r="O249">
        <v>93959.6</v>
      </c>
      <c r="P249" t="str">
        <v>1,939.65</v>
      </c>
      <c r="Q249" t="str">
        <v>Vehículo encendido</v>
      </c>
      <c r="R249" t="str">
        <v/>
      </c>
      <c r="S249" t="str">
        <v/>
      </c>
      <c r="T249" t="str">
        <v/>
      </c>
    </row>
    <row r="250">
      <c r="A250" t="str">
        <v>249</v>
      </c>
      <c r="B250" t="str">
        <v>MASS BSF</v>
      </c>
      <c r="C250" t="str">
        <v>F1W-796</v>
      </c>
      <c r="D250" t="str">
        <v/>
      </c>
      <c r="E250" t="str">
        <v>867162026876599</v>
      </c>
      <c r="F250" t="str">
        <v>TBD</v>
      </c>
      <c r="G250" t="str">
        <v/>
      </c>
      <c r="H250" t="str">
        <v>28/09/2026</v>
      </c>
      <c r="I250" t="str">
        <v>14:04:26</v>
      </c>
      <c r="J250">
        <v>-12.31793</v>
      </c>
      <c r="K250">
        <v>-76.82414</v>
      </c>
      <c r="L250">
        <f>HYPERLINK("https://www.google.com/maps/search/?api=1&amp;query=-12.31793,-76.82414","Punta Hermosa, Lima")</f>
      </c>
      <c r="M250">
        <v>0</v>
      </c>
      <c r="N250">
        <v>98</v>
      </c>
      <c r="O250">
        <v>93959.6</v>
      </c>
      <c r="P250" t="str">
        <v>1,939.65</v>
      </c>
      <c r="Q250" t="str">
        <v/>
      </c>
      <c r="R250" t="str">
        <v/>
      </c>
      <c r="S250" t="str">
        <v/>
      </c>
      <c r="T250" t="str">
        <v/>
      </c>
    </row>
    <row r="251">
      <c r="A251" t="str">
        <v>250</v>
      </c>
      <c r="B251" t="str">
        <v>MASS BSF</v>
      </c>
      <c r="C251" t="str">
        <v>F1W-796</v>
      </c>
      <c r="D251" t="str">
        <v/>
      </c>
      <c r="E251" t="str">
        <v>867162026876599</v>
      </c>
      <c r="F251" t="str">
        <v>TBD</v>
      </c>
      <c r="G251" t="str">
        <v/>
      </c>
      <c r="H251" t="str">
        <v>28/09/2026</v>
      </c>
      <c r="I251" t="str">
        <v>14:05:24</v>
      </c>
      <c r="J251">
        <v>-12.31793</v>
      </c>
      <c r="K251">
        <v>-76.82414</v>
      </c>
      <c r="L251">
        <f>HYPERLINK("https://www.google.com/maps/search/?api=1&amp;query=-12.31793,-76.82414","Punta Hermosa, Lima")</f>
      </c>
      <c r="M251">
        <v>0</v>
      </c>
      <c r="N251">
        <v>98</v>
      </c>
      <c r="O251">
        <v>93959.6</v>
      </c>
      <c r="P251" t="str">
        <v>1,939.65</v>
      </c>
      <c r="Q251" t="str">
        <v/>
      </c>
      <c r="R251" t="str">
        <v/>
      </c>
      <c r="S251" t="str">
        <v/>
      </c>
      <c r="T251" t="str">
        <v/>
      </c>
    </row>
    <row r="252">
      <c r="A252" t="str">
        <v>251</v>
      </c>
      <c r="B252" t="str">
        <v>MASS BSF</v>
      </c>
      <c r="C252" t="str">
        <v>F1W-796</v>
      </c>
      <c r="D252" t="str">
        <v/>
      </c>
      <c r="E252" t="str">
        <v>867162026876599</v>
      </c>
      <c r="F252" t="str">
        <v>TBD</v>
      </c>
      <c r="G252" t="str">
        <v/>
      </c>
      <c r="H252" t="str">
        <v>28/09/2026</v>
      </c>
      <c r="I252" t="str">
        <v>14:06:24</v>
      </c>
      <c r="J252">
        <v>-12.31793</v>
      </c>
      <c r="K252">
        <v>-76.82414</v>
      </c>
      <c r="L252">
        <f>HYPERLINK("https://www.google.com/maps/search/?api=1&amp;query=-12.31793,-76.82414","Punta Hermosa, Lima")</f>
      </c>
      <c r="M252">
        <v>0</v>
      </c>
      <c r="N252">
        <v>98</v>
      </c>
      <c r="O252">
        <v>93959.6</v>
      </c>
      <c r="P252" t="str">
        <v>1,939.65</v>
      </c>
      <c r="Q252" t="str">
        <v/>
      </c>
      <c r="R252" t="str">
        <v/>
      </c>
      <c r="S252" t="str">
        <v/>
      </c>
      <c r="T252" t="str">
        <v/>
      </c>
    </row>
    <row r="253">
      <c r="A253" t="str">
        <v>252</v>
      </c>
      <c r="B253" t="str">
        <v>MASS BSF</v>
      </c>
      <c r="C253" t="str">
        <v>F1W-796</v>
      </c>
      <c r="D253" t="str">
        <v/>
      </c>
      <c r="E253" t="str">
        <v>867162026876599</v>
      </c>
      <c r="F253" t="str">
        <v>TBD</v>
      </c>
      <c r="G253" t="str">
        <v/>
      </c>
      <c r="H253" t="str">
        <v>28/09/2026</v>
      </c>
      <c r="I253" t="str">
        <v>14:07:24</v>
      </c>
      <c r="J253">
        <v>-12.31793</v>
      </c>
      <c r="K253">
        <v>-76.82414</v>
      </c>
      <c r="L253">
        <f>HYPERLINK("https://www.google.com/maps/search/?api=1&amp;query=-12.31793,-76.82414","Punta Hermosa, Lima")</f>
      </c>
      <c r="M253">
        <v>0</v>
      </c>
      <c r="N253">
        <v>98</v>
      </c>
      <c r="O253">
        <v>93959.6</v>
      </c>
      <c r="P253" t="str">
        <v>1,939.65</v>
      </c>
      <c r="Q253" t="str">
        <v/>
      </c>
      <c r="R253" t="str">
        <v/>
      </c>
      <c r="S253" t="str">
        <v/>
      </c>
      <c r="T253" t="str">
        <v/>
      </c>
    </row>
    <row r="254">
      <c r="A254" t="str">
        <v>253</v>
      </c>
      <c r="B254" t="str">
        <v>MASS BSF</v>
      </c>
      <c r="C254" t="str">
        <v>F1W-796</v>
      </c>
      <c r="D254" t="str">
        <v/>
      </c>
      <c r="E254" t="str">
        <v>867162026876599</v>
      </c>
      <c r="F254" t="str">
        <v>TBD</v>
      </c>
      <c r="G254" t="str">
        <v/>
      </c>
      <c r="H254" t="str">
        <v>28/09/2026</v>
      </c>
      <c r="I254" t="str">
        <v>14:08:24</v>
      </c>
      <c r="J254">
        <v>-12.31793</v>
      </c>
      <c r="K254">
        <v>-76.82414</v>
      </c>
      <c r="L254">
        <f>HYPERLINK("https://www.google.com/maps/search/?api=1&amp;query=-12.31793,-76.82414","Punta Hermosa, Lima")</f>
      </c>
      <c r="M254">
        <v>0</v>
      </c>
      <c r="N254">
        <v>98</v>
      </c>
      <c r="O254">
        <v>93959.6</v>
      </c>
      <c r="P254" t="str">
        <v>1,939.65</v>
      </c>
      <c r="Q254" t="str">
        <v/>
      </c>
      <c r="R254" t="str">
        <v/>
      </c>
      <c r="S254" t="str">
        <v/>
      </c>
      <c r="T254" t="str">
        <v/>
      </c>
    </row>
    <row r="255">
      <c r="A255" t="str">
        <v>254</v>
      </c>
      <c r="B255" t="str">
        <v>MASS BSF</v>
      </c>
      <c r="C255" t="str">
        <v>F1W-796</v>
      </c>
      <c r="D255" t="str">
        <v/>
      </c>
      <c r="E255" t="str">
        <v>867162026876599</v>
      </c>
      <c r="F255" t="str">
        <v>TBD</v>
      </c>
      <c r="G255" t="str">
        <v/>
      </c>
      <c r="H255" t="str">
        <v>28/09/2026</v>
      </c>
      <c r="I255" t="str">
        <v>14:09:14</v>
      </c>
      <c r="J255">
        <v>-12.31793</v>
      </c>
      <c r="K255">
        <v>-76.82414</v>
      </c>
      <c r="L255">
        <f>HYPERLINK("https://www.google.com/maps/search/?api=1&amp;query=-12.31793,-76.82414","Punta Hermosa, Lima")</f>
      </c>
      <c r="M255">
        <v>0</v>
      </c>
      <c r="N255">
        <v>98</v>
      </c>
      <c r="O255">
        <v>93959.6</v>
      </c>
      <c r="P255" t="str">
        <v>1,939.73</v>
      </c>
      <c r="Q255" t="str">
        <v>Vehículo apagado</v>
      </c>
      <c r="R255" t="str">
        <v/>
      </c>
      <c r="S255" t="str">
        <v/>
      </c>
      <c r="T255" t="str">
        <v/>
      </c>
    </row>
    <row r="256">
      <c r="A256" t="str">
        <v>255</v>
      </c>
      <c r="B256" t="str">
        <v>MASS BSF</v>
      </c>
      <c r="C256" t="str">
        <v>F1W-796</v>
      </c>
      <c r="D256" t="str">
        <v/>
      </c>
      <c r="E256" t="str">
        <v>867162026876599</v>
      </c>
      <c r="F256" t="str">
        <v>TBD</v>
      </c>
      <c r="G256" t="str">
        <v/>
      </c>
      <c r="H256" t="str">
        <v>28/09/2026</v>
      </c>
      <c r="I256" t="str">
        <v>14:09:17</v>
      </c>
      <c r="J256">
        <v>-12.31793</v>
      </c>
      <c r="K256">
        <v>-76.82414</v>
      </c>
      <c r="L256">
        <f>HYPERLINK("https://www.google.com/maps/search/?api=1&amp;query=-12.31793,-76.82414","Punta Hermosa, Lima")</f>
      </c>
      <c r="M256">
        <v>0</v>
      </c>
      <c r="N256">
        <v>98</v>
      </c>
      <c r="O256">
        <v>93959.6</v>
      </c>
      <c r="P256" t="str">
        <v>1,939.65</v>
      </c>
      <c r="Q256" t="str">
        <v/>
      </c>
      <c r="R256" t="str">
        <v/>
      </c>
      <c r="S256" t="str">
        <v/>
      </c>
      <c r="T256" t="str">
        <v/>
      </c>
    </row>
    <row r="257">
      <c r="A257" t="str">
        <v>256</v>
      </c>
      <c r="B257" t="str">
        <v>MASS BSF</v>
      </c>
      <c r="C257" t="str">
        <v>F1W-796</v>
      </c>
      <c r="D257" t="str">
        <v/>
      </c>
      <c r="E257" t="str">
        <v>867162026876599</v>
      </c>
      <c r="F257" t="str">
        <v>TBD</v>
      </c>
      <c r="G257" t="str">
        <v/>
      </c>
      <c r="H257" t="str">
        <v>28/09/2026</v>
      </c>
      <c r="I257" t="str">
        <v>14:13:17</v>
      </c>
      <c r="J257">
        <v>-12.31793</v>
      </c>
      <c r="K257">
        <v>-76.82414</v>
      </c>
      <c r="L257">
        <f>HYPERLINK("https://www.google.com/maps/search/?api=1&amp;query=-12.31793,-76.82414","Punta Hermosa, Lima")</f>
      </c>
      <c r="M257">
        <v>0</v>
      </c>
      <c r="N257">
        <v>98</v>
      </c>
      <c r="O257">
        <v>93959.6</v>
      </c>
      <c r="P257" t="str">
        <v>1,939.73</v>
      </c>
      <c r="Q257" t="str">
        <v>Vehículo encendido</v>
      </c>
      <c r="R257" t="str">
        <v/>
      </c>
      <c r="S257" t="str">
        <v/>
      </c>
      <c r="T257" t="str">
        <v/>
      </c>
    </row>
    <row r="258">
      <c r="A258" t="str">
        <v>257</v>
      </c>
      <c r="B258" t="str">
        <v>MASS BSF</v>
      </c>
      <c r="C258" t="str">
        <v>F1W-796</v>
      </c>
      <c r="D258" t="str">
        <v/>
      </c>
      <c r="E258" t="str">
        <v>867162026876599</v>
      </c>
      <c r="F258" t="str">
        <v>TBD</v>
      </c>
      <c r="G258" t="str">
        <v/>
      </c>
      <c r="H258" t="str">
        <v>28/09/2026</v>
      </c>
      <c r="I258" t="str">
        <v>14:13:21</v>
      </c>
      <c r="J258">
        <v>-12.317942</v>
      </c>
      <c r="K258">
        <v>-76.824265</v>
      </c>
      <c r="L258">
        <f>HYPERLINK("https://www.google.com/maps/search/?api=1&amp;query=-12.317942,-76.824265","Punta Hermosa, Lima")</f>
      </c>
      <c r="M258">
        <v>0.2</v>
      </c>
      <c r="N258">
        <v>98</v>
      </c>
      <c r="O258">
        <v>93959.6</v>
      </c>
      <c r="P258" t="str">
        <v>1,939.73</v>
      </c>
      <c r="Q258" t="str">
        <v/>
      </c>
      <c r="R258" t="str">
        <v/>
      </c>
      <c r="S258" t="str">
        <v/>
      </c>
      <c r="T258" t="str">
        <v/>
      </c>
    </row>
    <row r="259">
      <c r="A259" t="str">
        <v>258</v>
      </c>
      <c r="B259" t="str">
        <v>MASS BSF</v>
      </c>
      <c r="C259" t="str">
        <v>F1W-796</v>
      </c>
      <c r="D259" t="str">
        <v/>
      </c>
      <c r="E259" t="str">
        <v>867162026876599</v>
      </c>
      <c r="F259" t="str">
        <v>TBD</v>
      </c>
      <c r="G259" t="str">
        <v/>
      </c>
      <c r="H259" t="str">
        <v>28/09/2026</v>
      </c>
      <c r="I259" t="str">
        <v>14:14:20</v>
      </c>
      <c r="J259">
        <v>-12.317951</v>
      </c>
      <c r="K259">
        <v>-76.82427</v>
      </c>
      <c r="L259">
        <f>HYPERLINK("https://www.google.com/maps/search/?api=1&amp;query=-12.317951,-76.82427","Punta Hermosa, Lima")</f>
      </c>
      <c r="M259">
        <v>0</v>
      </c>
      <c r="N259">
        <v>98</v>
      </c>
      <c r="O259">
        <v>93959.6</v>
      </c>
      <c r="P259" t="str">
        <v>1,939.73</v>
      </c>
      <c r="Q259" t="str">
        <v/>
      </c>
      <c r="R259" t="str">
        <v/>
      </c>
      <c r="S259" t="str">
        <v/>
      </c>
      <c r="T259" t="str">
        <v/>
      </c>
    </row>
    <row r="260">
      <c r="A260" t="str">
        <v>259</v>
      </c>
      <c r="B260" t="str">
        <v>MASS BSF</v>
      </c>
      <c r="C260" t="str">
        <v>F1W-796</v>
      </c>
      <c r="D260" t="str">
        <v/>
      </c>
      <c r="E260" t="str">
        <v>867162026876599</v>
      </c>
      <c r="F260" t="str">
        <v>TBD</v>
      </c>
      <c r="G260" t="str">
        <v/>
      </c>
      <c r="H260" t="str">
        <v>28/09/2026</v>
      </c>
      <c r="I260" t="str">
        <v>14:15:20</v>
      </c>
      <c r="J260">
        <v>-12.317951</v>
      </c>
      <c r="K260">
        <v>-76.82427</v>
      </c>
      <c r="L260">
        <f>HYPERLINK("https://www.google.com/maps/search/?api=1&amp;query=-12.317951,-76.82427","Punta Hermosa, Lima")</f>
      </c>
      <c r="M260">
        <v>0</v>
      </c>
      <c r="N260">
        <v>98</v>
      </c>
      <c r="O260">
        <v>93959.6</v>
      </c>
      <c r="P260" t="str">
        <v>1,939.73</v>
      </c>
      <c r="Q260" t="str">
        <v/>
      </c>
      <c r="R260" t="str">
        <v/>
      </c>
      <c r="S260" t="str">
        <v/>
      </c>
      <c r="T260" t="str">
        <v/>
      </c>
    </row>
    <row r="261">
      <c r="A261" t="str">
        <v>260</v>
      </c>
      <c r="B261" t="str">
        <v>MASS BSF</v>
      </c>
      <c r="C261" t="str">
        <v>F1W-796</v>
      </c>
      <c r="D261" t="str">
        <v/>
      </c>
      <c r="E261" t="str">
        <v>867162026876599</v>
      </c>
      <c r="F261" t="str">
        <v>TBD</v>
      </c>
      <c r="G261" t="str">
        <v/>
      </c>
      <c r="H261" t="str">
        <v>28/09/2026</v>
      </c>
      <c r="I261" t="str">
        <v>14:16:19</v>
      </c>
      <c r="J261">
        <v>-12.317951</v>
      </c>
      <c r="K261">
        <v>-76.82427</v>
      </c>
      <c r="L261">
        <f>HYPERLINK("https://www.google.com/maps/search/?api=1&amp;query=-12.317951,-76.82427","Punta Hermosa, Lima")</f>
      </c>
      <c r="M261">
        <v>0</v>
      </c>
      <c r="N261">
        <v>98</v>
      </c>
      <c r="O261">
        <v>93959.6</v>
      </c>
      <c r="P261" t="str">
        <v>1,939.78</v>
      </c>
      <c r="Q261" t="str">
        <v>Vehículo apagado</v>
      </c>
      <c r="R261" t="str">
        <v/>
      </c>
      <c r="S261" t="str">
        <v/>
      </c>
      <c r="T261" t="str">
        <v/>
      </c>
    </row>
    <row r="262">
      <c r="A262" t="str">
        <v>261</v>
      </c>
      <c r="B262" t="str">
        <v>MASS BSF</v>
      </c>
      <c r="C262" t="str">
        <v>F1W-796</v>
      </c>
      <c r="D262" t="str">
        <v/>
      </c>
      <c r="E262" t="str">
        <v>867162026876599</v>
      </c>
      <c r="F262" t="str">
        <v>TBD</v>
      </c>
      <c r="G262" t="str">
        <v/>
      </c>
      <c r="H262" t="str">
        <v>28/09/2026</v>
      </c>
      <c r="I262" t="str">
        <v>14:16:24</v>
      </c>
      <c r="J262">
        <v>-12.317951</v>
      </c>
      <c r="K262">
        <v>-76.82427</v>
      </c>
      <c r="L262">
        <f>HYPERLINK("https://www.google.com/maps/search/?api=1&amp;query=-12.317951,-76.82427","Punta Hermosa, Lima")</f>
      </c>
      <c r="M262">
        <v>0</v>
      </c>
      <c r="N262">
        <v>98</v>
      </c>
      <c r="O262">
        <v>93959.6</v>
      </c>
      <c r="P262" t="str">
        <v>1,939.73</v>
      </c>
      <c r="Q262" t="str">
        <v/>
      </c>
      <c r="R262" t="str">
        <v/>
      </c>
      <c r="S262" t="str">
        <v/>
      </c>
      <c r="T262" t="str">
        <v/>
      </c>
    </row>
    <row r="263">
      <c r="A263" t="str">
        <v>262</v>
      </c>
      <c r="B263" t="str">
        <v>MASS BSF</v>
      </c>
      <c r="C263" t="str">
        <v>F1W-796</v>
      </c>
      <c r="D263" t="str">
        <v/>
      </c>
      <c r="E263" t="str">
        <v>867162026876599</v>
      </c>
      <c r="F263" t="str">
        <v>TBD</v>
      </c>
      <c r="G263" t="str">
        <v/>
      </c>
      <c r="H263" t="str">
        <v>28/09/2026</v>
      </c>
      <c r="I263" t="str">
        <v>14:18:26</v>
      </c>
      <c r="J263">
        <v>-12.317951</v>
      </c>
      <c r="K263">
        <v>-76.82427</v>
      </c>
      <c r="L263">
        <f>HYPERLINK("https://www.google.com/maps/search/?api=1&amp;query=-12.317951,-76.82427","Punta Hermosa, Lima")</f>
      </c>
      <c r="M263">
        <v>0</v>
      </c>
      <c r="N263">
        <v>98</v>
      </c>
      <c r="O263">
        <v>93959.6</v>
      </c>
      <c r="P263" t="str">
        <v>1,939.78</v>
      </c>
      <c r="Q263" t="str">
        <v>Vehículo encendido</v>
      </c>
      <c r="R263" t="str">
        <v/>
      </c>
      <c r="S263" t="str">
        <v/>
      </c>
      <c r="T263" t="str">
        <v/>
      </c>
    </row>
    <row r="264">
      <c r="A264" t="str">
        <v>263</v>
      </c>
      <c r="B264" t="str">
        <v>MASS BSF</v>
      </c>
      <c r="C264" t="str">
        <v>F1W-796</v>
      </c>
      <c r="D264" t="str">
        <v/>
      </c>
      <c r="E264" t="str">
        <v>867162026876599</v>
      </c>
      <c r="F264" t="str">
        <v>TBD</v>
      </c>
      <c r="G264" t="str">
        <v/>
      </c>
      <c r="H264" t="str">
        <v>28/09/2026</v>
      </c>
      <c r="I264" t="str">
        <v>14:18:31</v>
      </c>
      <c r="J264">
        <v>-12.317904</v>
      </c>
      <c r="K264">
        <v>-76.82412</v>
      </c>
      <c r="L264">
        <f>HYPERLINK("https://www.google.com/maps/search/?api=1&amp;query=-12.317904,-76.82412","Punta Hermosa, Lima")</f>
      </c>
      <c r="M264">
        <v>0.2</v>
      </c>
      <c r="N264">
        <v>98</v>
      </c>
      <c r="O264">
        <v>93959.6</v>
      </c>
      <c r="P264" t="str">
        <v>1,939.78</v>
      </c>
      <c r="Q264" t="str">
        <v/>
      </c>
      <c r="R264" t="str">
        <v/>
      </c>
      <c r="S264" t="str">
        <v/>
      </c>
      <c r="T264" t="str">
        <v/>
      </c>
    </row>
    <row r="265">
      <c r="A265" t="str">
        <v>264</v>
      </c>
      <c r="B265" t="str">
        <v>MASS BSF</v>
      </c>
      <c r="C265" t="str">
        <v>F1W-796</v>
      </c>
      <c r="D265" t="str">
        <v/>
      </c>
      <c r="E265" t="str">
        <v>867162026876599</v>
      </c>
      <c r="F265" t="str">
        <v>TBD</v>
      </c>
      <c r="G265" t="str">
        <v/>
      </c>
      <c r="H265" t="str">
        <v>28/09/2026</v>
      </c>
      <c r="I265" t="str">
        <v>14:19:02</v>
      </c>
      <c r="J265">
        <v>-12.317607</v>
      </c>
      <c r="K265">
        <v>-76.82445</v>
      </c>
      <c r="L265">
        <f>HYPERLINK("https://www.google.com/maps/search/?api=1&amp;query=-12.317607,-76.82445","Punta Hermosa, Lima")</f>
      </c>
      <c r="M265">
        <v>12.7</v>
      </c>
      <c r="N265">
        <v>98</v>
      </c>
      <c r="O265">
        <v>93959.6</v>
      </c>
      <c r="P265" t="str">
        <v>1,939.78</v>
      </c>
      <c r="Q265" t="str">
        <v/>
      </c>
      <c r="R265" t="str">
        <v/>
      </c>
      <c r="S265" t="str">
        <v/>
      </c>
      <c r="T265" t="str">
        <v/>
      </c>
    </row>
    <row r="266">
      <c r="A266" t="str">
        <v>265</v>
      </c>
      <c r="B266" t="str">
        <v>MASS BSF</v>
      </c>
      <c r="C266" t="str">
        <v>F1W-796</v>
      </c>
      <c r="D266" t="str">
        <v/>
      </c>
      <c r="E266" t="str">
        <v>867162026876599</v>
      </c>
      <c r="F266" t="str">
        <v>TBD</v>
      </c>
      <c r="G266" t="str">
        <v/>
      </c>
      <c r="H266" t="str">
        <v>28/09/2026</v>
      </c>
      <c r="I266" t="str">
        <v>14:19:31</v>
      </c>
      <c r="J266">
        <v>-12.316264</v>
      </c>
      <c r="K266">
        <v>-76.825264</v>
      </c>
      <c r="L266">
        <f>HYPERLINK("https://www.google.com/maps/search/?api=1&amp;query=-12.316264,-76.825264","Punta Hermosa, Lima")</f>
      </c>
      <c r="M266">
        <v>21.2</v>
      </c>
      <c r="N266">
        <v>98</v>
      </c>
      <c r="O266">
        <v>93959.8</v>
      </c>
      <c r="P266" t="str">
        <v>1,939.78</v>
      </c>
      <c r="Q266" t="str">
        <v/>
      </c>
      <c r="R266" t="str">
        <v/>
      </c>
      <c r="S266" t="str">
        <v/>
      </c>
      <c r="T266" t="str">
        <v/>
      </c>
    </row>
    <row r="267">
      <c r="A267" t="str">
        <v>266</v>
      </c>
      <c r="B267" t="str">
        <v>MASS BSF</v>
      </c>
      <c r="C267" t="str">
        <v>F1W-796</v>
      </c>
      <c r="D267" t="str">
        <v/>
      </c>
      <c r="E267" t="str">
        <v>867162026876599</v>
      </c>
      <c r="F267" t="str">
        <v>TBD</v>
      </c>
      <c r="G267" t="str">
        <v/>
      </c>
      <c r="H267" t="str">
        <v>28/09/2026</v>
      </c>
      <c r="I267" t="str">
        <v>14:19:56</v>
      </c>
      <c r="J267">
        <v>-12.315322</v>
      </c>
      <c r="K267">
        <v>-76.82596</v>
      </c>
      <c r="L267">
        <f>HYPERLINK("https://www.google.com/maps/search/?api=1&amp;query=-12.315322,-76.82596","Punta Hermosa, Lima")</f>
      </c>
      <c r="M267">
        <v>14</v>
      </c>
      <c r="N267">
        <v>98</v>
      </c>
      <c r="O267">
        <v>93959.9</v>
      </c>
      <c r="P267" t="str">
        <v>1,939.78</v>
      </c>
      <c r="Q267" t="str">
        <v/>
      </c>
      <c r="R267" t="str">
        <v/>
      </c>
      <c r="S267" t="str">
        <v/>
      </c>
      <c r="T267" t="str">
        <v/>
      </c>
    </row>
    <row r="268">
      <c r="A268" t="str">
        <v>267</v>
      </c>
      <c r="B268" t="str">
        <v>MASS BSF</v>
      </c>
      <c r="C268" t="str">
        <v>F1W-796</v>
      </c>
      <c r="D268" t="str">
        <v/>
      </c>
      <c r="E268" t="str">
        <v>867162026876599</v>
      </c>
      <c r="F268" t="str">
        <v>TBD</v>
      </c>
      <c r="G268" t="str">
        <v/>
      </c>
      <c r="H268" t="str">
        <v>28/09/2026</v>
      </c>
      <c r="I268" t="str">
        <v>14:20:31</v>
      </c>
      <c r="J268">
        <v>-12.315995</v>
      </c>
      <c r="K268">
        <v>-76.827126</v>
      </c>
      <c r="L268">
        <f>HYPERLINK("https://www.google.com/maps/search/?api=1&amp;query=-12.315995,-76.827126","Punta Hermosa, Lima")</f>
      </c>
      <c r="M268">
        <v>18.9</v>
      </c>
      <c r="N268">
        <v>98</v>
      </c>
      <c r="O268">
        <v>93960.1</v>
      </c>
      <c r="P268" t="str">
        <v>1,939.78</v>
      </c>
      <c r="Q268" t="str">
        <v/>
      </c>
      <c r="R268" t="str">
        <v/>
      </c>
      <c r="S268" t="str">
        <v/>
      </c>
      <c r="T268" t="str">
        <v/>
      </c>
    </row>
    <row r="269">
      <c r="A269" t="str">
        <v>268</v>
      </c>
      <c r="B269" t="str">
        <v>MASS BSF</v>
      </c>
      <c r="C269" t="str">
        <v>F1W-796</v>
      </c>
      <c r="D269" t="str">
        <v/>
      </c>
      <c r="E269" t="str">
        <v>867162026876599</v>
      </c>
      <c r="F269" t="str">
        <v>TBD</v>
      </c>
      <c r="G269" t="str">
        <v/>
      </c>
      <c r="H269" t="str">
        <v>28/09/2026</v>
      </c>
      <c r="I269" t="str">
        <v>14:21:31</v>
      </c>
      <c r="J269">
        <v>-12.31739</v>
      </c>
      <c r="K269">
        <v>-76.829475</v>
      </c>
      <c r="L269">
        <f>HYPERLINK("https://www.google.com/maps/search/?api=1&amp;query=-12.31739,-76.829475","Punta Hermosa, Lima")</f>
      </c>
      <c r="M269">
        <v>2.6</v>
      </c>
      <c r="N269">
        <v>98</v>
      </c>
      <c r="O269">
        <v>93960.3</v>
      </c>
      <c r="P269" t="str">
        <v>1,939.78</v>
      </c>
      <c r="Q269" t="str">
        <v/>
      </c>
      <c r="R269" t="str">
        <v/>
      </c>
      <c r="S269" t="str">
        <v/>
      </c>
      <c r="T269" t="str">
        <v/>
      </c>
    </row>
    <row r="270">
      <c r="A270" t="str">
        <v>269</v>
      </c>
      <c r="B270" t="str">
        <v>MASS BSF</v>
      </c>
      <c r="C270" t="str">
        <v>F1W-796</v>
      </c>
      <c r="D270" t="str">
        <v/>
      </c>
      <c r="E270" t="str">
        <v>867162026876599</v>
      </c>
      <c r="F270" t="str">
        <v>TBD</v>
      </c>
      <c r="G270" t="str">
        <v/>
      </c>
      <c r="H270" t="str">
        <v>28/09/2026</v>
      </c>
      <c r="I270" t="str">
        <v>14:21:53</v>
      </c>
      <c r="J270">
        <v>-12.317483</v>
      </c>
      <c r="K270">
        <v>-76.83002</v>
      </c>
      <c r="L270">
        <f>HYPERLINK("https://www.google.com/maps/search/?api=1&amp;query=-12.317483,-76.83002","Punta Hermosa, Lima")</f>
      </c>
      <c r="M270">
        <v>32.1</v>
      </c>
      <c r="N270">
        <v>98</v>
      </c>
      <c r="O270">
        <v>93960.4</v>
      </c>
      <c r="P270" t="str">
        <v>1,939.78</v>
      </c>
      <c r="Q270" t="str">
        <v/>
      </c>
      <c r="R270" t="str">
        <v/>
      </c>
      <c r="S270" t="str">
        <v/>
      </c>
      <c r="T270" t="str">
        <v/>
      </c>
    </row>
    <row r="271">
      <c r="A271" t="str">
        <v>270</v>
      </c>
      <c r="B271" t="str">
        <v>MASS BSF</v>
      </c>
      <c r="C271" t="str">
        <v>F1W-796</v>
      </c>
      <c r="D271" t="str">
        <v/>
      </c>
      <c r="E271" t="str">
        <v>867162026876599</v>
      </c>
      <c r="F271" t="str">
        <v>TBD</v>
      </c>
      <c r="G271" t="str">
        <v/>
      </c>
      <c r="H271" t="str">
        <v>28/09/2026</v>
      </c>
      <c r="I271" t="str">
        <v>14:21:53</v>
      </c>
      <c r="J271">
        <v>-12.317483</v>
      </c>
      <c r="K271">
        <v>-76.83002</v>
      </c>
      <c r="L271">
        <f>HYPERLINK("https://www.google.com/maps/search/?api=1&amp;query=-12.317483,-76.83002","Punta Hermosa, Lima")</f>
      </c>
      <c r="M271">
        <v>32.1</v>
      </c>
      <c r="N271">
        <v>98</v>
      </c>
      <c r="O271">
        <v>93960.3</v>
      </c>
      <c r="P271" t="str">
        <v>1,939.77</v>
      </c>
      <c r="Q271" t="str">
        <v>Salió de zona</v>
      </c>
      <c r="R271" t="str">
        <v>MASS BSF 1</v>
      </c>
      <c r="S271" t="str">
        <v xml:space="preserve"> </v>
      </c>
      <c r="T271" t="str">
        <v/>
      </c>
    </row>
    <row r="272">
      <c r="A272" t="str">
        <v>271</v>
      </c>
      <c r="B272" t="str">
        <v>MASS BSF</v>
      </c>
      <c r="C272" t="str">
        <v>F1W-796</v>
      </c>
      <c r="D272" t="str">
        <v/>
      </c>
      <c r="E272" t="str">
        <v>867162026876599</v>
      </c>
      <c r="F272" t="str">
        <v>TBD</v>
      </c>
      <c r="G272" t="str">
        <v/>
      </c>
      <c r="H272" t="str">
        <v>28/09/2026</v>
      </c>
      <c r="I272" t="str">
        <v>14:22:05</v>
      </c>
      <c r="J272">
        <v>-12.316828</v>
      </c>
      <c r="K272">
        <v>-76.83083</v>
      </c>
      <c r="L272">
        <f>HYPERLINK("https://www.google.com/maps/search/?api=1&amp;query=-12.316828,-76.83083","Carretera Panamericana Sur, Punta Hermosa, Lima")</f>
      </c>
      <c r="M272">
        <v>21.2</v>
      </c>
      <c r="N272">
        <v>98</v>
      </c>
      <c r="O272">
        <v>93960.5</v>
      </c>
      <c r="P272" t="str">
        <v>1,939.78</v>
      </c>
      <c r="Q272" t="str">
        <v/>
      </c>
      <c r="R272" t="str">
        <v/>
      </c>
      <c r="S272" t="str">
        <v/>
      </c>
      <c r="T272" t="str">
        <v/>
      </c>
    </row>
    <row r="273">
      <c r="A273" t="str">
        <v>272</v>
      </c>
      <c r="B273" t="str">
        <v>MASS BSF</v>
      </c>
      <c r="C273" t="str">
        <v>F1W-796</v>
      </c>
      <c r="D273" t="str">
        <v/>
      </c>
      <c r="E273" t="str">
        <v>867162026876599</v>
      </c>
      <c r="F273" t="str">
        <v>TBD</v>
      </c>
      <c r="G273" t="str">
        <v/>
      </c>
      <c r="H273" t="str">
        <v>28/09/2026</v>
      </c>
      <c r="I273" t="str">
        <v>14:22:31</v>
      </c>
      <c r="J273">
        <v>-12.315138</v>
      </c>
      <c r="K273">
        <v>-76.83203</v>
      </c>
      <c r="L273">
        <f>HYPERLINK("https://www.google.com/maps/search/?api=1&amp;query=-12.315138,-76.83203","Carretera Panamericana Sur, Punta Hermosa, Lima")</f>
      </c>
      <c r="M273">
        <v>46.8</v>
      </c>
      <c r="N273">
        <v>98</v>
      </c>
      <c r="O273">
        <v>93960.8</v>
      </c>
      <c r="P273" t="str">
        <v>1,939.78</v>
      </c>
      <c r="Q273" t="str">
        <v/>
      </c>
      <c r="R273" t="str">
        <v/>
      </c>
      <c r="S273" t="str">
        <v/>
      </c>
      <c r="T273" t="str">
        <v/>
      </c>
    </row>
    <row r="274">
      <c r="A274" t="str">
        <v>273</v>
      </c>
      <c r="B274" t="str">
        <v>MASS BSF</v>
      </c>
      <c r="C274" t="str">
        <v>F1W-796</v>
      </c>
      <c r="D274" t="str">
        <v/>
      </c>
      <c r="E274" t="str">
        <v>867162026876599</v>
      </c>
      <c r="F274" t="str">
        <v>TBD</v>
      </c>
      <c r="G274" t="str">
        <v/>
      </c>
      <c r="H274" t="str">
        <v>28/09/2026</v>
      </c>
      <c r="I274" t="str">
        <v>14:23:31</v>
      </c>
      <c r="J274">
        <v>-12.30708</v>
      </c>
      <c r="K274">
        <v>-76.83755</v>
      </c>
      <c r="L274">
        <f>HYPERLINK("https://www.google.com/maps/search/?api=1&amp;query=-12.30708,-76.83755","Carretera Panamericana Sur, Punta Hermosa, Lima")</f>
      </c>
      <c r="M274">
        <v>76.8</v>
      </c>
      <c r="N274">
        <v>98</v>
      </c>
      <c r="O274">
        <v>93961.8</v>
      </c>
      <c r="P274" t="str">
        <v>1,939.78</v>
      </c>
      <c r="Q274" t="str">
        <v/>
      </c>
      <c r="R274" t="str">
        <v/>
      </c>
      <c r="S274" t="str">
        <v/>
      </c>
      <c r="T274" t="str">
        <v/>
      </c>
    </row>
    <row r="275">
      <c r="A275" t="str">
        <v>274</v>
      </c>
      <c r="B275" t="str">
        <v>MASS BSF</v>
      </c>
      <c r="C275" t="str">
        <v>F1W-796</v>
      </c>
      <c r="D275" t="str">
        <v/>
      </c>
      <c r="E275" t="str">
        <v>867162026876599</v>
      </c>
      <c r="F275" t="str">
        <v>TBD</v>
      </c>
      <c r="G275" t="str">
        <v/>
      </c>
      <c r="H275" t="str">
        <v>28/09/2026</v>
      </c>
      <c r="I275" t="str">
        <v>14:24:31</v>
      </c>
      <c r="J275">
        <v>-12.301812</v>
      </c>
      <c r="K275">
        <v>-76.84489</v>
      </c>
      <c r="L275">
        <f>HYPERLINK("https://www.google.com/maps/search/?api=1&amp;query=-12.301812,-76.84489","Carretera Panamericana Sur, Lurín, Lima")</f>
      </c>
      <c r="M275">
        <v>79.2</v>
      </c>
      <c r="N275">
        <v>98</v>
      </c>
      <c r="O275">
        <v>93962.8</v>
      </c>
      <c r="P275" t="str">
        <v>1,939.78</v>
      </c>
      <c r="Q275" t="str">
        <v/>
      </c>
      <c r="R275" t="str">
        <v/>
      </c>
      <c r="S275" t="str">
        <v/>
      </c>
      <c r="T275" t="str">
        <v/>
      </c>
    </row>
    <row r="276">
      <c r="A276" t="str">
        <v>275</v>
      </c>
      <c r="B276" t="str">
        <v>MASS BSF</v>
      </c>
      <c r="C276" t="str">
        <v>F1W-796</v>
      </c>
      <c r="D276" t="str">
        <v/>
      </c>
      <c r="E276" t="str">
        <v>867162026876599</v>
      </c>
      <c r="F276" t="str">
        <v>TBD</v>
      </c>
      <c r="G276" t="str">
        <v/>
      </c>
      <c r="H276" t="str">
        <v>28/09/2026</v>
      </c>
      <c r="I276" t="str">
        <v>14:24:40</v>
      </c>
      <c r="J276">
        <v>-12.300793</v>
      </c>
      <c r="K276">
        <v>-76.84717</v>
      </c>
      <c r="L276">
        <f>HYPERLINK("https://www.google.com/maps/search/?api=1&amp;query=-12.300793,-76.84717","Carretera Panamericana Sur, Lurín, Lima")</f>
      </c>
      <c r="M276">
        <v>82.4</v>
      </c>
      <c r="N276">
        <v>98</v>
      </c>
      <c r="O276">
        <v>93963.1</v>
      </c>
      <c r="P276" t="str">
        <v>1,939.78</v>
      </c>
      <c r="Q276" t="str">
        <v>Excedió el límite de velocidad</v>
      </c>
      <c r="R276" t="str">
        <v/>
      </c>
      <c r="S276" t="str">
        <v/>
      </c>
      <c r="T276" t="str">
        <v/>
      </c>
    </row>
    <row r="277">
      <c r="A277" t="str">
        <v>276</v>
      </c>
      <c r="B277" t="str">
        <v>MASS BSF</v>
      </c>
      <c r="C277" t="str">
        <v>F1W-796</v>
      </c>
      <c r="D277" t="str">
        <v/>
      </c>
      <c r="E277" t="str">
        <v>867162026876599</v>
      </c>
      <c r="F277" t="str">
        <v>TBD</v>
      </c>
      <c r="G277" t="str">
        <v/>
      </c>
      <c r="H277" t="str">
        <v>28/09/2026</v>
      </c>
      <c r="I277" t="str">
        <v>14:25:31</v>
      </c>
      <c r="J277">
        <v>-12.29653</v>
      </c>
      <c r="K277">
        <v>-76.85671</v>
      </c>
      <c r="L277">
        <f>HYPERLINK("https://www.google.com/maps/search/?api=1&amp;query=-12.29653,-76.85671","Carretera Panamericana Sur, Lurín, Lima")</f>
      </c>
      <c r="M277">
        <v>90.7</v>
      </c>
      <c r="N277">
        <v>98</v>
      </c>
      <c r="O277">
        <v>93964.3</v>
      </c>
      <c r="P277" t="str">
        <v>1,939.78</v>
      </c>
      <c r="Q277" t="str">
        <v/>
      </c>
      <c r="R277" t="str">
        <v/>
      </c>
      <c r="S277" t="str">
        <v/>
      </c>
      <c r="T277" t="str">
        <v/>
      </c>
    </row>
    <row r="278">
      <c r="A278" t="str">
        <v>277</v>
      </c>
      <c r="B278" t="str">
        <v>MASS BSF</v>
      </c>
      <c r="C278" t="str">
        <v>F1W-796</v>
      </c>
      <c r="D278" t="str">
        <v/>
      </c>
      <c r="E278" t="str">
        <v>867162026876599</v>
      </c>
      <c r="F278" t="str">
        <v>TBD</v>
      </c>
      <c r="G278" t="str">
        <v/>
      </c>
      <c r="H278" t="str">
        <v>28/09/2026</v>
      </c>
      <c r="I278" t="str">
        <v>14:26:31</v>
      </c>
      <c r="J278">
        <v>-12.289943</v>
      </c>
      <c r="K278">
        <v>-76.86759</v>
      </c>
      <c r="L278">
        <f>HYPERLINK("https://www.google.com/maps/search/?api=1&amp;query=-12.289943,-76.86759","Carretera Panamericana Sur, Lurín, Lima")</f>
      </c>
      <c r="M278">
        <v>77.1</v>
      </c>
      <c r="N278">
        <v>98</v>
      </c>
      <c r="O278">
        <v>93965.7</v>
      </c>
      <c r="P278" t="str">
        <v>1,939.78</v>
      </c>
      <c r="Q278" t="str">
        <v/>
      </c>
      <c r="R278" t="str">
        <v/>
      </c>
      <c r="S278" t="str">
        <v/>
      </c>
      <c r="T278" t="str">
        <v/>
      </c>
    </row>
    <row r="279">
      <c r="A279" t="str">
        <v>278</v>
      </c>
      <c r="B279" t="str">
        <v>MASS BSF</v>
      </c>
      <c r="C279" t="str">
        <v>F1W-796</v>
      </c>
      <c r="D279" t="str">
        <v/>
      </c>
      <c r="E279" t="str">
        <v>867162026876599</v>
      </c>
      <c r="F279" t="str">
        <v>TBD</v>
      </c>
      <c r="G279" t="str">
        <v/>
      </c>
      <c r="H279" t="str">
        <v>28/09/2026</v>
      </c>
      <c r="I279" t="str">
        <v>14:27:31</v>
      </c>
      <c r="J279">
        <v>-12.283827</v>
      </c>
      <c r="K279">
        <v>-76.87741</v>
      </c>
      <c r="L279">
        <f>HYPERLINK("https://www.google.com/maps/search/?api=1&amp;query=-12.283827,-76.87741","Carretera Panamericana Sur, Lurín, Lima")</f>
      </c>
      <c r="M279">
        <v>71</v>
      </c>
      <c r="N279">
        <v>98</v>
      </c>
      <c r="O279">
        <v>93966.9</v>
      </c>
      <c r="P279" t="str">
        <v>1,939.78</v>
      </c>
      <c r="Q279" t="str">
        <v/>
      </c>
      <c r="R279" t="str">
        <v/>
      </c>
      <c r="S279" t="str">
        <v/>
      </c>
      <c r="T279" t="str">
        <v/>
      </c>
    </row>
    <row r="280">
      <c r="A280" t="str">
        <v>279</v>
      </c>
      <c r="B280" t="str">
        <v>MASS BSF</v>
      </c>
      <c r="C280" t="str">
        <v>F1W-796</v>
      </c>
      <c r="D280" t="str">
        <v/>
      </c>
      <c r="E280" t="str">
        <v>867162026876599</v>
      </c>
      <c r="F280" t="str">
        <v>TBD</v>
      </c>
      <c r="G280" t="str">
        <v/>
      </c>
      <c r="H280" t="str">
        <v>28/09/2026</v>
      </c>
      <c r="I280" t="str">
        <v>14:28:31</v>
      </c>
      <c r="J280">
        <v>-12.277727</v>
      </c>
      <c r="K280">
        <v>-76.88708</v>
      </c>
      <c r="L280">
        <f>HYPERLINK("https://www.google.com/maps/search/?api=1&amp;query=-12.277727,-76.88708","Carretera Panamericana Sur, Lurín, Lima")</f>
      </c>
      <c r="M280">
        <v>77.7</v>
      </c>
      <c r="N280">
        <v>98</v>
      </c>
      <c r="O280">
        <v>93968.2</v>
      </c>
      <c r="P280" t="str">
        <v>1,939.78</v>
      </c>
      <c r="Q280" t="str">
        <v/>
      </c>
      <c r="R280" t="str">
        <v/>
      </c>
      <c r="S280" t="str">
        <v/>
      </c>
      <c r="T280" t="str">
        <v/>
      </c>
    </row>
    <row r="281">
      <c r="A281" t="str">
        <v>280</v>
      </c>
      <c r="B281" t="str">
        <v>MASS BSF</v>
      </c>
      <c r="C281" t="str">
        <v>F1W-796</v>
      </c>
      <c r="D281" t="str">
        <v/>
      </c>
      <c r="E281" t="str">
        <v>867162026876599</v>
      </c>
      <c r="F281" t="str">
        <v>TBD</v>
      </c>
      <c r="G281" t="str">
        <v/>
      </c>
      <c r="H281" t="str">
        <v>28/09/2026</v>
      </c>
      <c r="I281" t="str">
        <v>14:29:31</v>
      </c>
      <c r="J281">
        <v>-12.271701</v>
      </c>
      <c r="K281">
        <v>-76.89673</v>
      </c>
      <c r="L281">
        <f>HYPERLINK("https://www.google.com/maps/search/?api=1&amp;query=-12.271701,-76.89673","Carretera Panamericana Sur, Lurín, Lima")</f>
      </c>
      <c r="M281">
        <v>76.9</v>
      </c>
      <c r="N281">
        <v>98</v>
      </c>
      <c r="O281">
        <v>93969.4</v>
      </c>
      <c r="P281" t="str">
        <v>1,939.78</v>
      </c>
      <c r="Q281" t="str">
        <v/>
      </c>
      <c r="R281" t="str">
        <v/>
      </c>
      <c r="S281" t="str">
        <v/>
      </c>
      <c r="T281" t="str">
        <v/>
      </c>
    </row>
    <row r="282">
      <c r="A282" t="str">
        <v>281</v>
      </c>
      <c r="B282" t="str">
        <v>MASS BSF</v>
      </c>
      <c r="C282" t="str">
        <v>F1W-796</v>
      </c>
      <c r="D282" t="str">
        <v/>
      </c>
      <c r="E282" t="str">
        <v>867162026876599</v>
      </c>
      <c r="F282" t="str">
        <v>TBD</v>
      </c>
      <c r="G282" t="str">
        <v/>
      </c>
      <c r="H282" t="str">
        <v>28/09/2026</v>
      </c>
      <c r="I282" t="str">
        <v>14:30:13</v>
      </c>
      <c r="J282">
        <v>-12.266887</v>
      </c>
      <c r="K282">
        <v>-76.9043</v>
      </c>
      <c r="L282">
        <f>HYPERLINK("https://www.google.com/maps/search/?api=1&amp;query=-12.266887,-76.9043","Carretera Panamericana Sur, Lurín, Lima")</f>
      </c>
      <c r="M282">
        <v>83.3</v>
      </c>
      <c r="N282">
        <v>98</v>
      </c>
      <c r="O282">
        <v>93970.4</v>
      </c>
      <c r="P282" t="str">
        <v>1,939.78</v>
      </c>
      <c r="Q282" t="str">
        <v>Excedió el límite de velocidad</v>
      </c>
      <c r="R282" t="str">
        <v/>
      </c>
      <c r="S282" t="str">
        <v/>
      </c>
      <c r="T282" t="str">
        <v/>
      </c>
    </row>
    <row r="283">
      <c r="A283" t="str">
        <v>282</v>
      </c>
      <c r="B283" t="str">
        <v>MASS BSF</v>
      </c>
      <c r="C283" t="str">
        <v>F1W-796</v>
      </c>
      <c r="D283" t="str">
        <v/>
      </c>
      <c r="E283" t="str">
        <v>867162026876599</v>
      </c>
      <c r="F283" t="str">
        <v>TBD</v>
      </c>
      <c r="G283" t="str">
        <v/>
      </c>
      <c r="H283" t="str">
        <v>28/09/2026</v>
      </c>
      <c r="I283" t="str">
        <v>14:30:31</v>
      </c>
      <c r="J283">
        <v>-12.265166</v>
      </c>
      <c r="K283">
        <v>-76.90703</v>
      </c>
      <c r="L283">
        <f>HYPERLINK("https://www.google.com/maps/search/?api=1&amp;query=-12.265166,-76.90703","Carretera Panamericana Sur, Lurín, Lima")</f>
      </c>
      <c r="M283">
        <v>84.8</v>
      </c>
      <c r="N283">
        <v>98</v>
      </c>
      <c r="O283">
        <v>93970.8</v>
      </c>
      <c r="P283" t="str">
        <v>1,939.78</v>
      </c>
      <c r="Q283" t="str">
        <v/>
      </c>
      <c r="R283" t="str">
        <v/>
      </c>
      <c r="S283" t="str">
        <v/>
      </c>
      <c r="T283" t="str">
        <v/>
      </c>
    </row>
    <row r="284">
      <c r="A284" t="str">
        <v>283</v>
      </c>
      <c r="B284" t="str">
        <v>MASS BSF</v>
      </c>
      <c r="C284" t="str">
        <v>F1W-796</v>
      </c>
      <c r="D284" t="str">
        <v/>
      </c>
      <c r="E284" t="str">
        <v>867162026876599</v>
      </c>
      <c r="F284" t="str">
        <v>TBD</v>
      </c>
      <c r="G284" t="str">
        <v/>
      </c>
      <c r="H284" t="str">
        <v>28/09/2026</v>
      </c>
      <c r="I284" t="str">
        <v>14:31:31</v>
      </c>
      <c r="J284">
        <v>-12.258946</v>
      </c>
      <c r="K284">
        <v>-76.91692</v>
      </c>
      <c r="L284">
        <f>HYPERLINK("https://www.google.com/maps/search/?api=1&amp;query=-12.258946,-76.91692","Carretera Panamericana Sur, Lurín, Lima")</f>
      </c>
      <c r="M284">
        <v>79.1</v>
      </c>
      <c r="N284">
        <v>98</v>
      </c>
      <c r="O284">
        <v>93972</v>
      </c>
      <c r="P284" t="str">
        <v>1,939.78</v>
      </c>
      <c r="Q284" t="str">
        <v/>
      </c>
      <c r="R284" t="str">
        <v/>
      </c>
      <c r="S284" t="str">
        <v/>
      </c>
      <c r="T284" t="str">
        <v/>
      </c>
    </row>
    <row r="285">
      <c r="A285" t="str">
        <v>284</v>
      </c>
      <c r="B285" t="str">
        <v>MASS BSF</v>
      </c>
      <c r="C285" t="str">
        <v>F1W-796</v>
      </c>
      <c r="D285" t="str">
        <v/>
      </c>
      <c r="E285" t="str">
        <v>867162026876599</v>
      </c>
      <c r="F285" t="str">
        <v>TBD</v>
      </c>
      <c r="G285" t="str">
        <v/>
      </c>
      <c r="H285" t="str">
        <v>28/09/2026</v>
      </c>
      <c r="I285" t="str">
        <v>14:32:02</v>
      </c>
      <c r="J285">
        <v>-12.255385</v>
      </c>
      <c r="K285">
        <v>-76.9209</v>
      </c>
      <c r="L285">
        <f>HYPERLINK("https://www.google.com/maps/search/?api=1&amp;query=-12.255385,-76.9209","Lurín, Lima")</f>
      </c>
      <c r="M285">
        <v>45</v>
      </c>
      <c r="N285">
        <v>98</v>
      </c>
      <c r="O285">
        <v>93972.6</v>
      </c>
      <c r="P285" t="str">
        <v>1,939.78</v>
      </c>
      <c r="Q285" t="str">
        <v/>
      </c>
      <c r="R285" t="str">
        <v/>
      </c>
      <c r="S285" t="str">
        <v/>
      </c>
      <c r="T285" t="str">
        <v/>
      </c>
    </row>
    <row r="286">
      <c r="A286" t="str">
        <v>285</v>
      </c>
      <c r="B286" t="str">
        <v>MASS BSF</v>
      </c>
      <c r="C286" t="str">
        <v>F1W-796</v>
      </c>
      <c r="D286" t="str">
        <v/>
      </c>
      <c r="E286" t="str">
        <v>867162026876599</v>
      </c>
      <c r="F286" t="str">
        <v>TBD</v>
      </c>
      <c r="G286" t="str">
        <v/>
      </c>
      <c r="H286" t="str">
        <v>28/09/2026</v>
      </c>
      <c r="I286" t="str">
        <v>14:32:11</v>
      </c>
      <c r="J286">
        <v>-12.254574</v>
      </c>
      <c r="K286">
        <v>-76.92043</v>
      </c>
      <c r="L286">
        <f>HYPERLINK("https://www.google.com/maps/search/?api=1&amp;query=-12.254574,-76.92043","Lurín, Lima")</f>
      </c>
      <c r="M286">
        <v>30.5</v>
      </c>
      <c r="N286">
        <v>98</v>
      </c>
      <c r="O286">
        <v>93972.8</v>
      </c>
      <c r="P286" t="str">
        <v>1,939.78</v>
      </c>
      <c r="Q286" t="str">
        <v/>
      </c>
      <c r="R286" t="str">
        <v/>
      </c>
      <c r="S286" t="str">
        <v/>
      </c>
      <c r="T286" t="str">
        <v/>
      </c>
    </row>
    <row r="287">
      <c r="A287" t="str">
        <v>286</v>
      </c>
      <c r="B287" t="str">
        <v>MASS BSF</v>
      </c>
      <c r="C287" t="str">
        <v>F1W-796</v>
      </c>
      <c r="D287" t="str">
        <v/>
      </c>
      <c r="E287" t="str">
        <v>867162026876599</v>
      </c>
      <c r="F287" t="str">
        <v>TBD</v>
      </c>
      <c r="G287" t="str">
        <v/>
      </c>
      <c r="H287" t="str">
        <v>28/09/2026</v>
      </c>
      <c r="I287" t="str">
        <v>14:32:17</v>
      </c>
      <c r="J287">
        <v>-12.254286</v>
      </c>
      <c r="K287">
        <v>-76.92021</v>
      </c>
      <c r="L287">
        <f>HYPERLINK("https://www.google.com/maps/search/?api=1&amp;query=-12.254286,-76.92021","Antigua Panamericana Sur, Lurín, Lima")</f>
      </c>
      <c r="M287">
        <v>16.2</v>
      </c>
      <c r="N287">
        <v>98</v>
      </c>
      <c r="O287">
        <v>93972.8</v>
      </c>
      <c r="P287" t="str">
        <v>1,939.78</v>
      </c>
      <c r="Q287" t="str">
        <v/>
      </c>
      <c r="R287" t="str">
        <v/>
      </c>
      <c r="S287" t="str">
        <v/>
      </c>
      <c r="T287" t="str">
        <v/>
      </c>
    </row>
    <row r="288">
      <c r="A288" t="str">
        <v>287</v>
      </c>
      <c r="B288" t="str">
        <v>MASS BSF</v>
      </c>
      <c r="C288" t="str">
        <v>F1W-796</v>
      </c>
      <c r="D288" t="str">
        <v/>
      </c>
      <c r="E288" t="str">
        <v>867162026876599</v>
      </c>
      <c r="F288" t="str">
        <v>TBD</v>
      </c>
      <c r="G288" t="str">
        <v/>
      </c>
      <c r="H288" t="str">
        <v>28/09/2026</v>
      </c>
      <c r="I288" t="str">
        <v>14:32:23</v>
      </c>
      <c r="J288">
        <v>-12.254205</v>
      </c>
      <c r="K288">
        <v>-76.920265</v>
      </c>
      <c r="L288">
        <f>HYPERLINK("https://www.google.com/maps/search/?api=1&amp;query=-12.254205,-76.920265","Antigua Panamericana Sur, Lurín, Lima")</f>
      </c>
      <c r="M288">
        <v>12.8</v>
      </c>
      <c r="N288">
        <v>98</v>
      </c>
      <c r="O288">
        <v>93972.8</v>
      </c>
      <c r="P288" t="str">
        <v>1,939.78</v>
      </c>
      <c r="Q288" t="str">
        <v/>
      </c>
      <c r="R288" t="str">
        <v/>
      </c>
      <c r="S288" t="str">
        <v/>
      </c>
      <c r="T288" t="str">
        <v/>
      </c>
    </row>
    <row r="289">
      <c r="A289" t="str">
        <v>288</v>
      </c>
      <c r="B289" t="str">
        <v>MASS BSF</v>
      </c>
      <c r="C289" t="str">
        <v>F1W-796</v>
      </c>
      <c r="D289" t="str">
        <v/>
      </c>
      <c r="E289" t="str">
        <v>867162026876599</v>
      </c>
      <c r="F289" t="str">
        <v>TBD</v>
      </c>
      <c r="G289" t="str">
        <v/>
      </c>
      <c r="H289" t="str">
        <v>28/09/2026</v>
      </c>
      <c r="I289" t="str">
        <v>14:32:31</v>
      </c>
      <c r="J289">
        <v>-12.25417</v>
      </c>
      <c r="K289">
        <v>-76.920525</v>
      </c>
      <c r="L289">
        <f>HYPERLINK("https://www.google.com/maps/search/?api=1&amp;query=-12.25417,-76.920525","Antigua Panamericana Sur, Lurín, Lima")</f>
      </c>
      <c r="M289">
        <v>23.6</v>
      </c>
      <c r="N289">
        <v>98</v>
      </c>
      <c r="O289">
        <v>93972.8</v>
      </c>
      <c r="P289" t="str">
        <v>1,939.78</v>
      </c>
      <c r="Q289" t="str">
        <v/>
      </c>
      <c r="R289" t="str">
        <v/>
      </c>
      <c r="S289" t="str">
        <v/>
      </c>
      <c r="T289" t="str">
        <v/>
      </c>
    </row>
    <row r="290">
      <c r="A290" t="str">
        <v>289</v>
      </c>
      <c r="B290" t="str">
        <v>MASS BSF</v>
      </c>
      <c r="C290" t="str">
        <v>F1W-796</v>
      </c>
      <c r="D290" t="str">
        <v/>
      </c>
      <c r="E290" t="str">
        <v>867162026876599</v>
      </c>
      <c r="F290" t="str">
        <v>TBD</v>
      </c>
      <c r="G290" t="str">
        <v/>
      </c>
      <c r="H290" t="str">
        <v>28/09/2026</v>
      </c>
      <c r="I290" t="str">
        <v>14:33:31</v>
      </c>
      <c r="J290">
        <v>-12.253423</v>
      </c>
      <c r="K290">
        <v>-76.92566</v>
      </c>
      <c r="L290">
        <f>HYPERLINK("https://www.google.com/maps/search/?api=1&amp;query=-12.253423,-76.92566","Antigua Panamericana Sur, Lurín, Lima")</f>
      </c>
      <c r="M290">
        <v>37.2</v>
      </c>
      <c r="N290">
        <v>98</v>
      </c>
      <c r="O290">
        <v>93973.4</v>
      </c>
      <c r="P290" t="str">
        <v>1,939.78</v>
      </c>
      <c r="Q290" t="str">
        <v/>
      </c>
      <c r="R290" t="str">
        <v/>
      </c>
      <c r="S290" t="str">
        <v/>
      </c>
      <c r="T290" t="str">
        <v/>
      </c>
    </row>
    <row r="291">
      <c r="A291" t="str">
        <v>290</v>
      </c>
      <c r="B291" t="str">
        <v>MASS BSF</v>
      </c>
      <c r="C291" t="str">
        <v>F1W-796</v>
      </c>
      <c r="D291" t="str">
        <v/>
      </c>
      <c r="E291" t="str">
        <v>867162026876599</v>
      </c>
      <c r="F291" t="str">
        <v>TBD</v>
      </c>
      <c r="G291" t="str">
        <v/>
      </c>
      <c r="H291" t="str">
        <v>28/09/2026</v>
      </c>
      <c r="I291" t="str">
        <v>14:34:31</v>
      </c>
      <c r="J291">
        <v>-12.249944</v>
      </c>
      <c r="K291">
        <v>-76.93065</v>
      </c>
      <c r="L291">
        <f>HYPERLINK("https://www.google.com/maps/search/?api=1&amp;query=-12.249944,-76.93065","Antigua Panamericana Sur, Villa El Salvador, Lima")</f>
      </c>
      <c r="M291">
        <v>13.8</v>
      </c>
      <c r="N291">
        <v>98</v>
      </c>
      <c r="O291">
        <v>93974.1</v>
      </c>
      <c r="P291" t="str">
        <v>1,939.78</v>
      </c>
      <c r="Q291" t="str">
        <v/>
      </c>
      <c r="R291" t="str">
        <v/>
      </c>
      <c r="S291" t="str">
        <v/>
      </c>
      <c r="T291" t="str">
        <v/>
      </c>
    </row>
    <row r="292">
      <c r="A292" t="str">
        <v>291</v>
      </c>
      <c r="B292" t="str">
        <v>MASS BSF</v>
      </c>
      <c r="C292" t="str">
        <v>F1W-796</v>
      </c>
      <c r="D292" t="str">
        <v/>
      </c>
      <c r="E292" t="str">
        <v>867162026876599</v>
      </c>
      <c r="F292" t="str">
        <v>TBD</v>
      </c>
      <c r="G292" t="str">
        <v/>
      </c>
      <c r="H292" t="str">
        <v>28/09/2026</v>
      </c>
      <c r="I292" t="str">
        <v>14:35:31</v>
      </c>
      <c r="J292">
        <v>-12.247082</v>
      </c>
      <c r="K292">
        <v>-76.93441</v>
      </c>
      <c r="L292">
        <f>HYPERLINK("https://www.google.com/maps/search/?api=1&amp;query=-12.247082,-76.93441","Antigua Panamericana Sur, Villa El Salvador, Lima")</f>
      </c>
      <c r="M292">
        <v>44.4</v>
      </c>
      <c r="N292">
        <v>98</v>
      </c>
      <c r="O292">
        <v>93974.6</v>
      </c>
      <c r="P292" t="str">
        <v>1,939.78</v>
      </c>
      <c r="Q292" t="str">
        <v/>
      </c>
      <c r="R292" t="str">
        <v/>
      </c>
      <c r="S292" t="str">
        <v/>
      </c>
      <c r="T292" t="str">
        <v/>
      </c>
    </row>
    <row r="293">
      <c r="A293" t="str">
        <v>292</v>
      </c>
      <c r="B293" t="str">
        <v>MASS BSF</v>
      </c>
      <c r="C293" t="str">
        <v>F1W-796</v>
      </c>
      <c r="D293" t="str">
        <v/>
      </c>
      <c r="E293" t="str">
        <v>867162026876599</v>
      </c>
      <c r="F293" t="str">
        <v>TBD</v>
      </c>
      <c r="G293" t="str">
        <v/>
      </c>
      <c r="H293" t="str">
        <v>28/09/2026</v>
      </c>
      <c r="I293" t="str">
        <v>14:36:31</v>
      </c>
      <c r="J293">
        <v>-12.244345</v>
      </c>
      <c r="K293">
        <v>-76.93964</v>
      </c>
      <c r="L293">
        <f>HYPERLINK("https://www.google.com/maps/search/?api=1&amp;query=-12.244345,-76.93964","Antigua Panamericana Sur, Villa El Salvador, Lima")</f>
      </c>
      <c r="M293">
        <v>55</v>
      </c>
      <c r="N293">
        <v>98</v>
      </c>
      <c r="O293">
        <v>93975.2</v>
      </c>
      <c r="P293" t="str">
        <v>1,939.78</v>
      </c>
      <c r="Q293" t="str">
        <v/>
      </c>
      <c r="R293" t="str">
        <v/>
      </c>
      <c r="S293" t="str">
        <v/>
      </c>
      <c r="T293" t="str">
        <v/>
      </c>
    </row>
    <row r="294">
      <c r="A294" t="str">
        <v>293</v>
      </c>
      <c r="B294" t="str">
        <v>MASS BSF</v>
      </c>
      <c r="C294" t="str">
        <v>F1W-796</v>
      </c>
      <c r="D294" t="str">
        <v/>
      </c>
      <c r="E294" t="str">
        <v>867162026876599</v>
      </c>
      <c r="F294" t="str">
        <v>TBD</v>
      </c>
      <c r="G294" t="str">
        <v/>
      </c>
      <c r="H294" t="str">
        <v>28/09/2026</v>
      </c>
      <c r="I294" t="str">
        <v>14:37:31</v>
      </c>
      <c r="J294">
        <v>-12.242014</v>
      </c>
      <c r="K294">
        <v>-76.94401</v>
      </c>
      <c r="L294">
        <f>HYPERLINK("https://www.google.com/maps/search/?api=1&amp;query=-12.242014,-76.94401","Antigua Panamericana Sur, Villa El Salvador, Lima")</f>
      </c>
      <c r="M294">
        <v>15.3</v>
      </c>
      <c r="N294">
        <v>98</v>
      </c>
      <c r="O294">
        <v>93975.8</v>
      </c>
      <c r="P294" t="str">
        <v>1,939.78</v>
      </c>
      <c r="Q294" t="str">
        <v/>
      </c>
      <c r="R294" t="str">
        <v/>
      </c>
      <c r="S294" t="str">
        <v/>
      </c>
      <c r="T294" t="str">
        <v/>
      </c>
    </row>
    <row r="295">
      <c r="A295" t="str">
        <v>294</v>
      </c>
      <c r="B295" t="str">
        <v>MASS BSF</v>
      </c>
      <c r="C295" t="str">
        <v>F1W-796</v>
      </c>
      <c r="D295" t="str">
        <v/>
      </c>
      <c r="E295" t="str">
        <v>867162026876599</v>
      </c>
      <c r="F295" t="str">
        <v>TBD</v>
      </c>
      <c r="G295" t="str">
        <v/>
      </c>
      <c r="H295" t="str">
        <v>28/09/2026</v>
      </c>
      <c r="I295" t="str">
        <v>14:38:31</v>
      </c>
      <c r="J295">
        <v>-12.239152</v>
      </c>
      <c r="K295">
        <v>-76.949745</v>
      </c>
      <c r="L295">
        <f>HYPERLINK("https://www.google.com/maps/search/?api=1&amp;query=-12.239152,-76.949745","Antigua Panamericana Sur, Villa El Salvador, Lima")</f>
      </c>
      <c r="M295">
        <v>52.7</v>
      </c>
      <c r="N295">
        <v>98</v>
      </c>
      <c r="O295">
        <v>93976.5</v>
      </c>
      <c r="P295" t="str">
        <v>1,939.78</v>
      </c>
      <c r="Q295" t="str">
        <v/>
      </c>
      <c r="R295" t="str">
        <v/>
      </c>
      <c r="S295" t="str">
        <v/>
      </c>
      <c r="T295" t="str">
        <v/>
      </c>
    </row>
    <row r="296">
      <c r="A296" t="str">
        <v>295</v>
      </c>
      <c r="B296" t="str">
        <v>MASS BSF</v>
      </c>
      <c r="C296" t="str">
        <v>F1W-796</v>
      </c>
      <c r="D296" t="str">
        <v/>
      </c>
      <c r="E296" t="str">
        <v>867162026876599</v>
      </c>
      <c r="F296" t="str">
        <v>TBD</v>
      </c>
      <c r="G296" t="str">
        <v/>
      </c>
      <c r="H296" t="str">
        <v>28/09/2026</v>
      </c>
      <c r="I296" t="str">
        <v>14:39:31</v>
      </c>
      <c r="J296">
        <v>-12.23651</v>
      </c>
      <c r="K296">
        <v>-76.95485</v>
      </c>
      <c r="L296">
        <f>HYPERLINK("https://www.google.com/maps/search/?api=1&amp;query=-12.23651,-76.95485","Antigua Panamericana Sur, Villa El Salvador, Lima")</f>
      </c>
      <c r="M296">
        <v>31.9</v>
      </c>
      <c r="N296">
        <v>98</v>
      </c>
      <c r="O296">
        <v>93977.1</v>
      </c>
      <c r="P296" t="str">
        <v>1,939.78</v>
      </c>
      <c r="Q296" t="str">
        <v/>
      </c>
      <c r="R296" t="str">
        <v/>
      </c>
      <c r="S296" t="str">
        <v/>
      </c>
      <c r="T296" t="str">
        <v/>
      </c>
    </row>
    <row r="297">
      <c r="A297" t="str">
        <v>296</v>
      </c>
      <c r="B297" t="str">
        <v>MASS BSF</v>
      </c>
      <c r="C297" t="str">
        <v>F1W-796</v>
      </c>
      <c r="D297" t="str">
        <v/>
      </c>
      <c r="E297" t="str">
        <v>867162026876599</v>
      </c>
      <c r="F297" t="str">
        <v>TBD</v>
      </c>
      <c r="G297" t="str">
        <v/>
      </c>
      <c r="H297" t="str">
        <v>28/09/2026</v>
      </c>
      <c r="I297" t="str">
        <v>14:40:31</v>
      </c>
      <c r="J297">
        <v>-12.233403</v>
      </c>
      <c r="K297">
        <v>-76.96084</v>
      </c>
      <c r="L297">
        <f>HYPERLINK("https://www.google.com/maps/search/?api=1&amp;query=-12.233403,-76.96084","Antigua Panamericana Sur, Villa El Salvador, Lima")</f>
      </c>
      <c r="M297">
        <v>19</v>
      </c>
      <c r="N297">
        <v>98</v>
      </c>
      <c r="O297">
        <v>93977.8</v>
      </c>
      <c r="P297" t="str">
        <v>1,939.78</v>
      </c>
      <c r="Q297" t="str">
        <v/>
      </c>
      <c r="R297" t="str">
        <v/>
      </c>
      <c r="S297" t="str">
        <v/>
      </c>
      <c r="T297" t="str">
        <v/>
      </c>
    </row>
    <row r="298">
      <c r="A298" t="str">
        <v>297</v>
      </c>
      <c r="B298" t="str">
        <v>MASS BSF</v>
      </c>
      <c r="C298" t="str">
        <v>F1W-796</v>
      </c>
      <c r="D298" t="str">
        <v/>
      </c>
      <c r="E298" t="str">
        <v>867162026876599</v>
      </c>
      <c r="F298" t="str">
        <v>TBD</v>
      </c>
      <c r="G298" t="str">
        <v/>
      </c>
      <c r="H298" t="str">
        <v>28/09/2026</v>
      </c>
      <c r="I298" t="str">
        <v>14:41:31</v>
      </c>
      <c r="J298">
        <v>-12.230821</v>
      </c>
      <c r="K298">
        <v>-76.9657</v>
      </c>
      <c r="L298">
        <f>HYPERLINK("https://www.google.com/maps/search/?api=1&amp;query=-12.230821,-76.9657","Antigua Panamericana Sur, Villa El Salvador, Lima")</f>
      </c>
      <c r="M298">
        <v>36.2</v>
      </c>
      <c r="N298">
        <v>98</v>
      </c>
      <c r="O298">
        <v>93978.4</v>
      </c>
      <c r="P298" t="str">
        <v>1,939.78</v>
      </c>
      <c r="Q298" t="str">
        <v/>
      </c>
      <c r="R298" t="str">
        <v/>
      </c>
      <c r="S298" t="str">
        <v/>
      </c>
      <c r="T298" t="str">
        <v/>
      </c>
    </row>
    <row r="299">
      <c r="A299" t="str">
        <v>298</v>
      </c>
      <c r="B299" t="str">
        <v>MASS BSF</v>
      </c>
      <c r="C299" t="str">
        <v>F1W-796</v>
      </c>
      <c r="D299" t="str">
        <v/>
      </c>
      <c r="E299" t="str">
        <v>867162026876599</v>
      </c>
      <c r="F299" t="str">
        <v>TBD</v>
      </c>
      <c r="G299" t="str">
        <v/>
      </c>
      <c r="H299" t="str">
        <v>28/09/2026</v>
      </c>
      <c r="I299" t="str">
        <v>14:41:52</v>
      </c>
      <c r="J299">
        <v>-12.229608</v>
      </c>
      <c r="K299">
        <v>-76.967224</v>
      </c>
      <c r="L299">
        <f>HYPERLINK("https://www.google.com/maps/search/?api=1&amp;query=-12.229608,-76.967224","Antigua Panamericana Sur, Villa El Salvador, Lima")</f>
      </c>
      <c r="M299">
        <v>31.4</v>
      </c>
      <c r="N299">
        <v>98</v>
      </c>
      <c r="O299">
        <v>93978.7</v>
      </c>
      <c r="P299" t="str">
        <v>1,939.78</v>
      </c>
      <c r="Q299" t="str">
        <v/>
      </c>
      <c r="R299" t="str">
        <v/>
      </c>
      <c r="S299" t="str">
        <v/>
      </c>
      <c r="T299" t="str">
        <v/>
      </c>
    </row>
    <row r="300">
      <c r="A300" t="str">
        <v>299</v>
      </c>
      <c r="B300" t="str">
        <v>MASS BSF</v>
      </c>
      <c r="C300" t="str">
        <v>F1W-796</v>
      </c>
      <c r="D300" t="str">
        <v/>
      </c>
      <c r="E300" t="str">
        <v>867162026876599</v>
      </c>
      <c r="F300" t="str">
        <v>TBD</v>
      </c>
      <c r="G300" t="str">
        <v/>
      </c>
      <c r="H300" t="str">
        <v>28/09/2026</v>
      </c>
      <c r="I300" t="str">
        <v>14:42:31</v>
      </c>
      <c r="J300">
        <v>-12.227947</v>
      </c>
      <c r="K300">
        <v>-76.96883</v>
      </c>
      <c r="L300">
        <f>HYPERLINK("https://www.google.com/maps/search/?api=1&amp;query=-12.227947,-76.96883","Antigua Panamericana Sur, Villa El Salvador, Lima")</f>
      </c>
      <c r="M300">
        <v>37.1</v>
      </c>
      <c r="N300">
        <v>98</v>
      </c>
      <c r="O300">
        <v>93978.9</v>
      </c>
      <c r="P300" t="str">
        <v>1,939.78</v>
      </c>
      <c r="Q300" t="str">
        <v/>
      </c>
      <c r="R300" t="str">
        <v/>
      </c>
      <c r="S300" t="str">
        <v/>
      </c>
      <c r="T300" t="str">
        <v/>
      </c>
    </row>
    <row r="301">
      <c r="A301" t="str">
        <v>300</v>
      </c>
      <c r="B301" t="str">
        <v>MASS BSF</v>
      </c>
      <c r="C301" t="str">
        <v>F1W-796</v>
      </c>
      <c r="D301" t="str">
        <v/>
      </c>
      <c r="E301" t="str">
        <v>867162026876599</v>
      </c>
      <c r="F301" t="str">
        <v>TBD</v>
      </c>
      <c r="G301" t="str">
        <v/>
      </c>
      <c r="H301" t="str">
        <v>28/09/2026</v>
      </c>
      <c r="I301" t="str">
        <v>14:43:31</v>
      </c>
      <c r="J301">
        <v>-12.223832</v>
      </c>
      <c r="K301">
        <v>-76.972885</v>
      </c>
      <c r="L301">
        <f>HYPERLINK("https://www.google.com/maps/search/?api=1&amp;query=-12.223832,-76.972885","Antigua Panamericana Sur, Villa El Salvador, Lima")</f>
      </c>
      <c r="M301">
        <v>49.3</v>
      </c>
      <c r="N301">
        <v>98</v>
      </c>
      <c r="O301">
        <v>93979.5</v>
      </c>
      <c r="P301" t="str">
        <v>1,939.78</v>
      </c>
      <c r="Q301" t="str">
        <v/>
      </c>
      <c r="R301" t="str">
        <v/>
      </c>
      <c r="S301" t="str">
        <v/>
      </c>
      <c r="T301" t="str">
        <v/>
      </c>
    </row>
    <row r="302">
      <c r="A302" t="str">
        <v>301</v>
      </c>
      <c r="B302" t="str">
        <v>MASS BSF</v>
      </c>
      <c r="C302" t="str">
        <v>F1W-796</v>
      </c>
      <c r="D302" t="str">
        <v/>
      </c>
      <c r="E302" t="str">
        <v>867162026876599</v>
      </c>
      <c r="F302" t="str">
        <v>TBD</v>
      </c>
      <c r="G302" t="str">
        <v/>
      </c>
      <c r="H302" t="str">
        <v>28/09/2026</v>
      </c>
      <c r="I302" t="str">
        <v>14:43:50</v>
      </c>
      <c r="J302">
        <v>-12.222207</v>
      </c>
      <c r="K302">
        <v>-76.97435</v>
      </c>
      <c r="L302">
        <f>HYPERLINK("https://www.google.com/maps/search/?api=1&amp;query=-12.222207,-76.97435","Avenida El Sol, Villa El Salvador, Lima")</f>
      </c>
      <c r="M302">
        <v>16.4</v>
      </c>
      <c r="N302">
        <v>98</v>
      </c>
      <c r="O302">
        <v>93979.8</v>
      </c>
      <c r="P302" t="str">
        <v>1,939.78</v>
      </c>
      <c r="Q302" t="str">
        <v/>
      </c>
      <c r="R302" t="str">
        <v/>
      </c>
      <c r="S302" t="str">
        <v/>
      </c>
      <c r="T302" t="str">
        <v/>
      </c>
    </row>
    <row r="303">
      <c r="A303" t="str">
        <v>302</v>
      </c>
      <c r="B303" t="str">
        <v>MASS BSF</v>
      </c>
      <c r="C303" t="str">
        <v>F1W-796</v>
      </c>
      <c r="D303" t="str">
        <v/>
      </c>
      <c r="E303" t="str">
        <v>867162026876599</v>
      </c>
      <c r="F303" t="str">
        <v>TBD</v>
      </c>
      <c r="G303" t="str">
        <v/>
      </c>
      <c r="H303" t="str">
        <v>28/09/2026</v>
      </c>
      <c r="I303" t="str">
        <v>14:43:58</v>
      </c>
      <c r="J303">
        <v>-12.221951</v>
      </c>
      <c r="K303">
        <v>-76.974106</v>
      </c>
      <c r="L303">
        <f>HYPERLINK("https://www.google.com/maps/search/?api=1&amp;query=-12.221951,-76.974106","Avenida El Sol, Villa El Salvador, Lima")</f>
      </c>
      <c r="M303">
        <v>19.1</v>
      </c>
      <c r="N303">
        <v>98</v>
      </c>
      <c r="O303">
        <v>93979.8</v>
      </c>
      <c r="P303" t="str">
        <v>1,939.78</v>
      </c>
      <c r="Q303" t="str">
        <v/>
      </c>
      <c r="R303" t="str">
        <v/>
      </c>
      <c r="S303" t="str">
        <v/>
      </c>
      <c r="T303" t="str">
        <v/>
      </c>
    </row>
    <row r="304">
      <c r="A304" t="str">
        <v>303</v>
      </c>
      <c r="B304" t="str">
        <v>MASS BSF</v>
      </c>
      <c r="C304" t="str">
        <v>F1W-796</v>
      </c>
      <c r="D304" t="str">
        <v/>
      </c>
      <c r="E304" t="str">
        <v>867162026876599</v>
      </c>
      <c r="F304" t="str">
        <v>TBD</v>
      </c>
      <c r="G304" t="str">
        <v/>
      </c>
      <c r="H304" t="str">
        <v>28/09/2026</v>
      </c>
      <c r="I304" t="str">
        <v>14:44:31</v>
      </c>
      <c r="J304">
        <v>-12.220286</v>
      </c>
      <c r="K304">
        <v>-76.97237</v>
      </c>
      <c r="L304">
        <f>HYPERLINK("https://www.google.com/maps/search/?api=1&amp;query=-12.220286,-76.97237","Avenida El Sol, Villa El Salvador, Lima")</f>
      </c>
      <c r="M304">
        <v>23.3</v>
      </c>
      <c r="N304">
        <v>98</v>
      </c>
      <c r="O304">
        <v>93980.1</v>
      </c>
      <c r="P304" t="str">
        <v>1,939.78</v>
      </c>
      <c r="Q304" t="str">
        <v/>
      </c>
      <c r="R304" t="str">
        <v/>
      </c>
      <c r="S304" t="str">
        <v/>
      </c>
      <c r="T304" t="str">
        <v/>
      </c>
    </row>
    <row r="305">
      <c r="A305" t="str">
        <v>304</v>
      </c>
      <c r="B305" t="str">
        <v>MASS BSF</v>
      </c>
      <c r="C305" t="str">
        <v>F1W-796</v>
      </c>
      <c r="D305" t="str">
        <v/>
      </c>
      <c r="E305" t="str">
        <v>867162026876599</v>
      </c>
      <c r="F305" t="str">
        <v>TBD</v>
      </c>
      <c r="G305" t="str">
        <v/>
      </c>
      <c r="H305" t="str">
        <v>28/09/2026</v>
      </c>
      <c r="I305" t="str">
        <v>14:45:31</v>
      </c>
      <c r="J305">
        <v>-12.218884</v>
      </c>
      <c r="K305">
        <v>-76.97089</v>
      </c>
      <c r="L305">
        <f>HYPERLINK("https://www.google.com/maps/search/?api=1&amp;query=-12.218884,-76.97089","Avenida El Sol, Villa El Salvador, Lima")</f>
      </c>
      <c r="M305">
        <v>9.8</v>
      </c>
      <c r="N305">
        <v>98</v>
      </c>
      <c r="O305">
        <v>93980.3</v>
      </c>
      <c r="P305" t="str">
        <v>1,939.78</v>
      </c>
      <c r="Q305" t="str">
        <v/>
      </c>
      <c r="R305" t="str">
        <v/>
      </c>
      <c r="S305" t="str">
        <v/>
      </c>
      <c r="T305" t="str">
        <v/>
      </c>
    </row>
    <row r="306">
      <c r="A306" t="str">
        <v>305</v>
      </c>
      <c r="B306" t="str">
        <v>MASS BSF</v>
      </c>
      <c r="C306" t="str">
        <v>F1W-796</v>
      </c>
      <c r="D306" t="str">
        <v/>
      </c>
      <c r="E306" t="str">
        <v>867162026876599</v>
      </c>
      <c r="F306" t="str">
        <v>TBD</v>
      </c>
      <c r="G306" t="str">
        <v/>
      </c>
      <c r="H306" t="str">
        <v>28/09/2026</v>
      </c>
      <c r="I306" t="str">
        <v>14:46:31</v>
      </c>
      <c r="J306">
        <v>-12.217513</v>
      </c>
      <c r="K306">
        <v>-76.96944</v>
      </c>
      <c r="L306">
        <f>HYPERLINK("https://www.google.com/maps/search/?api=1&amp;query=-12.217513,-76.96944","Avenida El Sol, Villa El Salvador, Lima")</f>
      </c>
      <c r="M306">
        <v>15</v>
      </c>
      <c r="N306">
        <v>98</v>
      </c>
      <c r="O306">
        <v>93980.5</v>
      </c>
      <c r="P306" t="str">
        <v>1,939.78</v>
      </c>
      <c r="Q306" t="str">
        <v/>
      </c>
      <c r="R306" t="str">
        <v/>
      </c>
      <c r="S306" t="str">
        <v/>
      </c>
      <c r="T306" t="str">
        <v/>
      </c>
    </row>
    <row r="307">
      <c r="A307" t="str">
        <v>306</v>
      </c>
      <c r="B307" t="str">
        <v>MASS BSF</v>
      </c>
      <c r="C307" t="str">
        <v>F1W-796</v>
      </c>
      <c r="D307" t="str">
        <v/>
      </c>
      <c r="E307" t="str">
        <v>867162026876599</v>
      </c>
      <c r="F307" t="str">
        <v>TBD</v>
      </c>
      <c r="G307" t="str">
        <v/>
      </c>
      <c r="H307" t="str">
        <v>28/09/2026</v>
      </c>
      <c r="I307" t="str">
        <v>14:47:31</v>
      </c>
      <c r="J307">
        <v>-12.215318</v>
      </c>
      <c r="K307">
        <v>-76.96744</v>
      </c>
      <c r="L307">
        <f>HYPERLINK("https://www.google.com/maps/search/?api=1&amp;query=-12.215318,-76.96744","Avenida El Sol, Villa El Salvador, Lima")</f>
      </c>
      <c r="M307">
        <v>37.3</v>
      </c>
      <c r="N307">
        <v>98</v>
      </c>
      <c r="O307">
        <v>93980.9</v>
      </c>
      <c r="P307" t="str">
        <v>1,939.78</v>
      </c>
      <c r="Q307" t="str">
        <v/>
      </c>
      <c r="R307" t="str">
        <v/>
      </c>
      <c r="S307" t="str">
        <v/>
      </c>
      <c r="T307" t="str">
        <v/>
      </c>
    </row>
    <row r="308">
      <c r="A308" t="str">
        <v>307</v>
      </c>
      <c r="B308" t="str">
        <v>MASS BSF</v>
      </c>
      <c r="C308" t="str">
        <v>F1W-796</v>
      </c>
      <c r="D308" t="str">
        <v/>
      </c>
      <c r="E308" t="str">
        <v>867162026876599</v>
      </c>
      <c r="F308" t="str">
        <v>TBD</v>
      </c>
      <c r="G308" t="str">
        <v/>
      </c>
      <c r="H308" t="str">
        <v>28/09/2026</v>
      </c>
      <c r="I308" t="str">
        <v>14:48:31</v>
      </c>
      <c r="J308">
        <v>-12.211349</v>
      </c>
      <c r="K308">
        <v>-76.96222</v>
      </c>
      <c r="L308">
        <f>HYPERLINK("https://www.google.com/maps/search/?api=1&amp;query=-12.211349,-76.96222","Avenida El Sol, Villa El Salvador, Lima")</f>
      </c>
      <c r="M308">
        <v>28.9</v>
      </c>
      <c r="N308">
        <v>98</v>
      </c>
      <c r="O308">
        <v>93981.6</v>
      </c>
      <c r="P308" t="str">
        <v>1,939.78</v>
      </c>
      <c r="Q308" t="str">
        <v/>
      </c>
      <c r="R308" t="str">
        <v/>
      </c>
      <c r="S308" t="str">
        <v/>
      </c>
      <c r="T308" t="str">
        <v/>
      </c>
    </row>
    <row r="309">
      <c r="A309" t="str">
        <v>308</v>
      </c>
      <c r="B309" t="str">
        <v>MASS BSF</v>
      </c>
      <c r="C309" t="str">
        <v>F1W-796</v>
      </c>
      <c r="D309" t="str">
        <v/>
      </c>
      <c r="E309" t="str">
        <v>867162026876599</v>
      </c>
      <c r="F309" t="str">
        <v>TBD</v>
      </c>
      <c r="G309" t="str">
        <v/>
      </c>
      <c r="H309" t="str">
        <v>28/09/2026</v>
      </c>
      <c r="I309" t="str">
        <v>14:48:35</v>
      </c>
      <c r="J309">
        <v>-12.211297</v>
      </c>
      <c r="K309">
        <v>-76.962</v>
      </c>
      <c r="L309">
        <f>HYPERLINK("https://www.google.com/maps/search/?api=1&amp;query=-12.211297,-76.962","Calle 1, Villa El Salvador, Lima")</f>
      </c>
      <c r="M309">
        <v>9.9</v>
      </c>
      <c r="N309">
        <v>98</v>
      </c>
      <c r="O309">
        <v>93981.6</v>
      </c>
      <c r="P309" t="str">
        <v>1,939.78</v>
      </c>
      <c r="Q309" t="str">
        <v/>
      </c>
      <c r="R309" t="str">
        <v/>
      </c>
      <c r="S309" t="str">
        <v/>
      </c>
      <c r="T309" t="str">
        <v/>
      </c>
    </row>
    <row r="310">
      <c r="A310" t="str">
        <v>309</v>
      </c>
      <c r="B310" t="str">
        <v>MASS BSF</v>
      </c>
      <c r="C310" t="str">
        <v>F1W-796</v>
      </c>
      <c r="D310" t="str">
        <v/>
      </c>
      <c r="E310" t="str">
        <v>867162026876599</v>
      </c>
      <c r="F310" t="str">
        <v>TBD</v>
      </c>
      <c r="G310" t="str">
        <v/>
      </c>
      <c r="H310" t="str">
        <v>28/09/2026</v>
      </c>
      <c r="I310" t="str">
        <v>14:49:31</v>
      </c>
      <c r="J310">
        <v>-12.212412</v>
      </c>
      <c r="K310">
        <v>-76.96121</v>
      </c>
      <c r="L310">
        <f>HYPERLINK("https://www.google.com/maps/search/?api=1&amp;query=-12.212412,-76.96121","Calle 1, Villa El Salvador, Lima")</f>
      </c>
      <c r="M310">
        <v>9.7</v>
      </c>
      <c r="N310">
        <v>98</v>
      </c>
      <c r="O310">
        <v>93981.8</v>
      </c>
      <c r="P310" t="str">
        <v>1,939.78</v>
      </c>
      <c r="Q310" t="str">
        <v/>
      </c>
      <c r="R310" t="str">
        <v/>
      </c>
      <c r="S310" t="str">
        <v/>
      </c>
      <c r="T310" t="str">
        <v/>
      </c>
    </row>
    <row r="311">
      <c r="A311" t="str">
        <v>310</v>
      </c>
      <c r="B311" t="str">
        <v>MASS BSF</v>
      </c>
      <c r="C311" t="str">
        <v>F1W-796</v>
      </c>
      <c r="D311" t="str">
        <v/>
      </c>
      <c r="E311" t="str">
        <v>867162026876599</v>
      </c>
      <c r="F311" t="str">
        <v>TBD</v>
      </c>
      <c r="G311" t="str">
        <v/>
      </c>
      <c r="H311" t="str">
        <v>28/09/2026</v>
      </c>
      <c r="I311" t="str">
        <v>14:50:17</v>
      </c>
      <c r="J311">
        <v>-12.213568</v>
      </c>
      <c r="K311">
        <v>-76.960464</v>
      </c>
      <c r="L311">
        <f>HYPERLINK("https://www.google.com/maps/search/?api=1&amp;query=-12.213568,-76.960464","Avenida Villa del Mar, Villa El Salvador, Lima")</f>
      </c>
      <c r="M311">
        <v>9.2</v>
      </c>
      <c r="N311">
        <v>98</v>
      </c>
      <c r="O311">
        <v>93981.9</v>
      </c>
      <c r="P311" t="str">
        <v>1,939.78</v>
      </c>
      <c r="Q311" t="str">
        <v/>
      </c>
      <c r="R311" t="str">
        <v/>
      </c>
      <c r="S311" t="str">
        <v/>
      </c>
      <c r="T311" t="str">
        <v/>
      </c>
    </row>
    <row r="312">
      <c r="A312" t="str">
        <v>311</v>
      </c>
      <c r="B312" t="str">
        <v>MASS BSF</v>
      </c>
      <c r="C312" t="str">
        <v>F1W-796</v>
      </c>
      <c r="D312" t="str">
        <v/>
      </c>
      <c r="E312" t="str">
        <v>867162026876599</v>
      </c>
      <c r="F312" t="str">
        <v>TBD</v>
      </c>
      <c r="G312" t="str">
        <v/>
      </c>
      <c r="H312" t="str">
        <v>28/09/2026</v>
      </c>
      <c r="I312" t="str">
        <v>14:50:22</v>
      </c>
      <c r="J312">
        <v>-12.213511</v>
      </c>
      <c r="K312">
        <v>-76.960335</v>
      </c>
      <c r="L312">
        <f>HYPERLINK("https://www.google.com/maps/search/?api=1&amp;query=-12.213511,-76.960335","Avenida Villa del Mar, Villa El Salvador, Lima")</f>
      </c>
      <c r="M312">
        <v>8.9</v>
      </c>
      <c r="N312">
        <v>98</v>
      </c>
      <c r="O312">
        <v>93981.9</v>
      </c>
      <c r="P312" t="str">
        <v>1,939.78</v>
      </c>
      <c r="Q312" t="str">
        <v/>
      </c>
      <c r="R312" t="str">
        <v/>
      </c>
      <c r="S312" t="str">
        <v/>
      </c>
      <c r="T312" t="str">
        <v/>
      </c>
    </row>
    <row r="313">
      <c r="A313" t="str">
        <v>312</v>
      </c>
      <c r="B313" t="str">
        <v>MASS BSF</v>
      </c>
      <c r="C313" t="str">
        <v>F1W-796</v>
      </c>
      <c r="D313" t="str">
        <v/>
      </c>
      <c r="E313" t="str">
        <v>867162026876599</v>
      </c>
      <c r="F313" t="str">
        <v>TBD</v>
      </c>
      <c r="G313" t="str">
        <v/>
      </c>
      <c r="H313" t="str">
        <v>28/09/2026</v>
      </c>
      <c r="I313" t="str">
        <v>14:50:31</v>
      </c>
      <c r="J313">
        <v>-12.21342</v>
      </c>
      <c r="K313">
        <v>-76.960205</v>
      </c>
      <c r="L313">
        <f>HYPERLINK("https://www.google.com/maps/search/?api=1&amp;query=-12.21342,-76.960205","Avenida Villa del Mar, Villa El Salvador, Lima")</f>
      </c>
      <c r="M313">
        <v>7.9</v>
      </c>
      <c r="N313">
        <v>98</v>
      </c>
      <c r="O313">
        <v>93982</v>
      </c>
      <c r="P313" t="str">
        <v>1,939.78</v>
      </c>
      <c r="Q313" t="str">
        <v/>
      </c>
      <c r="R313" t="str">
        <v/>
      </c>
      <c r="S313" t="str">
        <v/>
      </c>
      <c r="T313" t="str">
        <v/>
      </c>
    </row>
    <row r="314">
      <c r="A314" t="str">
        <v>313</v>
      </c>
      <c r="B314" t="str">
        <v>MASS BSF</v>
      </c>
      <c r="C314" t="str">
        <v>F1W-796</v>
      </c>
      <c r="D314" t="str">
        <v/>
      </c>
      <c r="E314" t="str">
        <v>867162026876599</v>
      </c>
      <c r="F314" t="str">
        <v>TBD</v>
      </c>
      <c r="G314" t="str">
        <v/>
      </c>
      <c r="H314" t="str">
        <v>28/09/2026</v>
      </c>
      <c r="I314" t="str">
        <v>14:50:56</v>
      </c>
      <c r="J314">
        <v>-12.212861</v>
      </c>
      <c r="K314">
        <v>-76.959274</v>
      </c>
      <c r="L314">
        <f>HYPERLINK("https://www.google.com/maps/search/?api=1&amp;query=-12.212861,-76.959274","Avenida Villa del Mar, Villa El Salvador, Lima")</f>
      </c>
      <c r="M314">
        <v>13.8</v>
      </c>
      <c r="N314">
        <v>98</v>
      </c>
      <c r="O314">
        <v>93982.1</v>
      </c>
      <c r="P314" t="str">
        <v>1,939.78</v>
      </c>
      <c r="Q314" t="str">
        <v/>
      </c>
      <c r="R314" t="str">
        <v/>
      </c>
      <c r="S314" t="str">
        <v/>
      </c>
      <c r="T314" t="str">
        <v/>
      </c>
    </row>
    <row r="315">
      <c r="A315" t="str">
        <v>314</v>
      </c>
      <c r="B315" t="str">
        <v>MASS BSF</v>
      </c>
      <c r="C315" t="str">
        <v>F1W-796</v>
      </c>
      <c r="D315" t="str">
        <v/>
      </c>
      <c r="E315" t="str">
        <v>867162026876599</v>
      </c>
      <c r="F315" t="str">
        <v>TBD</v>
      </c>
      <c r="G315" t="str">
        <v/>
      </c>
      <c r="H315" t="str">
        <v>28/09/2026</v>
      </c>
      <c r="I315" t="str">
        <v>14:50:56</v>
      </c>
      <c r="J315">
        <v>-12.212861</v>
      </c>
      <c r="K315">
        <v>-76.959274</v>
      </c>
      <c r="L315">
        <f>HYPERLINK("https://www.google.com/maps/search/?api=1&amp;query=-12.212861,-76.959274","Avenida Villa del Mar, Villa El Salvador, Lima")</f>
      </c>
      <c r="M315">
        <v>13.8</v>
      </c>
      <c r="N315">
        <v>98</v>
      </c>
      <c r="O315">
        <v>93981.8</v>
      </c>
      <c r="P315" t="str">
        <v>1,939.77</v>
      </c>
      <c r="Q315" t="str">
        <v>Llegó a la zona</v>
      </c>
      <c r="R315" t="str">
        <v>BASE-OSLOGISTICS</v>
      </c>
      <c r="S315" t="str">
        <v xml:space="preserve"> </v>
      </c>
      <c r="T315" t="str">
        <v/>
      </c>
    </row>
    <row r="316">
      <c r="A316" t="str">
        <v>315</v>
      </c>
      <c r="B316" t="str">
        <v>MASS BSF</v>
      </c>
      <c r="C316" t="str">
        <v>F1W-796</v>
      </c>
      <c r="D316" t="str">
        <v/>
      </c>
      <c r="E316" t="str">
        <v>867162026876599</v>
      </c>
      <c r="F316" t="str">
        <v>TBD</v>
      </c>
      <c r="G316" t="str">
        <v/>
      </c>
      <c r="H316" t="str">
        <v>28/09/2026</v>
      </c>
      <c r="I316" t="str">
        <v>14:50:59</v>
      </c>
      <c r="J316">
        <v>-12.212903</v>
      </c>
      <c r="K316">
        <v>-76.95921</v>
      </c>
      <c r="L316">
        <f>HYPERLINK("https://www.google.com/maps/search/?api=1&amp;query=-12.212903,-76.95921","Avenida Villa del Mar, Villa El Salvador, Lima")</f>
      </c>
      <c r="M316">
        <v>7.1</v>
      </c>
      <c r="N316">
        <v>98</v>
      </c>
      <c r="O316">
        <v>93982.1</v>
      </c>
      <c r="P316" t="str">
        <v>1,939.78</v>
      </c>
      <c r="Q316" t="str">
        <v/>
      </c>
      <c r="R316" t="str">
        <v/>
      </c>
      <c r="S316" t="str">
        <v/>
      </c>
      <c r="T316" t="str">
        <v/>
      </c>
    </row>
    <row r="317">
      <c r="A317" t="str">
        <v>316</v>
      </c>
      <c r="B317" t="str">
        <v>MASS BSF</v>
      </c>
      <c r="C317" t="str">
        <v>F1W-796</v>
      </c>
      <c r="D317" t="str">
        <v/>
      </c>
      <c r="E317" t="str">
        <v>867162026876599</v>
      </c>
      <c r="F317" t="str">
        <v>TBD</v>
      </c>
      <c r="G317" t="str">
        <v/>
      </c>
      <c r="H317" t="str">
        <v>28/09/2026</v>
      </c>
      <c r="I317" t="str">
        <v>14:51:31</v>
      </c>
      <c r="J317">
        <v>-12.212917</v>
      </c>
      <c r="K317">
        <v>-76.959206</v>
      </c>
      <c r="L317">
        <f>HYPERLINK("https://www.google.com/maps/search/?api=1&amp;query=-12.212917,-76.959206","Avenida Villa del Mar, Villa El Salvador, Lima")</f>
      </c>
      <c r="M317">
        <v>0</v>
      </c>
      <c r="N317">
        <v>98</v>
      </c>
      <c r="O317">
        <v>93982.1</v>
      </c>
      <c r="P317" t="str">
        <v>1,939.78</v>
      </c>
      <c r="Q317" t="str">
        <v/>
      </c>
      <c r="R317" t="str">
        <v/>
      </c>
      <c r="S317" t="str">
        <v/>
      </c>
      <c r="T317" t="str">
        <v/>
      </c>
    </row>
    <row r="318">
      <c r="A318" t="str">
        <v>317</v>
      </c>
      <c r="B318" t="str">
        <v>MASS BSF</v>
      </c>
      <c r="C318" t="str">
        <v>F1W-796</v>
      </c>
      <c r="D318" t="str">
        <v/>
      </c>
      <c r="E318" t="str">
        <v>867162026876599</v>
      </c>
      <c r="F318" t="str">
        <v>TBD</v>
      </c>
      <c r="G318" t="str">
        <v/>
      </c>
      <c r="H318" t="str">
        <v>28/09/2026</v>
      </c>
      <c r="I318" t="str">
        <v>14:52:31</v>
      </c>
      <c r="J318">
        <v>-12.212917</v>
      </c>
      <c r="K318">
        <v>-76.959206</v>
      </c>
      <c r="L318">
        <f>HYPERLINK("https://www.google.com/maps/search/?api=1&amp;query=-12.212917,-76.959206","Avenida Villa del Mar, Villa El Salvador, Lima")</f>
      </c>
      <c r="M318">
        <v>0</v>
      </c>
      <c r="N318">
        <v>98</v>
      </c>
      <c r="O318">
        <v>93982.1</v>
      </c>
      <c r="P318" t="str">
        <v>1,939.78</v>
      </c>
      <c r="Q318" t="str">
        <v/>
      </c>
      <c r="R318" t="str">
        <v/>
      </c>
      <c r="S318" t="str">
        <v/>
      </c>
      <c r="T318" t="str">
        <v/>
      </c>
    </row>
    <row r="319">
      <c r="A319" t="str">
        <v>318</v>
      </c>
      <c r="B319" t="str">
        <v>MASS BSF</v>
      </c>
      <c r="C319" t="str">
        <v>F1W-796</v>
      </c>
      <c r="D319" t="str">
        <v/>
      </c>
      <c r="E319" t="str">
        <v>867162026876599</v>
      </c>
      <c r="F319" t="str">
        <v>TBD</v>
      </c>
      <c r="G319" t="str">
        <v/>
      </c>
      <c r="H319" t="str">
        <v>28/09/2026</v>
      </c>
      <c r="I319" t="str">
        <v>14:53:20</v>
      </c>
      <c r="J319">
        <v>-12.212963</v>
      </c>
      <c r="K319">
        <v>-76.95909</v>
      </c>
      <c r="L319">
        <f>HYPERLINK("https://www.google.com/maps/search/?api=1&amp;query=-12.212963,-76.95909","Avenida Villa del Mar, Villa El Salvador, Lima")</f>
      </c>
      <c r="M319">
        <v>8.6</v>
      </c>
      <c r="N319">
        <v>98</v>
      </c>
      <c r="O319">
        <v>93982.1</v>
      </c>
      <c r="P319" t="str">
        <v>1,939.78</v>
      </c>
      <c r="Q319" t="str">
        <v/>
      </c>
      <c r="R319" t="str">
        <v/>
      </c>
      <c r="S319" t="str">
        <v/>
      </c>
      <c r="T319" t="str">
        <v/>
      </c>
    </row>
    <row r="320">
      <c r="A320" t="str">
        <v>319</v>
      </c>
      <c r="B320" t="str">
        <v>MASS BSF</v>
      </c>
      <c r="C320" t="str">
        <v>F1W-796</v>
      </c>
      <c r="D320" t="str">
        <v/>
      </c>
      <c r="E320" t="str">
        <v>867162026876599</v>
      </c>
      <c r="F320" t="str">
        <v>TBD</v>
      </c>
      <c r="G320" t="str">
        <v/>
      </c>
      <c r="H320" t="str">
        <v>28/09/2026</v>
      </c>
      <c r="I320" t="str">
        <v>14:53:26</v>
      </c>
      <c r="J320">
        <v>-12.212901</v>
      </c>
      <c r="K320">
        <v>-76.959</v>
      </c>
      <c r="L320">
        <f>HYPERLINK("https://www.google.com/maps/search/?api=1&amp;query=-12.212901,-76.959","Avenida Villa del Mar, Villa El Salvador, Lima")</f>
      </c>
      <c r="M320">
        <v>3.4</v>
      </c>
      <c r="N320">
        <v>98</v>
      </c>
      <c r="O320">
        <v>93982.1</v>
      </c>
      <c r="P320" t="str">
        <v>1,939.78</v>
      </c>
      <c r="Q320" t="str">
        <v/>
      </c>
      <c r="R320" t="str">
        <v/>
      </c>
      <c r="S320" t="str">
        <v/>
      </c>
      <c r="T320" t="str">
        <v/>
      </c>
    </row>
    <row r="321">
      <c r="A321" t="str">
        <v>320</v>
      </c>
      <c r="B321" t="str">
        <v>MASS BSF</v>
      </c>
      <c r="C321" t="str">
        <v>F1W-796</v>
      </c>
      <c r="D321" t="str">
        <v/>
      </c>
      <c r="E321" t="str">
        <v>867162026876599</v>
      </c>
      <c r="F321" t="str">
        <v>TBD</v>
      </c>
      <c r="G321" t="str">
        <v/>
      </c>
      <c r="H321" t="str">
        <v>28/09/2026</v>
      </c>
      <c r="I321" t="str">
        <v>14:53:31</v>
      </c>
      <c r="J321">
        <v>-12.212876</v>
      </c>
      <c r="K321">
        <v>-76.95896</v>
      </c>
      <c r="L321">
        <f>HYPERLINK("https://www.google.com/maps/search/?api=1&amp;query=-12.212876,-76.95896","Avenida Villa del Mar, Villa El Salvador, Lima")</f>
      </c>
      <c r="M321">
        <v>4</v>
      </c>
      <c r="N321">
        <v>98</v>
      </c>
      <c r="O321">
        <v>93982.1</v>
      </c>
      <c r="P321" t="str">
        <v>1,939.78</v>
      </c>
      <c r="Q321" t="str">
        <v/>
      </c>
      <c r="R321" t="str">
        <v/>
      </c>
      <c r="S321" t="str">
        <v/>
      </c>
      <c r="T321" t="str">
        <v/>
      </c>
    </row>
    <row r="322">
      <c r="A322" t="str">
        <v>321</v>
      </c>
      <c r="B322" t="str">
        <v>MASS BSF</v>
      </c>
      <c r="C322" t="str">
        <v>F1W-796</v>
      </c>
      <c r="D322" t="str">
        <v/>
      </c>
      <c r="E322" t="str">
        <v>867162026876599</v>
      </c>
      <c r="F322" t="str">
        <v>TBD</v>
      </c>
      <c r="G322" t="str">
        <v/>
      </c>
      <c r="H322" t="str">
        <v>28/09/2026</v>
      </c>
      <c r="I322" t="str">
        <v>14:54:31</v>
      </c>
      <c r="J322">
        <v>-12.21287</v>
      </c>
      <c r="K322">
        <v>-76.95895</v>
      </c>
      <c r="L322">
        <f>HYPERLINK("https://www.google.com/maps/search/?api=1&amp;query=-12.21287,-76.95895","Avenida Villa del Mar, Villa El Salvador, Lima")</f>
      </c>
      <c r="M322">
        <v>0</v>
      </c>
      <c r="N322">
        <v>98</v>
      </c>
      <c r="O322">
        <v>93982.1</v>
      </c>
      <c r="P322" t="str">
        <v>1,939.78</v>
      </c>
      <c r="Q322" t="str">
        <v/>
      </c>
      <c r="R322" t="str">
        <v/>
      </c>
      <c r="S322" t="str">
        <v/>
      </c>
      <c r="T322" t="str">
        <v/>
      </c>
    </row>
    <row r="323">
      <c r="A323" t="str">
        <v>322</v>
      </c>
      <c r="B323" t="str">
        <v>MASS BSF</v>
      </c>
      <c r="C323" t="str">
        <v>F1W-796</v>
      </c>
      <c r="D323" t="str">
        <v/>
      </c>
      <c r="E323" t="str">
        <v>867162026876599</v>
      </c>
      <c r="F323" t="str">
        <v>TBD</v>
      </c>
      <c r="G323" t="str">
        <v/>
      </c>
      <c r="H323" t="str">
        <v>28/09/2026</v>
      </c>
      <c r="I323" t="str">
        <v>14:55:31</v>
      </c>
      <c r="J323">
        <v>-12.21287</v>
      </c>
      <c r="K323">
        <v>-76.95895</v>
      </c>
      <c r="L323">
        <f>HYPERLINK("https://www.google.com/maps/search/?api=1&amp;query=-12.21287,-76.95895","Avenida Villa del Mar, Villa El Salvador, Lima")</f>
      </c>
      <c r="M323">
        <v>0</v>
      </c>
      <c r="N323">
        <v>98</v>
      </c>
      <c r="O323">
        <v>93982.1</v>
      </c>
      <c r="P323" t="str">
        <v>1,939.78</v>
      </c>
      <c r="Q323" t="str">
        <v/>
      </c>
      <c r="R323" t="str">
        <v/>
      </c>
      <c r="S323" t="str">
        <v/>
      </c>
      <c r="T323" t="str">
        <v/>
      </c>
    </row>
    <row r="324">
      <c r="A324" t="str">
        <v>323</v>
      </c>
      <c r="B324" t="str">
        <v>MASS BSF</v>
      </c>
      <c r="C324" t="str">
        <v>F1W-796</v>
      </c>
      <c r="D324" t="str">
        <v/>
      </c>
      <c r="E324" t="str">
        <v>867162026876599</v>
      </c>
      <c r="F324" t="str">
        <v>TBD</v>
      </c>
      <c r="G324" t="str">
        <v/>
      </c>
      <c r="H324" t="str">
        <v>28/09/2026</v>
      </c>
      <c r="I324" t="str">
        <v>14:56:31</v>
      </c>
      <c r="J324">
        <v>-12.21287</v>
      </c>
      <c r="K324">
        <v>-76.95895</v>
      </c>
      <c r="L324">
        <f>HYPERLINK("https://www.google.com/maps/search/?api=1&amp;query=-12.21287,-76.95895","Avenida Villa del Mar, Villa El Salvador, Lima")</f>
      </c>
      <c r="M324">
        <v>0</v>
      </c>
      <c r="N324">
        <v>98</v>
      </c>
      <c r="O324">
        <v>93982.1</v>
      </c>
      <c r="P324" t="str">
        <v>1,939.78</v>
      </c>
      <c r="Q324" t="str">
        <v/>
      </c>
      <c r="R324" t="str">
        <v/>
      </c>
      <c r="S324" t="str">
        <v/>
      </c>
      <c r="T324" t="str">
        <v/>
      </c>
    </row>
    <row r="325">
      <c r="A325" t="str">
        <v>324</v>
      </c>
      <c r="B325" t="str">
        <v>MASS BSF</v>
      </c>
      <c r="C325" t="str">
        <v>F1W-796</v>
      </c>
      <c r="D325" t="str">
        <v/>
      </c>
      <c r="E325" t="str">
        <v>867162026876599</v>
      </c>
      <c r="F325" t="str">
        <v>TBD</v>
      </c>
      <c r="G325" t="str">
        <v/>
      </c>
      <c r="H325" t="str">
        <v>28/09/2026</v>
      </c>
      <c r="I325" t="str">
        <v>14:57:31</v>
      </c>
      <c r="J325">
        <v>-12.21287</v>
      </c>
      <c r="K325">
        <v>-76.95895</v>
      </c>
      <c r="L325">
        <f>HYPERLINK("https://www.google.com/maps/search/?api=1&amp;query=-12.21287,-76.95895","Avenida Villa del Mar, Villa El Salvador, Lima")</f>
      </c>
      <c r="M325">
        <v>0</v>
      </c>
      <c r="N325">
        <v>98</v>
      </c>
      <c r="O325">
        <v>93982.1</v>
      </c>
      <c r="P325" t="str">
        <v>1,939.78</v>
      </c>
      <c r="Q325" t="str">
        <v/>
      </c>
      <c r="R325" t="str">
        <v/>
      </c>
      <c r="S325" t="str">
        <v/>
      </c>
      <c r="T325" t="str">
        <v/>
      </c>
    </row>
    <row r="326">
      <c r="A326" t="str">
        <v>325</v>
      </c>
      <c r="B326" t="str">
        <v>MASS BSF</v>
      </c>
      <c r="C326" t="str">
        <v>F1W-796</v>
      </c>
      <c r="D326" t="str">
        <v/>
      </c>
      <c r="E326" t="str">
        <v>867162026876599</v>
      </c>
      <c r="F326" t="str">
        <v>TBD</v>
      </c>
      <c r="G326" t="str">
        <v/>
      </c>
      <c r="H326" t="str">
        <v>28/09/2026</v>
      </c>
      <c r="I326" t="str">
        <v>14:57:34</v>
      </c>
      <c r="J326">
        <v>-12.21287</v>
      </c>
      <c r="K326">
        <v>-76.95895</v>
      </c>
      <c r="L326">
        <f>HYPERLINK("https://www.google.com/maps/search/?api=1&amp;query=-12.21287,-76.95895","Avenida Villa del Mar, Villa El Salvador, Lima")</f>
      </c>
      <c r="M326">
        <v>0</v>
      </c>
      <c r="N326">
        <v>98</v>
      </c>
      <c r="O326">
        <v>93982.1</v>
      </c>
      <c r="P326" t="str">
        <v>1,940.43</v>
      </c>
      <c r="Q326" t="str">
        <v>Vehículo apagado</v>
      </c>
      <c r="R326" t="str">
        <v/>
      </c>
      <c r="S326" t="str">
        <v/>
      </c>
      <c r="T326" t="str">
        <v/>
      </c>
    </row>
    <row r="327">
      <c r="A327" t="str">
        <v>326</v>
      </c>
      <c r="B327" t="str">
        <v>MASS BSF</v>
      </c>
      <c r="C327" t="str">
        <v>F1W-796</v>
      </c>
      <c r="D327" t="str">
        <v/>
      </c>
      <c r="E327" t="str">
        <v>867162026876599</v>
      </c>
      <c r="F327" t="str">
        <v>TBD</v>
      </c>
      <c r="G327" t="str">
        <v/>
      </c>
      <c r="H327" t="str">
        <v>28/09/2026</v>
      </c>
      <c r="I327" t="str">
        <v>14:57:40</v>
      </c>
      <c r="J327">
        <v>-12.21287</v>
      </c>
      <c r="K327">
        <v>-76.95895</v>
      </c>
      <c r="L327">
        <f>HYPERLINK("https://www.google.com/maps/search/?api=1&amp;query=-12.21287,-76.95895","Avenida Villa del Mar, Villa El Salvador, Lima")</f>
      </c>
      <c r="M327">
        <v>0</v>
      </c>
      <c r="N327">
        <v>98</v>
      </c>
      <c r="O327">
        <v>93982.1</v>
      </c>
      <c r="P327" t="str">
        <v>1,940.43</v>
      </c>
      <c r="Q327" t="str">
        <v/>
      </c>
      <c r="R327" t="str">
        <v/>
      </c>
      <c r="S327" t="str">
        <v/>
      </c>
      <c r="T327" t="str">
        <v/>
      </c>
    </row>
    <row r="328">
      <c r="A328" t="str">
        <v>327</v>
      </c>
      <c r="B328" t="str">
        <v>MASS BSF</v>
      </c>
      <c r="C328" t="str">
        <v>F1W-796</v>
      </c>
      <c r="D328" t="str">
        <v/>
      </c>
      <c r="E328" t="str">
        <v>867162026876599</v>
      </c>
      <c r="F328" t="str">
        <v>TBD</v>
      </c>
      <c r="G328" t="str">
        <v/>
      </c>
      <c r="H328" t="str">
        <v>28/09/2026</v>
      </c>
      <c r="I328" t="str">
        <v>15:00:56</v>
      </c>
      <c r="J328">
        <v>-12.21287</v>
      </c>
      <c r="K328">
        <v>-76.95895</v>
      </c>
      <c r="L328">
        <f>HYPERLINK("https://www.google.com/maps/search/?api=1&amp;query=-12.21287,-76.95895","Avenida Villa del Mar, Villa El Salvador, Lima")</f>
      </c>
      <c r="M328">
        <v>0</v>
      </c>
      <c r="N328">
        <v>98</v>
      </c>
      <c r="O328">
        <v>93982.1</v>
      </c>
      <c r="P328" t="str">
        <v>1,940.43</v>
      </c>
      <c r="Q328" t="str">
        <v>Vehículo encendido</v>
      </c>
      <c r="R328" t="str">
        <v/>
      </c>
      <c r="S328" t="str">
        <v/>
      </c>
      <c r="T328" t="str">
        <v/>
      </c>
    </row>
    <row r="329">
      <c r="A329" t="str">
        <v>328</v>
      </c>
      <c r="B329" t="str">
        <v>MASS BSF</v>
      </c>
      <c r="C329" t="str">
        <v>F1W-796</v>
      </c>
      <c r="D329" t="str">
        <v/>
      </c>
      <c r="E329" t="str">
        <v>867162026876599</v>
      </c>
      <c r="F329" t="str">
        <v>TBD</v>
      </c>
      <c r="G329" t="str">
        <v/>
      </c>
      <c r="H329" t="str">
        <v>28/09/2026</v>
      </c>
      <c r="I329" t="str">
        <v>15:01:01</v>
      </c>
      <c r="J329">
        <v>-12.212997</v>
      </c>
      <c r="K329">
        <v>-76.95877</v>
      </c>
      <c r="L329">
        <f>HYPERLINK("https://www.google.com/maps/search/?api=1&amp;query=-12.212997,-76.95877","Villa El Salvador, Lima")</f>
      </c>
      <c r="M329">
        <v>0</v>
      </c>
      <c r="N329">
        <v>98</v>
      </c>
      <c r="O329">
        <v>93982.1</v>
      </c>
      <c r="P329" t="str">
        <v>1,940.43</v>
      </c>
      <c r="Q329" t="str">
        <v/>
      </c>
      <c r="R329" t="str">
        <v/>
      </c>
      <c r="S329" t="str">
        <v/>
      </c>
      <c r="T329" t="str">
        <v/>
      </c>
    </row>
    <row r="330">
      <c r="A330" t="str">
        <v>329</v>
      </c>
      <c r="B330" t="str">
        <v>MASS BSF</v>
      </c>
      <c r="C330" t="str">
        <v>F1W-796</v>
      </c>
      <c r="D330" t="str">
        <v/>
      </c>
      <c r="E330" t="str">
        <v>867162026876599</v>
      </c>
      <c r="F330" t="str">
        <v>TBD</v>
      </c>
      <c r="G330" t="str">
        <v/>
      </c>
      <c r="H330" t="str">
        <v>28/09/2026</v>
      </c>
      <c r="I330" t="str">
        <v>15:01:57</v>
      </c>
      <c r="J330">
        <v>-12.212997</v>
      </c>
      <c r="K330">
        <v>-76.95877</v>
      </c>
      <c r="L330">
        <f>HYPERLINK("https://www.google.com/maps/search/?api=1&amp;query=-12.212997,-76.95877","Villa El Salvador, Lima")</f>
      </c>
      <c r="M330">
        <v>0</v>
      </c>
      <c r="N330">
        <v>98</v>
      </c>
      <c r="O330">
        <v>93982.1</v>
      </c>
      <c r="P330" t="str">
        <v>1,940.43</v>
      </c>
      <c r="Q330" t="str">
        <v/>
      </c>
      <c r="R330" t="str">
        <v/>
      </c>
      <c r="S330" t="str">
        <v/>
      </c>
      <c r="T330" t="str">
        <v/>
      </c>
    </row>
    <row r="331">
      <c r="A331" t="str">
        <v>330</v>
      </c>
      <c r="B331" t="str">
        <v>MASS BSF</v>
      </c>
      <c r="C331" t="str">
        <v>F1W-796</v>
      </c>
      <c r="D331" t="str">
        <v/>
      </c>
      <c r="E331" t="str">
        <v>867162026876599</v>
      </c>
      <c r="F331" t="str">
        <v>TBD</v>
      </c>
      <c r="G331" t="str">
        <v/>
      </c>
      <c r="H331" t="str">
        <v>28/09/2026</v>
      </c>
      <c r="I331" t="str">
        <v>15:02:57</v>
      </c>
      <c r="J331">
        <v>-12.212997</v>
      </c>
      <c r="K331">
        <v>-76.95877</v>
      </c>
      <c r="L331">
        <f>HYPERLINK("https://www.google.com/maps/search/?api=1&amp;query=-12.212997,-76.95877","Villa El Salvador, Lima")</f>
      </c>
      <c r="M331">
        <v>0</v>
      </c>
      <c r="N331">
        <v>98</v>
      </c>
      <c r="O331">
        <v>93982.1</v>
      </c>
      <c r="P331" t="str">
        <v>1,940.43</v>
      </c>
      <c r="Q331" t="str">
        <v/>
      </c>
      <c r="R331" t="str">
        <v/>
      </c>
      <c r="S331" t="str">
        <v/>
      </c>
      <c r="T331" t="str">
        <v/>
      </c>
    </row>
    <row r="332">
      <c r="A332" t="str">
        <v>331</v>
      </c>
      <c r="B332" t="str">
        <v>MASS BSF</v>
      </c>
      <c r="C332" t="str">
        <v>F1W-796</v>
      </c>
      <c r="D332" t="str">
        <v/>
      </c>
      <c r="E332" t="str">
        <v>867162026876599</v>
      </c>
      <c r="F332" t="str">
        <v>TBD</v>
      </c>
      <c r="G332" t="str">
        <v/>
      </c>
      <c r="H332" t="str">
        <v>28/09/2026</v>
      </c>
      <c r="I332" t="str">
        <v>15:03:57</v>
      </c>
      <c r="J332">
        <v>-12.212997</v>
      </c>
      <c r="K332">
        <v>-76.95877</v>
      </c>
      <c r="L332">
        <f>HYPERLINK("https://www.google.com/maps/search/?api=1&amp;query=-12.212997,-76.95877","Villa El Salvador, Lima")</f>
      </c>
      <c r="M332">
        <v>0</v>
      </c>
      <c r="N332">
        <v>98</v>
      </c>
      <c r="O332">
        <v>93982.1</v>
      </c>
      <c r="P332" t="str">
        <v>1,940.43</v>
      </c>
      <c r="Q332" t="str">
        <v/>
      </c>
      <c r="R332" t="str">
        <v/>
      </c>
      <c r="S332" t="str">
        <v/>
      </c>
      <c r="T332" t="str">
        <v/>
      </c>
    </row>
    <row r="333">
      <c r="A333" t="str">
        <v>332</v>
      </c>
      <c r="B333" t="str">
        <v>MASS BSF</v>
      </c>
      <c r="C333" t="str">
        <v>F1W-796</v>
      </c>
      <c r="D333" t="str">
        <v/>
      </c>
      <c r="E333" t="str">
        <v>867162026876599</v>
      </c>
      <c r="F333" t="str">
        <v>TBD</v>
      </c>
      <c r="G333" t="str">
        <v/>
      </c>
      <c r="H333" t="str">
        <v>28/09/2026</v>
      </c>
      <c r="I333" t="str">
        <v>15:04:57</v>
      </c>
      <c r="J333">
        <v>-12.212997</v>
      </c>
      <c r="K333">
        <v>-76.95877</v>
      </c>
      <c r="L333">
        <f>HYPERLINK("https://www.google.com/maps/search/?api=1&amp;query=-12.212997,-76.95877","Villa El Salvador, Lima")</f>
      </c>
      <c r="M333">
        <v>0</v>
      </c>
      <c r="N333">
        <v>98</v>
      </c>
      <c r="O333">
        <v>93982.1</v>
      </c>
      <c r="P333" t="str">
        <v>1,940.43</v>
      </c>
      <c r="Q333" t="str">
        <v/>
      </c>
      <c r="R333" t="str">
        <v/>
      </c>
      <c r="S333" t="str">
        <v/>
      </c>
      <c r="T333" t="str">
        <v/>
      </c>
    </row>
    <row r="334">
      <c r="A334" t="str">
        <v>333</v>
      </c>
      <c r="B334" t="str">
        <v>MASS BSF</v>
      </c>
      <c r="C334" t="str">
        <v>F1W-796</v>
      </c>
      <c r="D334" t="str">
        <v/>
      </c>
      <c r="E334" t="str">
        <v>867162026876599</v>
      </c>
      <c r="F334" t="str">
        <v>TBD</v>
      </c>
      <c r="G334" t="str">
        <v/>
      </c>
      <c r="H334" t="str">
        <v>28/09/2026</v>
      </c>
      <c r="I334" t="str">
        <v>15:05:34</v>
      </c>
      <c r="J334">
        <v>-12.212997</v>
      </c>
      <c r="K334">
        <v>-76.95877</v>
      </c>
      <c r="L334">
        <f>HYPERLINK("https://www.google.com/maps/search/?api=1&amp;query=-12.212997,-76.95877","Villa El Salvador, Lima")</f>
      </c>
      <c r="M334">
        <v>0</v>
      </c>
      <c r="N334">
        <v>98</v>
      </c>
      <c r="O334">
        <v>93982.1</v>
      </c>
      <c r="P334" t="str">
        <v>1,940.52</v>
      </c>
      <c r="Q334" t="str">
        <v>Vehículo apagado</v>
      </c>
      <c r="R334" t="str">
        <v/>
      </c>
      <c r="S334" t="str">
        <v/>
      </c>
      <c r="T334" t="str">
        <v/>
      </c>
    </row>
    <row r="335">
      <c r="A335" t="str">
        <v>334</v>
      </c>
      <c r="B335" t="str">
        <v>MASS BSF</v>
      </c>
      <c r="C335" t="str">
        <v>F1W-796</v>
      </c>
      <c r="D335" t="str">
        <v/>
      </c>
      <c r="E335" t="str">
        <v>867162026876599</v>
      </c>
      <c r="F335" t="str">
        <v>TBD</v>
      </c>
      <c r="G335" t="str">
        <v/>
      </c>
      <c r="H335" t="str">
        <v>28/09/2026</v>
      </c>
      <c r="I335" t="str">
        <v>15:05:37</v>
      </c>
      <c r="J335">
        <v>-12.212997</v>
      </c>
      <c r="K335">
        <v>-76.95877</v>
      </c>
      <c r="L335">
        <f>HYPERLINK("https://www.google.com/maps/search/?api=1&amp;query=-12.212997,-76.95877","Villa El Salvador, Lima")</f>
      </c>
      <c r="M335">
        <v>0</v>
      </c>
      <c r="N335">
        <v>98</v>
      </c>
      <c r="O335">
        <v>93982.1</v>
      </c>
      <c r="P335" t="str">
        <v>1,940.43</v>
      </c>
      <c r="Q335" t="str">
        <v/>
      </c>
      <c r="R335" t="str">
        <v/>
      </c>
      <c r="S335" t="str">
        <v/>
      </c>
      <c r="T335" t="str">
        <v/>
      </c>
    </row>
    <row r="336">
      <c r="A336" t="str">
        <v>335</v>
      </c>
      <c r="B336" t="str">
        <v>MASS BSF</v>
      </c>
      <c r="C336" t="str">
        <v>F1W-796</v>
      </c>
      <c r="D336" t="str">
        <v/>
      </c>
      <c r="E336" t="str">
        <v>867162026876599</v>
      </c>
      <c r="F336" t="str">
        <v>TBD</v>
      </c>
      <c r="G336" t="str">
        <v/>
      </c>
      <c r="H336" t="str">
        <v>28/09/2026</v>
      </c>
      <c r="I336" t="str">
        <v>15:35:37</v>
      </c>
      <c r="J336">
        <v>-12.212997</v>
      </c>
      <c r="K336">
        <v>-76.95877</v>
      </c>
      <c r="L336">
        <f>HYPERLINK("https://www.google.com/maps/search/?api=1&amp;query=-12.212997,-76.95877","Villa El Salvador, Lima")</f>
      </c>
      <c r="M336">
        <v>0.2</v>
      </c>
      <c r="N336">
        <v>98</v>
      </c>
      <c r="O336">
        <v>93982.1</v>
      </c>
      <c r="P336" t="str">
        <v>1,940.52</v>
      </c>
      <c r="Q336" t="str">
        <v/>
      </c>
      <c r="R336" t="str">
        <v/>
      </c>
      <c r="S336" t="str">
        <v/>
      </c>
      <c r="T336" t="str">
        <v/>
      </c>
    </row>
    <row r="337">
      <c r="A337" t="str">
        <v>336</v>
      </c>
      <c r="B337" t="str">
        <v>MASS BSF</v>
      </c>
      <c r="C337" t="str">
        <v>F1W-796</v>
      </c>
      <c r="D337" t="str">
        <v/>
      </c>
      <c r="E337" t="str">
        <v>867162026876599</v>
      </c>
      <c r="F337" t="str">
        <v>TBD</v>
      </c>
      <c r="G337" t="str">
        <v/>
      </c>
      <c r="H337" t="str">
        <v>28/09/2026</v>
      </c>
      <c r="I337" t="str">
        <v>16:05:41</v>
      </c>
      <c r="J337">
        <v>-12.212997</v>
      </c>
      <c r="K337">
        <v>-76.95877</v>
      </c>
      <c r="L337">
        <f>HYPERLINK("https://www.google.com/maps/search/?api=1&amp;query=-12.212997,-76.95877","Villa El Salvador, Lima")</f>
      </c>
      <c r="M337">
        <v>0</v>
      </c>
      <c r="N337">
        <v>98</v>
      </c>
      <c r="O337">
        <v>93982.1</v>
      </c>
      <c r="P337" t="str">
        <v>1,940.52</v>
      </c>
      <c r="Q337" t="str">
        <v/>
      </c>
      <c r="R337" t="str">
        <v/>
      </c>
      <c r="S337" t="str">
        <v/>
      </c>
      <c r="T337" t="str">
        <v/>
      </c>
    </row>
    <row r="338">
      <c r="A338" t="str">
        <v>337</v>
      </c>
      <c r="B338" t="str">
        <v>MASS BSF</v>
      </c>
      <c r="C338" t="str">
        <v>F1W-796</v>
      </c>
      <c r="D338" t="str">
        <v/>
      </c>
      <c r="E338" t="str">
        <v>867162026876599</v>
      </c>
      <c r="F338" t="str">
        <v>TBD</v>
      </c>
      <c r="G338" t="str">
        <v/>
      </c>
      <c r="H338" t="str">
        <v>28/09/2026</v>
      </c>
      <c r="I338" t="str">
        <v>16:35:46</v>
      </c>
      <c r="J338">
        <v>-12.212997</v>
      </c>
      <c r="K338">
        <v>-76.95877</v>
      </c>
      <c r="L338">
        <f>HYPERLINK("https://www.google.com/maps/search/?api=1&amp;query=-12.212997,-76.95877","Villa El Salvador, Lima")</f>
      </c>
      <c r="M338">
        <v>0</v>
      </c>
      <c r="N338">
        <v>98</v>
      </c>
      <c r="O338">
        <v>93982.1</v>
      </c>
      <c r="P338" t="str">
        <v>1,940.52</v>
      </c>
      <c r="Q338" t="str">
        <v/>
      </c>
      <c r="R338" t="str">
        <v/>
      </c>
      <c r="S338" t="str">
        <v/>
      </c>
      <c r="T338" t="str">
        <v/>
      </c>
    </row>
    <row r="339">
      <c r="A339" t="str">
        <v>338</v>
      </c>
      <c r="B339" t="str">
        <v>MASS BSF</v>
      </c>
      <c r="C339" t="str">
        <v>F1W-796</v>
      </c>
      <c r="D339" t="str">
        <v/>
      </c>
      <c r="E339" t="str">
        <v>867162026876599</v>
      </c>
      <c r="F339" t="str">
        <v>TBD</v>
      </c>
      <c r="G339" t="str">
        <v/>
      </c>
      <c r="H339" t="str">
        <v>28/09/2026</v>
      </c>
      <c r="I339" t="str">
        <v>17:05:51</v>
      </c>
      <c r="J339">
        <v>-12.212997</v>
      </c>
      <c r="K339">
        <v>-76.95877</v>
      </c>
      <c r="L339">
        <f>HYPERLINK("https://www.google.com/maps/search/?api=1&amp;query=-12.212997,-76.95877","Villa El Salvador, Lima")</f>
      </c>
      <c r="M339">
        <v>0</v>
      </c>
      <c r="N339">
        <v>98</v>
      </c>
      <c r="O339">
        <v>93982.1</v>
      </c>
      <c r="P339" t="str">
        <v>1,940.52</v>
      </c>
      <c r="Q339" t="str">
        <v/>
      </c>
      <c r="R339" t="str">
        <v/>
      </c>
      <c r="S339" t="str">
        <v/>
      </c>
      <c r="T339" t="str">
        <v/>
      </c>
    </row>
    <row r="340">
      <c r="A340" t="str">
        <v>339</v>
      </c>
      <c r="B340" t="str">
        <v>MASS BSF</v>
      </c>
      <c r="C340" t="str">
        <v>F1W-796</v>
      </c>
      <c r="D340" t="str">
        <v/>
      </c>
      <c r="E340" t="str">
        <v>867162026876599</v>
      </c>
      <c r="F340" t="str">
        <v>TBD</v>
      </c>
      <c r="G340" t="str">
        <v/>
      </c>
      <c r="H340" t="str">
        <v>28/09/2026</v>
      </c>
      <c r="I340" t="str">
        <v>17:35:56</v>
      </c>
      <c r="J340">
        <v>-12.212997</v>
      </c>
      <c r="K340">
        <v>-76.95877</v>
      </c>
      <c r="L340">
        <f>HYPERLINK("https://www.google.com/maps/search/?api=1&amp;query=-12.212997,-76.95877","Villa El Salvador, Lima")</f>
      </c>
      <c r="M340">
        <v>0</v>
      </c>
      <c r="N340">
        <v>98</v>
      </c>
      <c r="O340">
        <v>93982.1</v>
      </c>
      <c r="P340" t="str">
        <v>1,940.52</v>
      </c>
      <c r="Q340" t="str">
        <v/>
      </c>
      <c r="R340" t="str">
        <v/>
      </c>
      <c r="S340" t="str">
        <v/>
      </c>
      <c r="T340" t="str">
        <v/>
      </c>
    </row>
    <row r="341">
      <c r="A341" t="str">
        <v>340</v>
      </c>
      <c r="B341" t="str">
        <v>MASS BSF</v>
      </c>
      <c r="C341" t="str">
        <v>F1W-796</v>
      </c>
      <c r="D341" t="str">
        <v/>
      </c>
      <c r="E341" t="str">
        <v>867162026876599</v>
      </c>
      <c r="F341" t="str">
        <v>TBD</v>
      </c>
      <c r="G341" t="str">
        <v/>
      </c>
      <c r="H341" t="str">
        <v>28/09/2026</v>
      </c>
      <c r="I341" t="str">
        <v>18:06:01</v>
      </c>
      <c r="J341">
        <v>-12.212997</v>
      </c>
      <c r="K341">
        <v>-76.95877</v>
      </c>
      <c r="L341">
        <f>HYPERLINK("https://www.google.com/maps/search/?api=1&amp;query=-12.212997,-76.95877","Villa El Salvador, Lima")</f>
      </c>
      <c r="M341">
        <v>0</v>
      </c>
      <c r="N341">
        <v>98</v>
      </c>
      <c r="O341">
        <v>93982.1</v>
      </c>
      <c r="P341" t="str">
        <v>1,940.52</v>
      </c>
      <c r="Q341" t="str">
        <v/>
      </c>
      <c r="R341" t="str">
        <v/>
      </c>
      <c r="S341" t="str">
        <v/>
      </c>
      <c r="T341" t="str">
        <v/>
      </c>
    </row>
    <row r="342">
      <c r="A342" t="str">
        <v>341</v>
      </c>
      <c r="B342" t="str">
        <v>MASS BSF</v>
      </c>
      <c r="C342" t="str">
        <v>F1W-796</v>
      </c>
      <c r="D342" t="str">
        <v/>
      </c>
      <c r="E342" t="str">
        <v>867162026876599</v>
      </c>
      <c r="F342" t="str">
        <v>TBD</v>
      </c>
      <c r="G342" t="str">
        <v/>
      </c>
      <c r="H342" t="str">
        <v>28/09/2026</v>
      </c>
      <c r="I342" t="str">
        <v>18:36:05</v>
      </c>
      <c r="J342">
        <v>-12.212997</v>
      </c>
      <c r="K342">
        <v>-76.95877</v>
      </c>
      <c r="L342">
        <f>HYPERLINK("https://www.google.com/maps/search/?api=1&amp;query=-12.212997,-76.95877","Villa El Salvador, Lima")</f>
      </c>
      <c r="M342">
        <v>0</v>
      </c>
      <c r="N342">
        <v>98</v>
      </c>
      <c r="O342">
        <v>93982.1</v>
      </c>
      <c r="P342" t="str">
        <v>1,940.52</v>
      </c>
      <c r="Q342" t="str">
        <v/>
      </c>
      <c r="R342" t="str">
        <v/>
      </c>
      <c r="S342" t="str">
        <v/>
      </c>
      <c r="T342" t="str">
        <v/>
      </c>
    </row>
    <row r="343">
      <c r="A343" t="str">
        <v>342</v>
      </c>
      <c r="B343" t="str">
        <v>MASS BSF</v>
      </c>
      <c r="C343" t="str">
        <v>F1W-796</v>
      </c>
      <c r="D343" t="str">
        <v/>
      </c>
      <c r="E343" t="str">
        <v>867162026876599</v>
      </c>
      <c r="F343" t="str">
        <v>TBD</v>
      </c>
      <c r="G343" t="str">
        <v/>
      </c>
      <c r="H343" t="str">
        <v>28/09/2026</v>
      </c>
      <c r="I343" t="str">
        <v>19:06:10</v>
      </c>
      <c r="J343">
        <v>-12.212997</v>
      </c>
      <c r="K343">
        <v>-76.95877</v>
      </c>
      <c r="L343">
        <f>HYPERLINK("https://www.google.com/maps/search/?api=1&amp;query=-12.212997,-76.95877","Villa El Salvador, Lima")</f>
      </c>
      <c r="M343">
        <v>0</v>
      </c>
      <c r="N343">
        <v>98</v>
      </c>
      <c r="O343">
        <v>93982.1</v>
      </c>
      <c r="P343" t="str">
        <v>1,940.52</v>
      </c>
      <c r="Q343" t="str">
        <v/>
      </c>
      <c r="R343" t="str">
        <v/>
      </c>
      <c r="S343" t="str">
        <v/>
      </c>
      <c r="T343" t="str">
        <v/>
      </c>
    </row>
    <row r="344">
      <c r="A344" t="str">
        <v>343</v>
      </c>
      <c r="B344" t="str">
        <v>MASS BSF</v>
      </c>
      <c r="C344" t="str">
        <v>F1W-796</v>
      </c>
      <c r="D344" t="str">
        <v/>
      </c>
      <c r="E344" t="str">
        <v>867162026876599</v>
      </c>
      <c r="F344" t="str">
        <v>TBD</v>
      </c>
      <c r="G344" t="str">
        <v/>
      </c>
      <c r="H344" t="str">
        <v>28/09/2026</v>
      </c>
      <c r="I344" t="str">
        <v>19:36:15</v>
      </c>
      <c r="J344">
        <v>-12.212997</v>
      </c>
      <c r="K344">
        <v>-76.95877</v>
      </c>
      <c r="L344">
        <f>HYPERLINK("https://www.google.com/maps/search/?api=1&amp;query=-12.212997,-76.95877","Villa El Salvador, Lima")</f>
      </c>
      <c r="M344">
        <v>0</v>
      </c>
      <c r="N344">
        <v>98</v>
      </c>
      <c r="O344">
        <v>93982.1</v>
      </c>
      <c r="P344" t="str">
        <v>1,940.52</v>
      </c>
      <c r="Q344" t="str">
        <v/>
      </c>
      <c r="R344" t="str">
        <v/>
      </c>
      <c r="S344" t="str">
        <v/>
      </c>
      <c r="T344" t="str">
        <v/>
      </c>
    </row>
    <row r="345">
      <c r="A345" t="str">
        <v>344</v>
      </c>
      <c r="B345" t="str">
        <v>MASS BSF</v>
      </c>
      <c r="C345" t="str">
        <v>F1W-796</v>
      </c>
      <c r="D345" t="str">
        <v/>
      </c>
      <c r="E345" t="str">
        <v>867162026876599</v>
      </c>
      <c r="F345" t="str">
        <v>TBD</v>
      </c>
      <c r="G345" t="str">
        <v/>
      </c>
      <c r="H345" t="str">
        <v>28/09/2026</v>
      </c>
      <c r="I345" t="str">
        <v>20:06:19</v>
      </c>
      <c r="J345">
        <v>-12.212997</v>
      </c>
      <c r="K345">
        <v>-76.95877</v>
      </c>
      <c r="L345">
        <f>HYPERLINK("https://www.google.com/maps/search/?api=1&amp;query=-12.212997,-76.95877","Villa El Salvador, Lima")</f>
      </c>
      <c r="M345">
        <v>0</v>
      </c>
      <c r="N345">
        <v>98</v>
      </c>
      <c r="O345">
        <v>93982.1</v>
      </c>
      <c r="P345" t="str">
        <v>1,940.52</v>
      </c>
      <c r="Q345" t="str">
        <v/>
      </c>
      <c r="R345" t="str">
        <v/>
      </c>
      <c r="S345" t="str">
        <v/>
      </c>
      <c r="T345" t="str">
        <v/>
      </c>
    </row>
    <row r="346">
      <c r="A346" t="str">
        <v>345</v>
      </c>
      <c r="B346" t="str">
        <v>MASS BSF</v>
      </c>
      <c r="C346" t="str">
        <v>F1W-796</v>
      </c>
      <c r="D346" t="str">
        <v/>
      </c>
      <c r="E346" t="str">
        <v>867162026876599</v>
      </c>
      <c r="F346" t="str">
        <v>TBD</v>
      </c>
      <c r="G346" t="str">
        <v/>
      </c>
      <c r="H346" t="str">
        <v>28/09/2026</v>
      </c>
      <c r="I346" t="str">
        <v>20:36:21</v>
      </c>
      <c r="J346">
        <v>-12.212997</v>
      </c>
      <c r="K346">
        <v>-76.95877</v>
      </c>
      <c r="L346">
        <f>HYPERLINK("https://www.google.com/maps/search/?api=1&amp;query=-12.212997,-76.95877","Villa El Salvador, Lima")</f>
      </c>
      <c r="M346">
        <v>0</v>
      </c>
      <c r="N346">
        <v>98</v>
      </c>
      <c r="O346">
        <v>93982.1</v>
      </c>
      <c r="P346" t="str">
        <v>1,940.52</v>
      </c>
      <c r="Q346" t="str">
        <v/>
      </c>
      <c r="R346" t="str">
        <v/>
      </c>
      <c r="S346" t="str">
        <v/>
      </c>
      <c r="T346" t="str">
        <v/>
      </c>
    </row>
    <row r="347">
      <c r="A347" t="str">
        <v>346</v>
      </c>
      <c r="B347" t="str">
        <v>MASS BSF</v>
      </c>
      <c r="C347" t="str">
        <v>F1W-796</v>
      </c>
      <c r="D347" t="str">
        <v/>
      </c>
      <c r="E347" t="str">
        <v>867162026876599</v>
      </c>
      <c r="F347" t="str">
        <v>TBD</v>
      </c>
      <c r="G347" t="str">
        <v/>
      </c>
      <c r="H347" t="str">
        <v>28/09/2026</v>
      </c>
      <c r="I347" t="str">
        <v>21:01:38</v>
      </c>
      <c r="J347">
        <v>-12.213018</v>
      </c>
      <c r="K347">
        <v>-76.95874</v>
      </c>
      <c r="L347">
        <f>HYPERLINK("https://www.google.com/maps/search/?api=1&amp;query=-12.213018,-76.95874","Villa El Salvador, Lima")</f>
      </c>
      <c r="M347">
        <v>0</v>
      </c>
      <c r="N347">
        <v>98</v>
      </c>
      <c r="O347">
        <v>93982.1</v>
      </c>
      <c r="P347" t="str">
        <v>1,940.52</v>
      </c>
      <c r="Q347" t="str">
        <v/>
      </c>
      <c r="R347" t="str">
        <v/>
      </c>
      <c r="S347" t="str">
        <v/>
      </c>
      <c r="T347" t="str">
        <v/>
      </c>
    </row>
    <row r="348">
      <c r="A348" t="str">
        <v>347</v>
      </c>
      <c r="B348" t="str">
        <v>MASS BSF</v>
      </c>
      <c r="C348" t="str">
        <v>F1W-796</v>
      </c>
      <c r="D348" t="str">
        <v/>
      </c>
      <c r="E348" t="str">
        <v>867162026876599</v>
      </c>
      <c r="F348" t="str">
        <v>TBD</v>
      </c>
      <c r="G348" t="str">
        <v/>
      </c>
      <c r="H348" t="str">
        <v>28/09/2026</v>
      </c>
      <c r="I348" t="str">
        <v>21:01:38</v>
      </c>
      <c r="J348">
        <v>-12.213018</v>
      </c>
      <c r="K348">
        <v>-76.95874</v>
      </c>
      <c r="L348">
        <f>HYPERLINK("https://www.google.com/maps/search/?api=1&amp;query=-12.213018,-76.95874","Villa El Salvador, Lima")</f>
      </c>
      <c r="M348">
        <v>0</v>
      </c>
      <c r="N348">
        <v>98</v>
      </c>
      <c r="O348">
        <v>93982.1</v>
      </c>
      <c r="P348" t="str">
        <v>1,940.52</v>
      </c>
      <c r="Q348" t="str">
        <v/>
      </c>
      <c r="R348" t="str">
        <v/>
      </c>
      <c r="S348" t="str">
        <v/>
      </c>
      <c r="T348" t="str">
        <v/>
      </c>
    </row>
    <row r="349">
      <c r="A349" t="str">
        <v>348</v>
      </c>
      <c r="B349" t="str">
        <v>MASS BSF</v>
      </c>
      <c r="C349" t="str">
        <v>F1W-796</v>
      </c>
      <c r="D349" t="str">
        <v/>
      </c>
      <c r="E349" t="str">
        <v>867162026876599</v>
      </c>
      <c r="F349" t="str">
        <v>TBD</v>
      </c>
      <c r="G349" t="str">
        <v/>
      </c>
      <c r="H349" t="str">
        <v>28/09/2026</v>
      </c>
      <c r="I349" t="str">
        <v>21:31:43</v>
      </c>
      <c r="J349">
        <v>-12.213018</v>
      </c>
      <c r="K349">
        <v>-76.95874</v>
      </c>
      <c r="L349">
        <f>HYPERLINK("https://www.google.com/maps/search/?api=1&amp;query=-12.213018,-76.95874","Villa El Salvador, Lima")</f>
      </c>
      <c r="M349">
        <v>0</v>
      </c>
      <c r="N349">
        <v>100</v>
      </c>
      <c r="O349">
        <v>93982.1</v>
      </c>
      <c r="P349" t="str">
        <v>1,940.52</v>
      </c>
      <c r="Q349" t="str">
        <v/>
      </c>
      <c r="R349" t="str">
        <v/>
      </c>
      <c r="S349" t="str">
        <v/>
      </c>
      <c r="T349" t="str">
        <v/>
      </c>
    </row>
    <row r="350">
      <c r="A350" t="str">
        <v>349</v>
      </c>
      <c r="B350" t="str">
        <v>MASS BSF</v>
      </c>
      <c r="C350" t="str">
        <v>F1W-796</v>
      </c>
      <c r="D350" t="str">
        <v/>
      </c>
      <c r="E350" t="str">
        <v>867162026876599</v>
      </c>
      <c r="F350" t="str">
        <v>TBD</v>
      </c>
      <c r="G350" t="str">
        <v/>
      </c>
      <c r="H350" t="str">
        <v>28/09/2026</v>
      </c>
      <c r="I350" t="str">
        <v>22:01:48</v>
      </c>
      <c r="J350">
        <v>-12.213018</v>
      </c>
      <c r="K350">
        <v>-76.95874</v>
      </c>
      <c r="L350">
        <f>HYPERLINK("https://www.google.com/maps/search/?api=1&amp;query=-12.213018,-76.95874","Villa El Salvador, Lima")</f>
      </c>
      <c r="M350">
        <v>0</v>
      </c>
      <c r="N350">
        <v>100</v>
      </c>
      <c r="O350">
        <v>93982.1</v>
      </c>
      <c r="P350" t="str">
        <v>1,940.52</v>
      </c>
      <c r="Q350" t="str">
        <v/>
      </c>
      <c r="R350" t="str">
        <v/>
      </c>
      <c r="S350" t="str">
        <v/>
      </c>
      <c r="T350" t="str">
        <v/>
      </c>
    </row>
    <row r="351">
      <c r="A351" t="str">
        <v>350</v>
      </c>
      <c r="B351" t="str">
        <v>MASS BSF</v>
      </c>
      <c r="C351" t="str">
        <v>F1W-796</v>
      </c>
      <c r="D351" t="str">
        <v/>
      </c>
      <c r="E351" t="str">
        <v>867162026876599</v>
      </c>
      <c r="F351" t="str">
        <v>TBD</v>
      </c>
      <c r="G351" t="str">
        <v/>
      </c>
      <c r="H351" t="str">
        <v>28/09/2026</v>
      </c>
      <c r="I351" t="str">
        <v>22:31:53</v>
      </c>
      <c r="J351">
        <v>-12.213018</v>
      </c>
      <c r="K351">
        <v>-76.95874</v>
      </c>
      <c r="L351">
        <f>HYPERLINK("https://www.google.com/maps/search/?api=1&amp;query=-12.213018,-76.95874","Villa El Salvador, Lima")</f>
      </c>
      <c r="M351">
        <v>0</v>
      </c>
      <c r="N351">
        <v>100</v>
      </c>
      <c r="O351">
        <v>93982.1</v>
      </c>
      <c r="P351" t="str">
        <v>1,940.52</v>
      </c>
      <c r="Q351" t="str">
        <v/>
      </c>
      <c r="R351" t="str">
        <v/>
      </c>
      <c r="S351" t="str">
        <v/>
      </c>
      <c r="T351" t="str">
        <v/>
      </c>
    </row>
    <row r="352">
      <c r="A352" t="str">
        <v>351</v>
      </c>
      <c r="B352" t="str">
        <v>MASS BSF</v>
      </c>
      <c r="C352" t="str">
        <v>F1W-796</v>
      </c>
      <c r="D352" t="str">
        <v/>
      </c>
      <c r="E352" t="str">
        <v>867162026876599</v>
      </c>
      <c r="F352" t="str">
        <v>TBD</v>
      </c>
      <c r="G352" t="str">
        <v/>
      </c>
      <c r="H352" t="str">
        <v>28/09/2026</v>
      </c>
      <c r="I352" t="str">
        <v>23:01:57</v>
      </c>
      <c r="J352">
        <v>-12.213018</v>
      </c>
      <c r="K352">
        <v>-76.95874</v>
      </c>
      <c r="L352">
        <f>HYPERLINK("https://www.google.com/maps/search/?api=1&amp;query=-12.213018,-76.95874","Villa El Salvador, Lima")</f>
      </c>
      <c r="M352">
        <v>0</v>
      </c>
      <c r="N352">
        <v>100</v>
      </c>
      <c r="O352">
        <v>93982.1</v>
      </c>
      <c r="P352" t="str">
        <v>1,940.52</v>
      </c>
      <c r="Q352" t="str">
        <v/>
      </c>
      <c r="R352" t="str">
        <v/>
      </c>
      <c r="S352" t="str">
        <v/>
      </c>
      <c r="T352" t="str">
        <v/>
      </c>
    </row>
    <row r="353">
      <c r="A353" t="str">
        <v>352</v>
      </c>
      <c r="B353" t="str">
        <v>MASS BSF</v>
      </c>
      <c r="C353" t="str">
        <v>F1W-796</v>
      </c>
      <c r="D353" t="str">
        <v/>
      </c>
      <c r="E353" t="str">
        <v>867162026876599</v>
      </c>
      <c r="F353" t="str">
        <v>TBD</v>
      </c>
      <c r="G353" t="str">
        <v/>
      </c>
      <c r="H353" t="str">
        <v>28/09/2026</v>
      </c>
      <c r="I353" t="str">
        <v>23:32:02</v>
      </c>
      <c r="J353">
        <v>-12.213018</v>
      </c>
      <c r="K353">
        <v>-76.95874</v>
      </c>
      <c r="L353">
        <f>HYPERLINK("https://www.google.com/maps/search/?api=1&amp;query=-12.213018,-76.95874","Villa El Salvador, Lima")</f>
      </c>
      <c r="M353">
        <v>0</v>
      </c>
      <c r="N353">
        <v>100</v>
      </c>
      <c r="O353">
        <v>93982.1</v>
      </c>
      <c r="P353" t="str">
        <v>1,940.52</v>
      </c>
      <c r="Q353" t="str">
        <v/>
      </c>
      <c r="R353" t="str">
        <v/>
      </c>
      <c r="S353" t="str">
        <v/>
      </c>
      <c r="T353" t="str">
        <v/>
      </c>
    </row>
  </sheetData>
  <ignoredErrors>
    <ignoredError numberStoredAsText="1" sqref="A1:T35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History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Location World</dc:creator>
  <dc:subject>Report History</dc:subject>
  <dc:title>Report History</dc:title>
</cp:coreProperties>
</file>