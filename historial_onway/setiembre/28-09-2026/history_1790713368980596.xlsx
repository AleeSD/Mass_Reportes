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F6V-792</v>
      </c>
      <c r="D2" t="str">
        <v>F6V-792</v>
      </c>
      <c r="E2" t="str">
        <v/>
      </c>
      <c r="F2" t="str">
        <v>867162026042390</v>
      </c>
      <c r="G2" t="str">
        <v>Minivan</v>
      </c>
      <c r="H2" t="str">
        <v/>
      </c>
      <c r="I2" t="str">
        <v>28/09/2026</v>
      </c>
      <c r="J2" t="str">
        <v>00:02:12</v>
      </c>
      <c r="K2">
        <v>-12.212994</v>
      </c>
      <c r="L2">
        <v>-76.95884</v>
      </c>
      <c r="M2">
        <f>HYPERLINK("https://www.google.com/maps/search/?api=1&amp;query=-12.212994,-76.95884","Villa El Salvador, Lima")</f>
      </c>
      <c r="N2">
        <v>0</v>
      </c>
      <c r="O2">
        <v>100</v>
      </c>
      <c r="P2">
        <v>556097.5</v>
      </c>
      <c r="Q2" t="str">
        <v>1,417.08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F6V-792</v>
      </c>
      <c r="D3" t="str">
        <v>F6V-792</v>
      </c>
      <c r="E3" t="str">
        <v/>
      </c>
      <c r="F3" t="str">
        <v>867162026042390</v>
      </c>
      <c r="G3" t="str">
        <v>Minivan</v>
      </c>
      <c r="H3" t="str">
        <v/>
      </c>
      <c r="I3" t="str">
        <v>28/09/2026</v>
      </c>
      <c r="J3" t="str">
        <v>00:32:16</v>
      </c>
      <c r="K3">
        <v>-12.212994</v>
      </c>
      <c r="L3">
        <v>-76.95884</v>
      </c>
      <c r="M3">
        <f>HYPERLINK("https://www.google.com/maps/search/?api=1&amp;query=-12.212994,-76.95884","Villa El Salvador, Lima")</f>
      </c>
      <c r="N3">
        <v>0</v>
      </c>
      <c r="O3">
        <v>100</v>
      </c>
      <c r="P3">
        <v>556097.5</v>
      </c>
      <c r="Q3" t="str">
        <v>1,417.08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F6V-792</v>
      </c>
      <c r="D4" t="str">
        <v>F6V-792</v>
      </c>
      <c r="E4" t="str">
        <v/>
      </c>
      <c r="F4" t="str">
        <v>867162026042390</v>
      </c>
      <c r="G4" t="str">
        <v>Minivan</v>
      </c>
      <c r="H4" t="str">
        <v/>
      </c>
      <c r="I4" t="str">
        <v>28/09/2026</v>
      </c>
      <c r="J4" t="str">
        <v>01:02:19</v>
      </c>
      <c r="K4">
        <v>-12.212994</v>
      </c>
      <c r="L4">
        <v>-76.95884</v>
      </c>
      <c r="M4">
        <f>HYPERLINK("https://www.google.com/maps/search/?api=1&amp;query=-12.212994,-76.95884","Villa El Salvador, Lima")</f>
      </c>
      <c r="N4">
        <v>0</v>
      </c>
      <c r="O4">
        <v>100</v>
      </c>
      <c r="P4">
        <v>556097.5</v>
      </c>
      <c r="Q4" t="str">
        <v>1,417.08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F6V-792</v>
      </c>
      <c r="D5" t="str">
        <v>F6V-792</v>
      </c>
      <c r="E5" t="str">
        <v/>
      </c>
      <c r="F5" t="str">
        <v>867162026042390</v>
      </c>
      <c r="G5" t="str">
        <v>Minivan</v>
      </c>
      <c r="H5" t="str">
        <v/>
      </c>
      <c r="I5" t="str">
        <v>28/09/2026</v>
      </c>
      <c r="J5" t="str">
        <v>01:32:24</v>
      </c>
      <c r="K5">
        <v>-12.212994</v>
      </c>
      <c r="L5">
        <v>-76.95884</v>
      </c>
      <c r="M5">
        <f>HYPERLINK("https://www.google.com/maps/search/?api=1&amp;query=-12.212994,-76.95884","Villa El Salvador, Lima")</f>
      </c>
      <c r="N5">
        <v>0</v>
      </c>
      <c r="O5">
        <v>100</v>
      </c>
      <c r="P5">
        <v>556097.5</v>
      </c>
      <c r="Q5" t="str">
        <v>1,417.08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F6V-792</v>
      </c>
      <c r="D6" t="str">
        <v>F6V-792</v>
      </c>
      <c r="E6" t="str">
        <v/>
      </c>
      <c r="F6" t="str">
        <v>867162026042390</v>
      </c>
      <c r="G6" t="str">
        <v>Minivan</v>
      </c>
      <c r="H6" t="str">
        <v/>
      </c>
      <c r="I6" t="str">
        <v>28/09/2026</v>
      </c>
      <c r="J6" t="str">
        <v>02:02:29</v>
      </c>
      <c r="K6">
        <v>-12.212994</v>
      </c>
      <c r="L6">
        <v>-76.95884</v>
      </c>
      <c r="M6">
        <f>HYPERLINK("https://www.google.com/maps/search/?api=1&amp;query=-12.212994,-76.95884","Villa El Salvador, Lima")</f>
      </c>
      <c r="N6">
        <v>0</v>
      </c>
      <c r="O6">
        <v>100</v>
      </c>
      <c r="P6">
        <v>556097.5</v>
      </c>
      <c r="Q6" t="str">
        <v>1,417.08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F6V-792</v>
      </c>
      <c r="D7" t="str">
        <v>F6V-792</v>
      </c>
      <c r="E7" t="str">
        <v/>
      </c>
      <c r="F7" t="str">
        <v>867162026042390</v>
      </c>
      <c r="G7" t="str">
        <v>Minivan</v>
      </c>
      <c r="H7" t="str">
        <v/>
      </c>
      <c r="I7" t="str">
        <v>28/09/2026</v>
      </c>
      <c r="J7" t="str">
        <v>02:32:33</v>
      </c>
      <c r="K7">
        <v>-12.212994</v>
      </c>
      <c r="L7">
        <v>-76.95884</v>
      </c>
      <c r="M7">
        <f>HYPERLINK("https://www.google.com/maps/search/?api=1&amp;query=-12.212994,-76.95884","Villa El Salvador, Lima")</f>
      </c>
      <c r="N7">
        <v>0</v>
      </c>
      <c r="O7">
        <v>100</v>
      </c>
      <c r="P7">
        <v>556097.5</v>
      </c>
      <c r="Q7" t="str">
        <v>1,417.08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F6V-792</v>
      </c>
      <c r="D8" t="str">
        <v>F6V-792</v>
      </c>
      <c r="E8" t="str">
        <v/>
      </c>
      <c r="F8" t="str">
        <v>867162026042390</v>
      </c>
      <c r="G8" t="str">
        <v>Minivan</v>
      </c>
      <c r="H8" t="str">
        <v/>
      </c>
      <c r="I8" t="str">
        <v>28/09/2026</v>
      </c>
      <c r="J8" t="str">
        <v>03:02:38</v>
      </c>
      <c r="K8">
        <v>-12.212994</v>
      </c>
      <c r="L8">
        <v>-76.95884</v>
      </c>
      <c r="M8">
        <f>HYPERLINK("https://www.google.com/maps/search/?api=1&amp;query=-12.212994,-76.95884","Villa El Salvador, Lima")</f>
      </c>
      <c r="N8">
        <v>0</v>
      </c>
      <c r="O8">
        <v>100</v>
      </c>
      <c r="P8">
        <v>556097.5</v>
      </c>
      <c r="Q8" t="str">
        <v>1,417.08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F6V-792</v>
      </c>
      <c r="D9" t="str">
        <v>F6V-792</v>
      </c>
      <c r="E9" t="str">
        <v/>
      </c>
      <c r="F9" t="str">
        <v>867162026042390</v>
      </c>
      <c r="G9" t="str">
        <v>Minivan</v>
      </c>
      <c r="H9" t="str">
        <v/>
      </c>
      <c r="I9" t="str">
        <v>28/09/2026</v>
      </c>
      <c r="J9" t="str">
        <v>03:32:41</v>
      </c>
      <c r="K9">
        <v>-12.212994</v>
      </c>
      <c r="L9">
        <v>-76.95884</v>
      </c>
      <c r="M9">
        <f>HYPERLINK("https://www.google.com/maps/search/?api=1&amp;query=-12.212994,-76.95884","Villa El Salvador, Lima")</f>
      </c>
      <c r="N9">
        <v>0</v>
      </c>
      <c r="O9">
        <v>100</v>
      </c>
      <c r="P9">
        <v>556097.5</v>
      </c>
      <c r="Q9" t="str">
        <v>1,417.08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F6V-792</v>
      </c>
      <c r="D10" t="str">
        <v>F6V-792</v>
      </c>
      <c r="E10" t="str">
        <v/>
      </c>
      <c r="F10" t="str">
        <v>867162026042390</v>
      </c>
      <c r="G10" t="str">
        <v>Minivan</v>
      </c>
      <c r="H10" t="str">
        <v/>
      </c>
      <c r="I10" t="str">
        <v>28/09/2026</v>
      </c>
      <c r="J10" t="str">
        <v>04:02:46</v>
      </c>
      <c r="K10">
        <v>-12.212994</v>
      </c>
      <c r="L10">
        <v>-76.95884</v>
      </c>
      <c r="M10">
        <f>HYPERLINK("https://www.google.com/maps/search/?api=1&amp;query=-12.212994,-76.95884","Villa El Salvador, Lima")</f>
      </c>
      <c r="N10">
        <v>0</v>
      </c>
      <c r="O10">
        <v>100</v>
      </c>
      <c r="P10">
        <v>556097.5</v>
      </c>
      <c r="Q10" t="str">
        <v>1,417.08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F6V-792</v>
      </c>
      <c r="D11" t="str">
        <v>F6V-792</v>
      </c>
      <c r="E11" t="str">
        <v/>
      </c>
      <c r="F11" t="str">
        <v>867162026042390</v>
      </c>
      <c r="G11" t="str">
        <v>Minivan</v>
      </c>
      <c r="H11" t="str">
        <v/>
      </c>
      <c r="I11" t="str">
        <v>28/09/2026</v>
      </c>
      <c r="J11" t="str">
        <v>04:32:49</v>
      </c>
      <c r="K11">
        <v>-12.212994</v>
      </c>
      <c r="L11">
        <v>-76.95884</v>
      </c>
      <c r="M11">
        <f>HYPERLINK("https://www.google.com/maps/search/?api=1&amp;query=-12.212994,-76.95884","Villa El Salvador, Lima")</f>
      </c>
      <c r="N11">
        <v>0</v>
      </c>
      <c r="O11">
        <v>100</v>
      </c>
      <c r="P11">
        <v>556097.5</v>
      </c>
      <c r="Q11" t="str">
        <v>1,417.08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F6V-792</v>
      </c>
      <c r="D12" t="str">
        <v>F6V-792</v>
      </c>
      <c r="E12" t="str">
        <v/>
      </c>
      <c r="F12" t="str">
        <v>867162026042390</v>
      </c>
      <c r="G12" t="str">
        <v>Minivan</v>
      </c>
      <c r="H12" t="str">
        <v/>
      </c>
      <c r="I12" t="str">
        <v>28/09/2026</v>
      </c>
      <c r="J12" t="str">
        <v>05:02:54</v>
      </c>
      <c r="K12">
        <v>-12.212994</v>
      </c>
      <c r="L12">
        <v>-76.95884</v>
      </c>
      <c r="M12">
        <f>HYPERLINK("https://www.google.com/maps/search/?api=1&amp;query=-12.212994,-76.95884","Villa El Salvador, Lima")</f>
      </c>
      <c r="N12">
        <v>0</v>
      </c>
      <c r="O12">
        <v>100</v>
      </c>
      <c r="P12">
        <v>556097.5</v>
      </c>
      <c r="Q12" t="str">
        <v>1,417.08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F6V-792</v>
      </c>
      <c r="D13" t="str">
        <v>F6V-792</v>
      </c>
      <c r="E13" t="str">
        <v/>
      </c>
      <c r="F13" t="str">
        <v>867162026042390</v>
      </c>
      <c r="G13" t="str">
        <v>Minivan</v>
      </c>
      <c r="H13" t="str">
        <v/>
      </c>
      <c r="I13" t="str">
        <v>28/09/2026</v>
      </c>
      <c r="J13" t="str">
        <v>05:32:58</v>
      </c>
      <c r="K13">
        <v>-12.212994</v>
      </c>
      <c r="L13">
        <v>-76.95884</v>
      </c>
      <c r="M13">
        <f>HYPERLINK("https://www.google.com/maps/search/?api=1&amp;query=-12.212994,-76.95884","Villa El Salvador, Lima")</f>
      </c>
      <c r="N13">
        <v>0</v>
      </c>
      <c r="O13">
        <v>100</v>
      </c>
      <c r="P13">
        <v>556097.5</v>
      </c>
      <c r="Q13" t="str">
        <v>1,417.08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F6V-792</v>
      </c>
      <c r="D14" t="str">
        <v>F6V-792</v>
      </c>
      <c r="E14" t="str">
        <v/>
      </c>
      <c r="F14" t="str">
        <v>867162026042390</v>
      </c>
      <c r="G14" t="str">
        <v>Minivan</v>
      </c>
      <c r="H14" t="str">
        <v/>
      </c>
      <c r="I14" t="str">
        <v>28/09/2026</v>
      </c>
      <c r="J14" t="str">
        <v>06:03:03</v>
      </c>
      <c r="K14">
        <v>-12.212994</v>
      </c>
      <c r="L14">
        <v>-76.95884</v>
      </c>
      <c r="M14">
        <f>HYPERLINK("https://www.google.com/maps/search/?api=1&amp;query=-12.212994,-76.95884","Villa El Salvador, Lima")</f>
      </c>
      <c r="N14">
        <v>0</v>
      </c>
      <c r="O14">
        <v>100</v>
      </c>
      <c r="P14">
        <v>556097.5</v>
      </c>
      <c r="Q14" t="str">
        <v>1,417.08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F6V-792</v>
      </c>
      <c r="D15" t="str">
        <v>F6V-792</v>
      </c>
      <c r="E15" t="str">
        <v/>
      </c>
      <c r="F15" t="str">
        <v>867162026042390</v>
      </c>
      <c r="G15" t="str">
        <v>Minivan</v>
      </c>
      <c r="H15" t="str">
        <v/>
      </c>
      <c r="I15" t="str">
        <v>28/09/2026</v>
      </c>
      <c r="J15" t="str">
        <v>06:33:08</v>
      </c>
      <c r="K15">
        <v>-12.212994</v>
      </c>
      <c r="L15">
        <v>-76.95884</v>
      </c>
      <c r="M15">
        <f>HYPERLINK("https://www.google.com/maps/search/?api=1&amp;query=-12.212994,-76.95884","Villa El Salvador, Lima")</f>
      </c>
      <c r="N15">
        <v>0</v>
      </c>
      <c r="O15">
        <v>100</v>
      </c>
      <c r="P15">
        <v>556097.5</v>
      </c>
      <c r="Q15" t="str">
        <v>1,417.08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F6V-792</v>
      </c>
      <c r="D16" t="str">
        <v>F6V-792</v>
      </c>
      <c r="E16" t="str">
        <v/>
      </c>
      <c r="F16" t="str">
        <v>867162026042390</v>
      </c>
      <c r="G16" t="str">
        <v>Minivan</v>
      </c>
      <c r="H16" t="str">
        <v/>
      </c>
      <c r="I16" t="str">
        <v>28/09/2026</v>
      </c>
      <c r="J16" t="str">
        <v>07:03:11</v>
      </c>
      <c r="K16">
        <v>-12.212994</v>
      </c>
      <c r="L16">
        <v>-76.95884</v>
      </c>
      <c r="M16">
        <f>HYPERLINK("https://www.google.com/maps/search/?api=1&amp;query=-12.212994,-76.95884","Villa El Salvador, Lima")</f>
      </c>
      <c r="N16">
        <v>0</v>
      </c>
      <c r="O16">
        <v>100</v>
      </c>
      <c r="P16">
        <v>556097.5</v>
      </c>
      <c r="Q16" t="str">
        <v>1,417.08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F6V-792</v>
      </c>
      <c r="D17" t="str">
        <v>F6V-792</v>
      </c>
      <c r="E17" t="str">
        <v/>
      </c>
      <c r="F17" t="str">
        <v>867162026042390</v>
      </c>
      <c r="G17" t="str">
        <v>Minivan</v>
      </c>
      <c r="H17" t="str">
        <v/>
      </c>
      <c r="I17" t="str">
        <v>28/09/2026</v>
      </c>
      <c r="J17" t="str">
        <v>07:33:15</v>
      </c>
      <c r="K17">
        <v>-12.212994</v>
      </c>
      <c r="L17">
        <v>-76.95884</v>
      </c>
      <c r="M17">
        <f>HYPERLINK("https://www.google.com/maps/search/?api=1&amp;query=-12.212994,-76.95884","Villa El Salvador, Lima")</f>
      </c>
      <c r="N17">
        <v>0</v>
      </c>
      <c r="O17">
        <v>100</v>
      </c>
      <c r="P17">
        <v>556097.5</v>
      </c>
      <c r="Q17" t="str">
        <v>1,417.08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F6V-792</v>
      </c>
      <c r="D18" t="str">
        <v>F6V-792</v>
      </c>
      <c r="E18" t="str">
        <v/>
      </c>
      <c r="F18" t="str">
        <v>867162026042390</v>
      </c>
      <c r="G18" t="str">
        <v>Minivan</v>
      </c>
      <c r="H18" t="str">
        <v/>
      </c>
      <c r="I18" t="str">
        <v>28/09/2026</v>
      </c>
      <c r="J18" t="str">
        <v>08:03:19</v>
      </c>
      <c r="K18">
        <v>-12.212994</v>
      </c>
      <c r="L18">
        <v>-76.95884</v>
      </c>
      <c r="M18">
        <f>HYPERLINK("https://www.google.com/maps/search/?api=1&amp;query=-12.212994,-76.95884","Villa El Salvador, Lima")</f>
      </c>
      <c r="N18">
        <v>0</v>
      </c>
      <c r="O18">
        <v>100</v>
      </c>
      <c r="P18">
        <v>556097.5</v>
      </c>
      <c r="Q18" t="str">
        <v>1,417.08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F6V-792</v>
      </c>
      <c r="D19" t="str">
        <v>F6V-792</v>
      </c>
      <c r="E19" t="str">
        <v/>
      </c>
      <c r="F19" t="str">
        <v>867162026042390</v>
      </c>
      <c r="G19" t="str">
        <v>Minivan</v>
      </c>
      <c r="H19" t="str">
        <v/>
      </c>
      <c r="I19" t="str">
        <v>28/09/2026</v>
      </c>
      <c r="J19" t="str">
        <v>08:33:21</v>
      </c>
      <c r="K19">
        <v>-12.212994</v>
      </c>
      <c r="L19">
        <v>-76.95884</v>
      </c>
      <c r="M19">
        <f>HYPERLINK("https://www.google.com/maps/search/?api=1&amp;query=-12.212994,-76.95884","Villa El Salvador, Lima")</f>
      </c>
      <c r="N19">
        <v>0</v>
      </c>
      <c r="O19">
        <v>100</v>
      </c>
      <c r="P19">
        <v>556097.5</v>
      </c>
      <c r="Q19" t="str">
        <v>1,417.08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F6V-792</v>
      </c>
      <c r="D20" t="str">
        <v>F6V-792</v>
      </c>
      <c r="E20" t="str">
        <v/>
      </c>
      <c r="F20" t="str">
        <v>867162026042390</v>
      </c>
      <c r="G20" t="str">
        <v>Minivan</v>
      </c>
      <c r="H20" t="str">
        <v/>
      </c>
      <c r="I20" t="str">
        <v>28/09/2026</v>
      </c>
      <c r="J20" t="str">
        <v>09:03:23</v>
      </c>
      <c r="K20">
        <v>-12.212994</v>
      </c>
      <c r="L20">
        <v>-76.95884</v>
      </c>
      <c r="M20">
        <f>HYPERLINK("https://www.google.com/maps/search/?api=1&amp;query=-12.212994,-76.95884","Villa El Salvador, Lima")</f>
      </c>
      <c r="N20">
        <v>0</v>
      </c>
      <c r="O20">
        <v>100</v>
      </c>
      <c r="P20">
        <v>556097.5</v>
      </c>
      <c r="Q20" t="str">
        <v>1,417.08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F6V-792</v>
      </c>
      <c r="D21" t="str">
        <v>F6V-792</v>
      </c>
      <c r="E21" t="str">
        <v/>
      </c>
      <c r="F21" t="str">
        <v>867162026042390</v>
      </c>
      <c r="G21" t="str">
        <v>Minivan</v>
      </c>
      <c r="H21" t="str">
        <v/>
      </c>
      <c r="I21" t="str">
        <v>28/09/2026</v>
      </c>
      <c r="J21" t="str">
        <v>09:33:28</v>
      </c>
      <c r="K21">
        <v>-12.212994</v>
      </c>
      <c r="L21">
        <v>-76.95884</v>
      </c>
      <c r="M21">
        <f>HYPERLINK("https://www.google.com/maps/search/?api=1&amp;query=-12.212994,-76.95884","Villa El Salvador, Lima")</f>
      </c>
      <c r="N21">
        <v>0</v>
      </c>
      <c r="O21">
        <v>100</v>
      </c>
      <c r="P21">
        <v>556097.5</v>
      </c>
      <c r="Q21" t="str">
        <v>1,417.08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F6V-792</v>
      </c>
      <c r="D22" t="str">
        <v>F6V-792</v>
      </c>
      <c r="E22" t="str">
        <v/>
      </c>
      <c r="F22" t="str">
        <v>867162026042390</v>
      </c>
      <c r="G22" t="str">
        <v>Minivan</v>
      </c>
      <c r="H22" t="str">
        <v/>
      </c>
      <c r="I22" t="str">
        <v>28/09/2026</v>
      </c>
      <c r="J22" t="str">
        <v>10:03:31</v>
      </c>
      <c r="K22">
        <v>-12.212994</v>
      </c>
      <c r="L22">
        <v>-76.95884</v>
      </c>
      <c r="M22">
        <f>HYPERLINK("https://www.google.com/maps/search/?api=1&amp;query=-12.212994,-76.95884","Villa El Salvador, Lima")</f>
      </c>
      <c r="N22">
        <v>0</v>
      </c>
      <c r="O22">
        <v>100</v>
      </c>
      <c r="P22">
        <v>556097.5</v>
      </c>
      <c r="Q22" t="str">
        <v>1,417.08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F6V-792</v>
      </c>
      <c r="D23" t="str">
        <v>F6V-792</v>
      </c>
      <c r="E23" t="str">
        <v/>
      </c>
      <c r="F23" t="str">
        <v>867162026042390</v>
      </c>
      <c r="G23" t="str">
        <v>Minivan</v>
      </c>
      <c r="H23" t="str">
        <v/>
      </c>
      <c r="I23" t="str">
        <v>28/09/2026</v>
      </c>
      <c r="J23" t="str">
        <v>10:33:32</v>
      </c>
      <c r="K23">
        <v>-12.212994</v>
      </c>
      <c r="L23">
        <v>-76.95884</v>
      </c>
      <c r="M23">
        <f>HYPERLINK("https://www.google.com/maps/search/?api=1&amp;query=-12.212994,-76.95884","Villa El Salvador, Lima")</f>
      </c>
      <c r="N23">
        <v>0</v>
      </c>
      <c r="O23">
        <v>100</v>
      </c>
      <c r="P23">
        <v>556097.5</v>
      </c>
      <c r="Q23" t="str">
        <v>1,417.08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F6V-792</v>
      </c>
      <c r="D24" t="str">
        <v>F6V-792</v>
      </c>
      <c r="E24" t="str">
        <v/>
      </c>
      <c r="F24" t="str">
        <v>867162026042390</v>
      </c>
      <c r="G24" t="str">
        <v>Minivan</v>
      </c>
      <c r="H24" t="str">
        <v/>
      </c>
      <c r="I24" t="str">
        <v>28/09/2026</v>
      </c>
      <c r="J24" t="str">
        <v>11:03:36</v>
      </c>
      <c r="K24">
        <v>-12.212994</v>
      </c>
      <c r="L24">
        <v>-76.95884</v>
      </c>
      <c r="M24">
        <f>HYPERLINK("https://www.google.com/maps/search/?api=1&amp;query=-12.212994,-76.95884","Villa El Salvador, Lima")</f>
      </c>
      <c r="N24">
        <v>0</v>
      </c>
      <c r="O24">
        <v>100</v>
      </c>
      <c r="P24">
        <v>556097.5</v>
      </c>
      <c r="Q24" t="str">
        <v>1,417.08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F6V-792</v>
      </c>
      <c r="D25" t="str">
        <v>F6V-792</v>
      </c>
      <c r="E25" t="str">
        <v/>
      </c>
      <c r="F25" t="str">
        <v>867162026042390</v>
      </c>
      <c r="G25" t="str">
        <v>Minivan</v>
      </c>
      <c r="H25" t="str">
        <v/>
      </c>
      <c r="I25" t="str">
        <v>28/09/2026</v>
      </c>
      <c r="J25" t="str">
        <v>11:33:40</v>
      </c>
      <c r="K25">
        <v>-12.212994</v>
      </c>
      <c r="L25">
        <v>-76.95884</v>
      </c>
      <c r="M25">
        <f>HYPERLINK("https://www.google.com/maps/search/?api=1&amp;query=-12.212994,-76.95884","Villa El Salvador, Lima")</f>
      </c>
      <c r="N25">
        <v>0</v>
      </c>
      <c r="O25">
        <v>100</v>
      </c>
      <c r="P25">
        <v>556097.5</v>
      </c>
      <c r="Q25" t="str">
        <v>1,417.08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F6V-792</v>
      </c>
      <c r="D26" t="str">
        <v>F6V-792</v>
      </c>
      <c r="E26" t="str">
        <v/>
      </c>
      <c r="F26" t="str">
        <v>867162026042390</v>
      </c>
      <c r="G26" t="str">
        <v>Minivan</v>
      </c>
      <c r="H26" t="str">
        <v/>
      </c>
      <c r="I26" t="str">
        <v>28/09/2026</v>
      </c>
      <c r="J26" t="str">
        <v>11:56:31</v>
      </c>
      <c r="K26">
        <v>-12.212994</v>
      </c>
      <c r="L26">
        <v>-76.95884</v>
      </c>
      <c r="M26">
        <f>HYPERLINK("https://www.google.com/maps/search/?api=1&amp;query=-12.212994,-76.95884","Villa El Salvador, Lima")</f>
      </c>
      <c r="N26">
        <v>0</v>
      </c>
      <c r="O26">
        <v>100</v>
      </c>
      <c r="P26">
        <v>556097.5</v>
      </c>
      <c r="Q26" t="str">
        <v>1,417.08</v>
      </c>
      <c r="R26" t="str">
        <v>Vehículo encendido</v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F6V-792</v>
      </c>
      <c r="D27" t="str">
        <v>F6V-792</v>
      </c>
      <c r="E27" t="str">
        <v/>
      </c>
      <c r="F27" t="str">
        <v>867162026042390</v>
      </c>
      <c r="G27" t="str">
        <v>Minivan</v>
      </c>
      <c r="H27" t="str">
        <v/>
      </c>
      <c r="I27" t="str">
        <v>28/09/2026</v>
      </c>
      <c r="J27" t="str">
        <v>11:57:09</v>
      </c>
      <c r="K27">
        <v>-12.212734</v>
      </c>
      <c r="L27">
        <v>-76.95896</v>
      </c>
      <c r="M27">
        <f>HYPERLINK("https://www.google.com/maps/search/?api=1&amp;query=-12.212734,-76.95896","Avenida Villa del Mar, Villa El Salvador, Lima")</f>
      </c>
      <c r="N27">
        <v>0</v>
      </c>
      <c r="O27">
        <v>100</v>
      </c>
      <c r="P27">
        <v>556097.5</v>
      </c>
      <c r="Q27" t="str">
        <v>1,417.08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F6V-792</v>
      </c>
      <c r="D28" t="str">
        <v>F6V-792</v>
      </c>
      <c r="E28" t="str">
        <v/>
      </c>
      <c r="F28" t="str">
        <v>867162026042390</v>
      </c>
      <c r="G28" t="str">
        <v>Minivan</v>
      </c>
      <c r="H28" t="str">
        <v/>
      </c>
      <c r="I28" t="str">
        <v>28/09/2026</v>
      </c>
      <c r="J28" t="str">
        <v>11:57:42</v>
      </c>
      <c r="K28">
        <v>-12.212831</v>
      </c>
      <c r="L28">
        <v>-76.958916</v>
      </c>
      <c r="M28">
        <f>HYPERLINK("https://www.google.com/maps/search/?api=1&amp;query=-12.212831,-76.958916","Avenida Villa del Mar, Villa El Salvador, Lima")</f>
      </c>
      <c r="N28">
        <v>2.6</v>
      </c>
      <c r="O28">
        <v>100</v>
      </c>
      <c r="P28">
        <v>556097.5</v>
      </c>
      <c r="Q28" t="str">
        <v>1,417.08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F6V-792</v>
      </c>
      <c r="D29" t="str">
        <v>F6V-792</v>
      </c>
      <c r="E29" t="str">
        <v/>
      </c>
      <c r="F29" t="str">
        <v>867162026042390</v>
      </c>
      <c r="G29" t="str">
        <v>Minivan</v>
      </c>
      <c r="H29" t="str">
        <v/>
      </c>
      <c r="I29" t="str">
        <v>28/09/2026</v>
      </c>
      <c r="J29" t="str">
        <v>11:57:42</v>
      </c>
      <c r="K29">
        <v>-12.212835</v>
      </c>
      <c r="L29">
        <v>-76.9589</v>
      </c>
      <c r="M29">
        <f>HYPERLINK("https://www.google.com/maps/search/?api=1&amp;query=-12.212835,-76.9589","Avenida Villa del Mar, Villa El Salvador, Lima")</f>
      </c>
      <c r="N29">
        <v>8.6</v>
      </c>
      <c r="O29">
        <v>100</v>
      </c>
      <c r="P29">
        <v>556097.5</v>
      </c>
      <c r="Q29" t="str">
        <v>1,417.08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F6V-792</v>
      </c>
      <c r="D30" t="str">
        <v>F6V-792</v>
      </c>
      <c r="E30" t="str">
        <v/>
      </c>
      <c r="F30" t="str">
        <v>867162026042390</v>
      </c>
      <c r="G30" t="str">
        <v>Minivan</v>
      </c>
      <c r="H30" t="str">
        <v/>
      </c>
      <c r="I30" t="str">
        <v>28/09/2026</v>
      </c>
      <c r="J30" t="str">
        <v>11:57:51</v>
      </c>
      <c r="K30">
        <v>-12.21283</v>
      </c>
      <c r="L30">
        <v>-76.95911</v>
      </c>
      <c r="M30">
        <f>HYPERLINK("https://www.google.com/maps/search/?api=1&amp;query=-12.21283,-76.95911","Avenida Villa del Mar, Villa El Salvador, Lima")</f>
      </c>
      <c r="N30">
        <v>5.9</v>
      </c>
      <c r="O30">
        <v>100</v>
      </c>
      <c r="P30">
        <v>556097.5</v>
      </c>
      <c r="Q30" t="str">
        <v>1,417.08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F6V-792</v>
      </c>
      <c r="D31" t="str">
        <v>F6V-792</v>
      </c>
      <c r="E31" t="str">
        <v/>
      </c>
      <c r="F31" t="str">
        <v>867162026042390</v>
      </c>
      <c r="G31" t="str">
        <v>Minivan</v>
      </c>
      <c r="H31" t="str">
        <v/>
      </c>
      <c r="I31" t="str">
        <v>28/09/2026</v>
      </c>
      <c r="J31" t="str">
        <v>11:58:39</v>
      </c>
      <c r="K31">
        <v>-12.212845</v>
      </c>
      <c r="L31">
        <v>-76.959145</v>
      </c>
      <c r="M31">
        <f>HYPERLINK("https://www.google.com/maps/search/?api=1&amp;query=-12.212845,-76.959145","Avenida Villa del Mar, Villa El Salvador, Lima")</f>
      </c>
      <c r="N31">
        <v>0</v>
      </c>
      <c r="O31">
        <v>100</v>
      </c>
      <c r="P31">
        <v>556097.5</v>
      </c>
      <c r="Q31" t="str">
        <v>1,417.08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F6V-792</v>
      </c>
      <c r="D32" t="str">
        <v>F6V-792</v>
      </c>
      <c r="E32" t="str">
        <v/>
      </c>
      <c r="F32" t="str">
        <v>867162026042390</v>
      </c>
      <c r="G32" t="str">
        <v>Minivan</v>
      </c>
      <c r="H32" t="str">
        <v/>
      </c>
      <c r="I32" t="str">
        <v>28/09/2026</v>
      </c>
      <c r="J32" t="str">
        <v>11:59:27</v>
      </c>
      <c r="K32">
        <v>-12.21293</v>
      </c>
      <c r="L32">
        <v>-76.95948</v>
      </c>
      <c r="M32">
        <f>HYPERLINK("https://www.google.com/maps/search/?api=1&amp;query=-12.21293,-76.95948","Avenida Villa del Mar, Villa El Salvador, Lima")</f>
      </c>
      <c r="N32">
        <v>11.9</v>
      </c>
      <c r="O32">
        <v>100</v>
      </c>
      <c r="P32">
        <v>556097.6</v>
      </c>
      <c r="Q32" t="str">
        <v>1,417.08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F6V-792</v>
      </c>
      <c r="D33" t="str">
        <v>F6V-792</v>
      </c>
      <c r="E33" t="str">
        <v/>
      </c>
      <c r="F33" t="str">
        <v>867162026042390</v>
      </c>
      <c r="G33" t="str">
        <v>Minivan</v>
      </c>
      <c r="H33" t="str">
        <v/>
      </c>
      <c r="I33" t="str">
        <v>28/09/2026</v>
      </c>
      <c r="J33" t="str">
        <v>11:59:39</v>
      </c>
      <c r="K33">
        <v>-12.212996</v>
      </c>
      <c r="L33">
        <v>-76.95958</v>
      </c>
      <c r="M33">
        <f>HYPERLINK("https://www.google.com/maps/search/?api=1&amp;query=-12.212996,-76.95958","Avenida Villa del Mar, Villa El Salvador, Lima")</f>
      </c>
      <c r="N33">
        <v>12.8</v>
      </c>
      <c r="O33">
        <v>100</v>
      </c>
      <c r="P33">
        <v>556097.6</v>
      </c>
      <c r="Q33" t="str">
        <v>1,417.08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F6V-792</v>
      </c>
      <c r="D34" t="str">
        <v>F6V-792</v>
      </c>
      <c r="E34" t="str">
        <v/>
      </c>
      <c r="F34" t="str">
        <v>867162026042390</v>
      </c>
      <c r="G34" t="str">
        <v>Minivan</v>
      </c>
      <c r="H34" t="str">
        <v/>
      </c>
      <c r="I34" t="str">
        <v>28/09/2026</v>
      </c>
      <c r="J34" t="str">
        <v>12:00:39</v>
      </c>
      <c r="K34">
        <v>-12.213982</v>
      </c>
      <c r="L34">
        <v>-76.96122</v>
      </c>
      <c r="M34">
        <f>HYPERLINK("https://www.google.com/maps/search/?api=1&amp;query=-12.213982,-76.96122","Avenida Villa del Mar, Villa El Salvador, Lima")</f>
      </c>
      <c r="N34">
        <v>9</v>
      </c>
      <c r="O34">
        <v>100</v>
      </c>
      <c r="P34">
        <v>556097.8</v>
      </c>
      <c r="Q34" t="str">
        <v>1,417.08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F6V-792</v>
      </c>
      <c r="D35" t="str">
        <v>F6V-792</v>
      </c>
      <c r="E35" t="str">
        <v/>
      </c>
      <c r="F35" t="str">
        <v>867162026042390</v>
      </c>
      <c r="G35" t="str">
        <v>Minivan</v>
      </c>
      <c r="H35" t="str">
        <v/>
      </c>
      <c r="I35" t="str">
        <v>28/09/2026</v>
      </c>
      <c r="J35" t="str">
        <v>12:01:39</v>
      </c>
      <c r="K35">
        <v>-12.215112</v>
      </c>
      <c r="L35">
        <v>-76.96297</v>
      </c>
      <c r="M35">
        <f>HYPERLINK("https://www.google.com/maps/search/?api=1&amp;query=-12.215112,-76.96297","Avenida Villa del Mar, Villa El Salvador, Lima")</f>
      </c>
      <c r="N35">
        <v>11.6</v>
      </c>
      <c r="O35">
        <v>100</v>
      </c>
      <c r="P35">
        <v>556098.1</v>
      </c>
      <c r="Q35" t="str">
        <v>1,417.08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F6V-792</v>
      </c>
      <c r="D36" t="str">
        <v>F6V-792</v>
      </c>
      <c r="E36" t="str">
        <v/>
      </c>
      <c r="F36" t="str">
        <v>867162026042390</v>
      </c>
      <c r="G36" t="str">
        <v>Minivan</v>
      </c>
      <c r="H36" t="str">
        <v/>
      </c>
      <c r="I36" t="str">
        <v>28/09/2026</v>
      </c>
      <c r="J36" t="str">
        <v>12:02:00</v>
      </c>
      <c r="K36">
        <v>-12.215481</v>
      </c>
      <c r="L36">
        <v>-76.96381</v>
      </c>
      <c r="M36">
        <f>HYPERLINK("https://www.google.com/maps/search/?api=1&amp;query=-12.215481,-76.96381","Avenida Villa del Mar, Villa El Salvador, Lima")</f>
      </c>
      <c r="N36">
        <v>9.7</v>
      </c>
      <c r="O36">
        <v>100</v>
      </c>
      <c r="P36">
        <v>556098.1</v>
      </c>
      <c r="Q36" t="str">
        <v>1,417.08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F6V-792</v>
      </c>
      <c r="D37" t="str">
        <v>F6V-792</v>
      </c>
      <c r="E37" t="str">
        <v/>
      </c>
      <c r="F37" t="str">
        <v>867162026042390</v>
      </c>
      <c r="G37" t="str">
        <v>Minivan</v>
      </c>
      <c r="H37" t="str">
        <v/>
      </c>
      <c r="I37" t="str">
        <v>28/09/2026</v>
      </c>
      <c r="J37" t="str">
        <v>12:02:03</v>
      </c>
      <c r="K37">
        <v>-12.215397</v>
      </c>
      <c r="L37">
        <v>-76.96384</v>
      </c>
      <c r="M37">
        <f>HYPERLINK("https://www.google.com/maps/search/?api=1&amp;query=-12.215397,-76.96384","Avenida Los Forestales, Villa El Salvador, Lima")</f>
      </c>
      <c r="N37">
        <v>10</v>
      </c>
      <c r="O37">
        <v>100</v>
      </c>
      <c r="P37">
        <v>556098.1</v>
      </c>
      <c r="Q37" t="str">
        <v>1,417.08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F6V-792</v>
      </c>
      <c r="D38" t="str">
        <v>F6V-792</v>
      </c>
      <c r="E38" t="str">
        <v/>
      </c>
      <c r="F38" t="str">
        <v>867162026042390</v>
      </c>
      <c r="G38" t="str">
        <v>Minivan</v>
      </c>
      <c r="H38" t="str">
        <v/>
      </c>
      <c r="I38" t="str">
        <v>28/09/2026</v>
      </c>
      <c r="J38" t="str">
        <v>12:02:39</v>
      </c>
      <c r="K38">
        <v>-12.214546</v>
      </c>
      <c r="L38">
        <v>-76.96379</v>
      </c>
      <c r="M38">
        <f>HYPERLINK("https://www.google.com/maps/search/?api=1&amp;query=-12.214546,-76.96379","Avenida Los Forestales, Villa El Salvador, Lima")</f>
      </c>
      <c r="N38">
        <v>12</v>
      </c>
      <c r="O38">
        <v>100</v>
      </c>
      <c r="P38">
        <v>556098.3</v>
      </c>
      <c r="Q38" t="str">
        <v>1,417.08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F6V-792</v>
      </c>
      <c r="D39" t="str">
        <v>F6V-792</v>
      </c>
      <c r="E39" t="str">
        <v/>
      </c>
      <c r="F39" t="str">
        <v>867162026042390</v>
      </c>
      <c r="G39" t="str">
        <v>Minivan</v>
      </c>
      <c r="H39" t="str">
        <v/>
      </c>
      <c r="I39" t="str">
        <v>28/09/2026</v>
      </c>
      <c r="J39" t="str">
        <v>12:03:39</v>
      </c>
      <c r="K39">
        <v>-12.212722</v>
      </c>
      <c r="L39">
        <v>-76.96367</v>
      </c>
      <c r="M39">
        <f>HYPERLINK("https://www.google.com/maps/search/?api=1&amp;query=-12.212722,-76.96367","Avenida Los Forestales, Villa El Salvador, Lima")</f>
      </c>
      <c r="N39">
        <v>11.3</v>
      </c>
      <c r="O39">
        <v>100</v>
      </c>
      <c r="P39">
        <v>556098.5</v>
      </c>
      <c r="Q39" t="str">
        <v>1,417.08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F6V-792</v>
      </c>
      <c r="D40" t="str">
        <v>F6V-792</v>
      </c>
      <c r="E40" t="str">
        <v/>
      </c>
      <c r="F40" t="str">
        <v>867162026042390</v>
      </c>
      <c r="G40" t="str">
        <v>Minivan</v>
      </c>
      <c r="H40" t="str">
        <v/>
      </c>
      <c r="I40" t="str">
        <v>28/09/2026</v>
      </c>
      <c r="J40" t="str">
        <v>12:04:12</v>
      </c>
      <c r="K40">
        <v>-12.212101</v>
      </c>
      <c r="L40">
        <v>-76.9636</v>
      </c>
      <c r="M40">
        <f>HYPERLINK("https://www.google.com/maps/search/?api=1&amp;query=-12.212101,-76.9636","Avenida El Sol, Villa El Salvador, Lima")</f>
      </c>
      <c r="N40">
        <v>11.9</v>
      </c>
      <c r="O40">
        <v>100</v>
      </c>
      <c r="P40">
        <v>556098.5</v>
      </c>
      <c r="Q40" t="str">
        <v>1,417.08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F6V-792</v>
      </c>
      <c r="D41" t="str">
        <v>F6V-792</v>
      </c>
      <c r="E41" t="str">
        <v/>
      </c>
      <c r="F41" t="str">
        <v>867162026042390</v>
      </c>
      <c r="G41" t="str">
        <v>Minivan</v>
      </c>
      <c r="H41" t="str">
        <v/>
      </c>
      <c r="I41" t="str">
        <v>28/09/2026</v>
      </c>
      <c r="J41" t="str">
        <v>12:04:15</v>
      </c>
      <c r="K41">
        <v>-12.212084</v>
      </c>
      <c r="L41">
        <v>-76.96372</v>
      </c>
      <c r="M41">
        <f>HYPERLINK("https://www.google.com/maps/search/?api=1&amp;query=-12.212084,-76.96372","Avenida El Sol, Villa El Salvador, Lima")</f>
      </c>
      <c r="N41">
        <v>11.4</v>
      </c>
      <c r="O41">
        <v>100</v>
      </c>
      <c r="P41">
        <v>556098.5</v>
      </c>
      <c r="Q41" t="str">
        <v>1,417.08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F6V-792</v>
      </c>
      <c r="D42" t="str">
        <v>F6V-792</v>
      </c>
      <c r="E42" t="str">
        <v/>
      </c>
      <c r="F42" t="str">
        <v>867162026042390</v>
      </c>
      <c r="G42" t="str">
        <v>Minivan</v>
      </c>
      <c r="H42" t="str">
        <v/>
      </c>
      <c r="I42" t="str">
        <v>28/09/2026</v>
      </c>
      <c r="J42" t="str">
        <v>12:04:39</v>
      </c>
      <c r="K42">
        <v>-12.212602</v>
      </c>
      <c r="L42">
        <v>-76.964554</v>
      </c>
      <c r="M42">
        <f>HYPERLINK("https://www.google.com/maps/search/?api=1&amp;query=-12.212602,-76.964554","Avenida El Sol, Villa El Salvador, Lima")</f>
      </c>
      <c r="N42">
        <v>35.2</v>
      </c>
      <c r="O42">
        <v>100</v>
      </c>
      <c r="P42">
        <v>556098.69</v>
      </c>
      <c r="Q42" t="str">
        <v>1,417.08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F6V-792</v>
      </c>
      <c r="D43" t="str">
        <v>F6V-792</v>
      </c>
      <c r="E43" t="str">
        <v/>
      </c>
      <c r="F43" t="str">
        <v>867162026042390</v>
      </c>
      <c r="G43" t="str">
        <v>Minivan</v>
      </c>
      <c r="H43" t="str">
        <v/>
      </c>
      <c r="I43" t="str">
        <v>28/09/2026</v>
      </c>
      <c r="J43" t="str">
        <v>12:04:39</v>
      </c>
      <c r="K43">
        <v>-12.212972</v>
      </c>
      <c r="L43">
        <v>-76.96527</v>
      </c>
      <c r="M43">
        <f>HYPERLINK("https://www.google.com/maps/search/?api=1&amp;query=-12.212972,-76.96527","Avenida El Sol, Villa El Salvador, Lima")</f>
      </c>
      <c r="N43">
        <v>34</v>
      </c>
      <c r="O43">
        <v>100</v>
      </c>
      <c r="P43">
        <v>556098.69</v>
      </c>
      <c r="Q43" t="str">
        <v>1,417.08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F6V-792</v>
      </c>
      <c r="D44" t="str">
        <v>F6V-792</v>
      </c>
      <c r="E44" t="str">
        <v/>
      </c>
      <c r="F44" t="str">
        <v>867162026042390</v>
      </c>
      <c r="G44" t="str">
        <v>Minivan</v>
      </c>
      <c r="H44" t="str">
        <v/>
      </c>
      <c r="I44" t="str">
        <v>28/09/2026</v>
      </c>
      <c r="J44" t="str">
        <v>12:05:34</v>
      </c>
      <c r="K44">
        <v>-12.216489</v>
      </c>
      <c r="L44">
        <v>-76.9684</v>
      </c>
      <c r="M44">
        <f>HYPERLINK("https://www.google.com/maps/search/?api=1&amp;query=-12.216489,-76.9684","Avenida El Sol, Villa El Salvador, Lima")</f>
      </c>
      <c r="N44">
        <v>10</v>
      </c>
      <c r="O44">
        <v>100</v>
      </c>
      <c r="P44">
        <v>556099.19</v>
      </c>
      <c r="Q44" t="str">
        <v>1,417.08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F6V-792</v>
      </c>
      <c r="D45" t="str">
        <v>F6V-792</v>
      </c>
      <c r="E45" t="str">
        <v/>
      </c>
      <c r="F45" t="str">
        <v>867162026042390</v>
      </c>
      <c r="G45" t="str">
        <v>Minivan</v>
      </c>
      <c r="H45" t="str">
        <v/>
      </c>
      <c r="I45" t="str">
        <v>28/09/2026</v>
      </c>
      <c r="J45" t="str">
        <v>12:06:34</v>
      </c>
      <c r="K45">
        <v>-12.219143</v>
      </c>
      <c r="L45">
        <v>-76.97128</v>
      </c>
      <c r="M45">
        <f>HYPERLINK("https://www.google.com/maps/search/?api=1&amp;query=-12.219143,-76.97128","Avenida El Sol, Villa El Salvador, Lima")</f>
      </c>
      <c r="N45">
        <v>43.5</v>
      </c>
      <c r="O45">
        <v>100</v>
      </c>
      <c r="P45">
        <v>556099.69</v>
      </c>
      <c r="Q45" t="str">
        <v>1,417.08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F6V-792</v>
      </c>
      <c r="D46" t="str">
        <v>F6V-792</v>
      </c>
      <c r="E46" t="str">
        <v/>
      </c>
      <c r="F46" t="str">
        <v>867162026042390</v>
      </c>
      <c r="G46" t="str">
        <v>Minivan</v>
      </c>
      <c r="H46" t="str">
        <v/>
      </c>
      <c r="I46" t="str">
        <v>28/09/2026</v>
      </c>
      <c r="J46" t="str">
        <v>12:07:21</v>
      </c>
      <c r="K46">
        <v>-12.222097</v>
      </c>
      <c r="L46">
        <v>-76.97455</v>
      </c>
      <c r="M46">
        <f>HYPERLINK("https://www.google.com/maps/search/?api=1&amp;query=-12.222097,-76.97455","Antigua Panamericana Sur, Villa El Salvador, Lima")</f>
      </c>
      <c r="N46">
        <v>9.8</v>
      </c>
      <c r="O46">
        <v>100</v>
      </c>
      <c r="P46">
        <v>556100.1</v>
      </c>
      <c r="Q46" t="str">
        <v>1,417.08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F6V-792</v>
      </c>
      <c r="D47" t="str">
        <v>F6V-792</v>
      </c>
      <c r="E47" t="str">
        <v/>
      </c>
      <c r="F47" t="str">
        <v>867162026042390</v>
      </c>
      <c r="G47" t="str">
        <v>Minivan</v>
      </c>
      <c r="H47" t="str">
        <v/>
      </c>
      <c r="I47" t="str">
        <v>28/09/2026</v>
      </c>
      <c r="J47" t="str">
        <v>12:07:34</v>
      </c>
      <c r="K47">
        <v>-12.22177</v>
      </c>
      <c r="L47">
        <v>-76.97485</v>
      </c>
      <c r="M47">
        <f>HYPERLINK("https://www.google.com/maps/search/?api=1&amp;query=-12.22177,-76.97485","Antigua Panamericana Sur, Villa El Salvador, Lima")</f>
      </c>
      <c r="N47">
        <v>26.1</v>
      </c>
      <c r="O47">
        <v>100</v>
      </c>
      <c r="P47">
        <v>556100.19</v>
      </c>
      <c r="Q47" t="str">
        <v>1,417.08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F6V-792</v>
      </c>
      <c r="D48" t="str">
        <v>F6V-792</v>
      </c>
      <c r="E48" t="str">
        <v/>
      </c>
      <c r="F48" t="str">
        <v>867162026042390</v>
      </c>
      <c r="G48" t="str">
        <v>Minivan</v>
      </c>
      <c r="H48" t="str">
        <v/>
      </c>
      <c r="I48" t="str">
        <v>28/09/2026</v>
      </c>
      <c r="J48" t="str">
        <v>12:07:42</v>
      </c>
      <c r="K48">
        <v>-12.220997</v>
      </c>
      <c r="L48">
        <v>-76.97557</v>
      </c>
      <c r="M48">
        <f>HYPERLINK("https://www.google.com/maps/search/?api=1&amp;query=-12.220997,-76.97557","Antigua Panamericana Sur, Villa El Salvador, Lima")</f>
      </c>
      <c r="N48">
        <v>40</v>
      </c>
      <c r="O48">
        <v>100</v>
      </c>
      <c r="P48">
        <v>556100.3</v>
      </c>
      <c r="Q48" t="str">
        <v>1,417.08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F6V-792</v>
      </c>
      <c r="D49" t="str">
        <v>F6V-792</v>
      </c>
      <c r="E49" t="str">
        <v/>
      </c>
      <c r="F49" t="str">
        <v>867162026042390</v>
      </c>
      <c r="G49" t="str">
        <v>Minivan</v>
      </c>
      <c r="H49" t="str">
        <v/>
      </c>
      <c r="I49" t="str">
        <v>28/09/2026</v>
      </c>
      <c r="J49" t="str">
        <v>12:07:51</v>
      </c>
      <c r="K49">
        <v>-12.220126</v>
      </c>
      <c r="L49">
        <v>-76.9757</v>
      </c>
      <c r="M49">
        <f>HYPERLINK("https://www.google.com/maps/search/?api=1&amp;query=-12.220126,-76.9757","Antigua Panamericana Sur, Villa El Salvador, Lima")</f>
      </c>
      <c r="N49">
        <v>37</v>
      </c>
      <c r="O49">
        <v>100</v>
      </c>
      <c r="P49">
        <v>556100.4</v>
      </c>
      <c r="Q49" t="str">
        <v>1,417.08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F6V-792</v>
      </c>
      <c r="D50" t="str">
        <v>F6V-792</v>
      </c>
      <c r="E50" t="str">
        <v/>
      </c>
      <c r="F50" t="str">
        <v>867162026042390</v>
      </c>
      <c r="G50" t="str">
        <v>Minivan</v>
      </c>
      <c r="H50" t="str">
        <v/>
      </c>
      <c r="I50" t="str">
        <v>28/09/2026</v>
      </c>
      <c r="J50" t="str">
        <v>12:08:06</v>
      </c>
      <c r="K50">
        <v>-12.219602</v>
      </c>
      <c r="L50">
        <v>-76.97581</v>
      </c>
      <c r="M50">
        <f>HYPERLINK("https://www.google.com/maps/search/?api=1&amp;query=-12.219602,-76.97581","Antigua Panamericana Sur, Villa El Salvador, Lima")</f>
      </c>
      <c r="N50">
        <v>8.8</v>
      </c>
      <c r="O50">
        <v>100</v>
      </c>
      <c r="P50">
        <v>556100.5</v>
      </c>
      <c r="Q50" t="str">
        <v>1,417.08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F6V-792</v>
      </c>
      <c r="D51" t="str">
        <v>F6V-792</v>
      </c>
      <c r="E51" t="str">
        <v/>
      </c>
      <c r="F51" t="str">
        <v>867162026042390</v>
      </c>
      <c r="G51" t="str">
        <v>Minivan</v>
      </c>
      <c r="H51" t="str">
        <v/>
      </c>
      <c r="I51" t="str">
        <v>28/09/2026</v>
      </c>
      <c r="J51" t="str">
        <v>12:08:12</v>
      </c>
      <c r="K51">
        <v>-12.219409</v>
      </c>
      <c r="L51">
        <v>-76.97584</v>
      </c>
      <c r="M51">
        <f>HYPERLINK("https://www.google.com/maps/search/?api=1&amp;query=-12.219409,-76.97584","Villa El Salvador, Lima")</f>
      </c>
      <c r="N51">
        <v>17.1</v>
      </c>
      <c r="O51">
        <v>100</v>
      </c>
      <c r="P51">
        <v>556100.5</v>
      </c>
      <c r="Q51" t="str">
        <v>1,417.08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F6V-792</v>
      </c>
      <c r="D52" t="str">
        <v>F6V-792</v>
      </c>
      <c r="E52" t="str">
        <v/>
      </c>
      <c r="F52" t="str">
        <v>867162026042390</v>
      </c>
      <c r="G52" t="str">
        <v>Minivan</v>
      </c>
      <c r="H52" t="str">
        <v/>
      </c>
      <c r="I52" t="str">
        <v>28/09/2026</v>
      </c>
      <c r="J52" t="str">
        <v>12:08:34</v>
      </c>
      <c r="K52">
        <v>-12.21822</v>
      </c>
      <c r="L52">
        <v>-76.97609</v>
      </c>
      <c r="M52">
        <f>HYPERLINK("https://www.google.com/maps/search/?api=1&amp;query=-12.21822,-76.97609","Villa El Salvador, Lima")</f>
      </c>
      <c r="N52">
        <v>35.4</v>
      </c>
      <c r="O52">
        <v>100</v>
      </c>
      <c r="P52">
        <v>556100.69</v>
      </c>
      <c r="Q52" t="str">
        <v>1,417.08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F6V-792</v>
      </c>
      <c r="D53" t="str">
        <v>F6V-792</v>
      </c>
      <c r="E53" t="str">
        <v/>
      </c>
      <c r="F53" t="str">
        <v>867162026042390</v>
      </c>
      <c r="G53" t="str">
        <v>Minivan</v>
      </c>
      <c r="H53" t="str">
        <v/>
      </c>
      <c r="I53" t="str">
        <v>28/09/2026</v>
      </c>
      <c r="J53" t="str">
        <v>12:08:39</v>
      </c>
      <c r="K53">
        <v>-12.217955</v>
      </c>
      <c r="L53">
        <v>-76.97688</v>
      </c>
      <c r="M53">
        <f>HYPERLINK("https://www.google.com/maps/search/?api=1&amp;query=-12.217955,-76.97688","Avenida Caminos del Inca, Chorrillos, Lima")</f>
      </c>
      <c r="N53">
        <v>38</v>
      </c>
      <c r="O53">
        <v>100</v>
      </c>
      <c r="P53">
        <v>556100.69</v>
      </c>
      <c r="Q53" t="str">
        <v>1,417.08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F6V-792</v>
      </c>
      <c r="D54" t="str">
        <v>F6V-792</v>
      </c>
      <c r="E54" t="str">
        <v/>
      </c>
      <c r="F54" t="str">
        <v>867162026042390</v>
      </c>
      <c r="G54" t="str">
        <v>Minivan</v>
      </c>
      <c r="H54" t="str">
        <v/>
      </c>
      <c r="I54" t="str">
        <v>28/09/2026</v>
      </c>
      <c r="J54" t="str">
        <v>12:09:15</v>
      </c>
      <c r="K54">
        <v>-12.21723</v>
      </c>
      <c r="L54">
        <v>-76.97955</v>
      </c>
      <c r="M54">
        <f>HYPERLINK("https://www.google.com/maps/search/?api=1&amp;query=-12.21723,-76.97955","Avenida Caminos del Inca, Chorrillos, Lima")</f>
      </c>
      <c r="N54">
        <v>41.2</v>
      </c>
      <c r="O54">
        <v>100</v>
      </c>
      <c r="P54">
        <v>556101</v>
      </c>
      <c r="Q54" t="str">
        <v>1,417.08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F6V-792</v>
      </c>
      <c r="D55" t="str">
        <v>F6V-792</v>
      </c>
      <c r="E55" t="str">
        <v/>
      </c>
      <c r="F55" t="str">
        <v>867162026042390</v>
      </c>
      <c r="G55" t="str">
        <v>Minivan</v>
      </c>
      <c r="H55" t="str">
        <v/>
      </c>
      <c r="I55" t="str">
        <v>28/09/2026</v>
      </c>
      <c r="J55" t="str">
        <v>12:09:34</v>
      </c>
      <c r="K55">
        <v>-12.216149</v>
      </c>
      <c r="L55">
        <v>-76.98059</v>
      </c>
      <c r="M55">
        <f>HYPERLINK("https://www.google.com/maps/search/?api=1&amp;query=-12.216149,-76.98059","Avenida Caminos del Inca, Chorrillos, Lima")</f>
      </c>
      <c r="N55">
        <v>35.2</v>
      </c>
      <c r="O55">
        <v>100</v>
      </c>
      <c r="P55">
        <v>556101.19</v>
      </c>
      <c r="Q55" t="str">
        <v>1,417.08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F6V-792</v>
      </c>
      <c r="D56" t="str">
        <v>F6V-792</v>
      </c>
      <c r="E56" t="str">
        <v/>
      </c>
      <c r="F56" t="str">
        <v>867162026042390</v>
      </c>
      <c r="G56" t="str">
        <v>Minivan</v>
      </c>
      <c r="H56" t="str">
        <v/>
      </c>
      <c r="I56" t="str">
        <v>28/09/2026</v>
      </c>
      <c r="J56" t="str">
        <v>12:09:45</v>
      </c>
      <c r="K56">
        <v>-12.215725</v>
      </c>
      <c r="L56">
        <v>-76.98112</v>
      </c>
      <c r="M56">
        <f>HYPERLINK("https://www.google.com/maps/search/?api=1&amp;query=-12.215725,-76.98112","Avenida Caminos del Inca, Chorrillos, Lima")</f>
      </c>
      <c r="N56">
        <v>10.1</v>
      </c>
      <c r="O56">
        <v>100</v>
      </c>
      <c r="P56">
        <v>556101.3</v>
      </c>
      <c r="Q56" t="str">
        <v>1,417.08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F6V-792</v>
      </c>
      <c r="D57" t="str">
        <v>F6V-792</v>
      </c>
      <c r="E57" t="str">
        <v/>
      </c>
      <c r="F57" t="str">
        <v>867162026042390</v>
      </c>
      <c r="G57" t="str">
        <v>Minivan</v>
      </c>
      <c r="H57" t="str">
        <v/>
      </c>
      <c r="I57" t="str">
        <v>28/09/2026</v>
      </c>
      <c r="J57" t="str">
        <v>12:09:51</v>
      </c>
      <c r="K57">
        <v>-12.215807</v>
      </c>
      <c r="L57">
        <v>-76.98117</v>
      </c>
      <c r="M57">
        <f>HYPERLINK("https://www.google.com/maps/search/?api=1&amp;query=-12.215807,-76.98117","Avenida Caminos del Inca, Chorrillos, Lima")</f>
      </c>
      <c r="N57">
        <v>8.4</v>
      </c>
      <c r="O57">
        <v>100</v>
      </c>
      <c r="P57">
        <v>556101.3</v>
      </c>
      <c r="Q57" t="str">
        <v>1,417.08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F6V-792</v>
      </c>
      <c r="D58" t="str">
        <v>F6V-792</v>
      </c>
      <c r="E58" t="str">
        <v/>
      </c>
      <c r="F58" t="str">
        <v>867162026042390</v>
      </c>
      <c r="G58" t="str">
        <v>Minivan</v>
      </c>
      <c r="H58" t="str">
        <v/>
      </c>
      <c r="I58" t="str">
        <v>28/09/2026</v>
      </c>
      <c r="J58" t="str">
        <v>12:09:57</v>
      </c>
      <c r="K58">
        <v>-12.215962</v>
      </c>
      <c r="L58">
        <v>-76.98108</v>
      </c>
      <c r="M58">
        <f>HYPERLINK("https://www.google.com/maps/search/?api=1&amp;query=-12.215962,-76.98108","Prolongación Huaylas, Chorrillos, Lima")</f>
      </c>
      <c r="N58">
        <v>15.2</v>
      </c>
      <c r="O58">
        <v>100</v>
      </c>
      <c r="P58">
        <v>556101.3</v>
      </c>
      <c r="Q58" t="str">
        <v>1,417.08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F6V-792</v>
      </c>
      <c r="D59" t="str">
        <v>F6V-792</v>
      </c>
      <c r="E59" t="str">
        <v/>
      </c>
      <c r="F59" t="str">
        <v>867162026042390</v>
      </c>
      <c r="G59" t="str">
        <v>Minivan</v>
      </c>
      <c r="H59" t="str">
        <v/>
      </c>
      <c r="I59" t="str">
        <v>28/09/2026</v>
      </c>
      <c r="J59" t="str">
        <v>12:10:34</v>
      </c>
      <c r="K59">
        <v>-12.217678</v>
      </c>
      <c r="L59">
        <v>-76.97916</v>
      </c>
      <c r="M59">
        <f>HYPERLINK("https://www.google.com/maps/search/?api=1&amp;query=-12.217678,-76.97916","Avenida Caminos del Inca, Chorrillos, Lima")</f>
      </c>
      <c r="N59">
        <v>36</v>
      </c>
      <c r="O59">
        <v>100</v>
      </c>
      <c r="P59">
        <v>556101.6</v>
      </c>
      <c r="Q59" t="str">
        <v>1,417.08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F6V-792</v>
      </c>
      <c r="D60" t="str">
        <v>F6V-792</v>
      </c>
      <c r="E60" t="str">
        <v/>
      </c>
      <c r="F60" t="str">
        <v>867162026042390</v>
      </c>
      <c r="G60" t="str">
        <v>Minivan</v>
      </c>
      <c r="H60" t="str">
        <v/>
      </c>
      <c r="I60" t="str">
        <v>28/09/2026</v>
      </c>
      <c r="J60" t="str">
        <v>12:11:34</v>
      </c>
      <c r="K60">
        <v>-12.222967</v>
      </c>
      <c r="L60">
        <v>-76.974236</v>
      </c>
      <c r="M60">
        <f>HYPERLINK("https://www.google.com/maps/search/?api=1&amp;query=-12.222967,-76.974236","Carretera Panamericana Sur, Chorrillos, Lima")</f>
      </c>
      <c r="N60">
        <v>49.5</v>
      </c>
      <c r="O60">
        <v>100</v>
      </c>
      <c r="P60">
        <v>556102.4</v>
      </c>
      <c r="Q60" t="str">
        <v>1,417.08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F6V-792</v>
      </c>
      <c r="D61" t="str">
        <v>F6V-792</v>
      </c>
      <c r="E61" t="str">
        <v/>
      </c>
      <c r="F61" t="str">
        <v>867162026042390</v>
      </c>
      <c r="G61" t="str">
        <v>Minivan</v>
      </c>
      <c r="H61" t="str">
        <v/>
      </c>
      <c r="I61" t="str">
        <v>28/09/2026</v>
      </c>
      <c r="J61" t="str">
        <v>12:12:34</v>
      </c>
      <c r="K61">
        <v>-12.228091</v>
      </c>
      <c r="L61">
        <v>-76.969315</v>
      </c>
      <c r="M61">
        <f>HYPERLINK("https://www.google.com/maps/search/?api=1&amp;query=-12.228091,-76.969315","Carretera Panamericana Sur, Villa El Salvador, Lima")</f>
      </c>
      <c r="N61">
        <v>37.1</v>
      </c>
      <c r="O61">
        <v>100</v>
      </c>
      <c r="P61">
        <v>556103.19</v>
      </c>
      <c r="Q61" t="str">
        <v>1,417.08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F6V-792</v>
      </c>
      <c r="D62" t="str">
        <v>F6V-792</v>
      </c>
      <c r="E62" t="str">
        <v/>
      </c>
      <c r="F62" t="str">
        <v>867162026042390</v>
      </c>
      <c r="G62" t="str">
        <v>Minivan</v>
      </c>
      <c r="H62" t="str">
        <v/>
      </c>
      <c r="I62" t="str">
        <v>28/09/2026</v>
      </c>
      <c r="J62" t="str">
        <v>12:13:34</v>
      </c>
      <c r="K62">
        <v>-12.23333</v>
      </c>
      <c r="L62">
        <v>-76.96166</v>
      </c>
      <c r="M62">
        <f>HYPERLINK("https://www.google.com/maps/search/?api=1&amp;query=-12.23333,-76.96166","Carretera Panamericana Sur, Villa El Salvador, Lima")</f>
      </c>
      <c r="N62">
        <v>58</v>
      </c>
      <c r="O62">
        <v>100</v>
      </c>
      <c r="P62">
        <v>556104.3</v>
      </c>
      <c r="Q62" t="str">
        <v>1,417.08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F6V-792</v>
      </c>
      <c r="D63" t="str">
        <v>F6V-792</v>
      </c>
      <c r="E63" t="str">
        <v/>
      </c>
      <c r="F63" t="str">
        <v>867162026042390</v>
      </c>
      <c r="G63" t="str">
        <v>Minivan</v>
      </c>
      <c r="H63" t="str">
        <v/>
      </c>
      <c r="I63" t="str">
        <v>28/09/2026</v>
      </c>
      <c r="J63" t="str">
        <v>12:14:34</v>
      </c>
      <c r="K63">
        <v>-12.237792</v>
      </c>
      <c r="L63">
        <v>-76.9531</v>
      </c>
      <c r="M63">
        <f>HYPERLINK("https://www.google.com/maps/search/?api=1&amp;query=-12.237792,-76.9531","Carretera Panamericana Sur, Villa El Salvador, Lima")</f>
      </c>
      <c r="N63">
        <v>56.6</v>
      </c>
      <c r="O63">
        <v>100</v>
      </c>
      <c r="P63">
        <v>556105.3</v>
      </c>
      <c r="Q63" t="str">
        <v>1,417.08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F6V-792</v>
      </c>
      <c r="D64" t="str">
        <v>F6V-792</v>
      </c>
      <c r="E64" t="str">
        <v/>
      </c>
      <c r="F64" t="str">
        <v>867162026042390</v>
      </c>
      <c r="G64" t="str">
        <v>Minivan</v>
      </c>
      <c r="H64" t="str">
        <v/>
      </c>
      <c r="I64" t="str">
        <v>28/09/2026</v>
      </c>
      <c r="J64" t="str">
        <v>12:15:34</v>
      </c>
      <c r="K64">
        <v>-12.241948</v>
      </c>
      <c r="L64">
        <v>-76.945114</v>
      </c>
      <c r="M64">
        <f>HYPERLINK("https://www.google.com/maps/search/?api=1&amp;query=-12.241948,-76.945114","Carretera Panamericana Sur, Villa El Salvador, Lima")</f>
      </c>
      <c r="N64">
        <v>53.3</v>
      </c>
      <c r="O64">
        <v>100</v>
      </c>
      <c r="P64">
        <v>556106.3</v>
      </c>
      <c r="Q64" t="str">
        <v>1,417.08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F6V-792</v>
      </c>
      <c r="D65" t="str">
        <v>F6V-792</v>
      </c>
      <c r="E65" t="str">
        <v/>
      </c>
      <c r="F65" t="str">
        <v>867162026042390</v>
      </c>
      <c r="G65" t="str">
        <v>Minivan</v>
      </c>
      <c r="H65" t="str">
        <v/>
      </c>
      <c r="I65" t="str">
        <v>28/09/2026</v>
      </c>
      <c r="J65" t="str">
        <v>12:16:34</v>
      </c>
      <c r="K65">
        <v>-12.246084</v>
      </c>
      <c r="L65">
        <v>-76.93711</v>
      </c>
      <c r="M65">
        <f>HYPERLINK("https://www.google.com/maps/search/?api=1&amp;query=-12.246084,-76.93711","Carretera Panamericana Sur, Lurín, Lima")</f>
      </c>
      <c r="N65">
        <v>55.2</v>
      </c>
      <c r="O65">
        <v>100</v>
      </c>
      <c r="P65">
        <v>556107.3</v>
      </c>
      <c r="Q65" t="str">
        <v>1,417.08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F6V-792</v>
      </c>
      <c r="D66" t="str">
        <v>F6V-792</v>
      </c>
      <c r="E66" t="str">
        <v/>
      </c>
      <c r="F66" t="str">
        <v>867162026042390</v>
      </c>
      <c r="G66" t="str">
        <v>Minivan</v>
      </c>
      <c r="H66" t="str">
        <v/>
      </c>
      <c r="I66" t="str">
        <v>28/09/2026</v>
      </c>
      <c r="J66" t="str">
        <v>12:17:34</v>
      </c>
      <c r="K66">
        <v>-12.250753</v>
      </c>
      <c r="L66">
        <v>-76.930244</v>
      </c>
      <c r="M66">
        <f>HYPERLINK("https://www.google.com/maps/search/?api=1&amp;query=-12.250753,-76.930244","Carretera Panamericana Sur, Lurín, Lima")</f>
      </c>
      <c r="N66">
        <v>50.9</v>
      </c>
      <c r="O66">
        <v>100</v>
      </c>
      <c r="P66">
        <v>556108.19</v>
      </c>
      <c r="Q66" t="str">
        <v>1,417.08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F6V-792</v>
      </c>
      <c r="D67" t="str">
        <v>F6V-792</v>
      </c>
      <c r="E67" t="str">
        <v/>
      </c>
      <c r="F67" t="str">
        <v>867162026042390</v>
      </c>
      <c r="G67" t="str">
        <v>Minivan</v>
      </c>
      <c r="H67" t="str">
        <v/>
      </c>
      <c r="I67" t="str">
        <v>28/09/2026</v>
      </c>
      <c r="J67" t="str">
        <v>12:18:34</v>
      </c>
      <c r="K67">
        <v>-12.255053</v>
      </c>
      <c r="L67">
        <v>-76.92362</v>
      </c>
      <c r="M67">
        <f>HYPERLINK("https://www.google.com/maps/search/?api=1&amp;query=-12.255053,-76.92362","Carretera Panamericana Sur, Lurín, Lima")</f>
      </c>
      <c r="N67">
        <v>55.3</v>
      </c>
      <c r="O67">
        <v>100</v>
      </c>
      <c r="P67">
        <v>556109.1</v>
      </c>
      <c r="Q67" t="str">
        <v>1,417.08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F6V-792</v>
      </c>
      <c r="D68" t="str">
        <v>F6V-792</v>
      </c>
      <c r="E68" t="str">
        <v/>
      </c>
      <c r="F68" t="str">
        <v>867162026042390</v>
      </c>
      <c r="G68" t="str">
        <v>Minivan</v>
      </c>
      <c r="H68" t="str">
        <v/>
      </c>
      <c r="I68" t="str">
        <v>28/09/2026</v>
      </c>
      <c r="J68" t="str">
        <v>12:19:34</v>
      </c>
      <c r="K68">
        <v>-12.259899</v>
      </c>
      <c r="L68">
        <v>-76.91581</v>
      </c>
      <c r="M68">
        <f>HYPERLINK("https://www.google.com/maps/search/?api=1&amp;query=-12.259899,-76.91581","Carretera Panamericana Sur, Lurín, Lima")</f>
      </c>
      <c r="N68">
        <v>74.9</v>
      </c>
      <c r="O68">
        <v>100</v>
      </c>
      <c r="P68">
        <v>556110.1</v>
      </c>
      <c r="Q68" t="str">
        <v>1,417.08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F6V-792</v>
      </c>
      <c r="D69" t="str">
        <v>F6V-792</v>
      </c>
      <c r="E69" t="str">
        <v/>
      </c>
      <c r="F69" t="str">
        <v>867162026042390</v>
      </c>
      <c r="G69" t="str">
        <v>Minivan</v>
      </c>
      <c r="H69" t="str">
        <v/>
      </c>
      <c r="I69" t="str">
        <v>28/09/2026</v>
      </c>
      <c r="J69" t="str">
        <v>12:20:34</v>
      </c>
      <c r="K69">
        <v>-12.266298</v>
      </c>
      <c r="L69">
        <v>-76.905655</v>
      </c>
      <c r="M69">
        <f>HYPERLINK("https://www.google.com/maps/search/?api=1&amp;query=-12.266298,-76.905655","Carretera Panamericana Sur, Lurín, Lima")</f>
      </c>
      <c r="N69">
        <v>78.5</v>
      </c>
      <c r="O69">
        <v>100</v>
      </c>
      <c r="P69">
        <v>556111.4</v>
      </c>
      <c r="Q69" t="str">
        <v>1,417.08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F6V-792</v>
      </c>
      <c r="D70" t="str">
        <v>F6V-792</v>
      </c>
      <c r="E70" t="str">
        <v/>
      </c>
      <c r="F70" t="str">
        <v>867162026042390</v>
      </c>
      <c r="G70" t="str">
        <v>Minivan</v>
      </c>
      <c r="H70" t="str">
        <v/>
      </c>
      <c r="I70" t="str">
        <v>28/09/2026</v>
      </c>
      <c r="J70" t="str">
        <v>12:21:34</v>
      </c>
      <c r="K70">
        <v>-12.271788</v>
      </c>
      <c r="L70">
        <v>-76.89688</v>
      </c>
      <c r="M70">
        <f>HYPERLINK("https://www.google.com/maps/search/?api=1&amp;query=-12.271788,-76.89688","Carretera Panamericana Sur, Lurín, Lima")</f>
      </c>
      <c r="N70">
        <v>59</v>
      </c>
      <c r="O70">
        <v>100</v>
      </c>
      <c r="P70">
        <v>556112.5</v>
      </c>
      <c r="Q70" t="str">
        <v>1,417.08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F6V-792</v>
      </c>
      <c r="D71" t="str">
        <v>F6V-792</v>
      </c>
      <c r="E71" t="str">
        <v/>
      </c>
      <c r="F71" t="str">
        <v>867162026042390</v>
      </c>
      <c r="G71" t="str">
        <v>Minivan</v>
      </c>
      <c r="H71" t="str">
        <v/>
      </c>
      <c r="I71" t="str">
        <v>28/09/2026</v>
      </c>
      <c r="J71" t="str">
        <v>12:22:34</v>
      </c>
      <c r="K71">
        <v>-12.277656</v>
      </c>
      <c r="L71">
        <v>-76.88748</v>
      </c>
      <c r="M71">
        <f>HYPERLINK("https://www.google.com/maps/search/?api=1&amp;query=-12.277656,-76.88748","Carretera Panamericana Sur, Lurín, Lima")</f>
      </c>
      <c r="N71">
        <v>76.8</v>
      </c>
      <c r="O71">
        <v>100</v>
      </c>
      <c r="P71">
        <v>556113.69</v>
      </c>
      <c r="Q71" t="str">
        <v>1,417.08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F6V-792</v>
      </c>
      <c r="D72" t="str">
        <v>F6V-792</v>
      </c>
      <c r="E72" t="str">
        <v/>
      </c>
      <c r="F72" t="str">
        <v>867162026042390</v>
      </c>
      <c r="G72" t="str">
        <v>Minivan</v>
      </c>
      <c r="H72" t="str">
        <v/>
      </c>
      <c r="I72" t="str">
        <v>28/09/2026</v>
      </c>
      <c r="J72" t="str">
        <v>12:23:34</v>
      </c>
      <c r="K72">
        <v>-12.283974</v>
      </c>
      <c r="L72">
        <v>-76.8774</v>
      </c>
      <c r="M72">
        <f>HYPERLINK("https://www.google.com/maps/search/?api=1&amp;query=-12.283974,-76.8774","Carretera Panamericana Sur, Lurín, Lima")</f>
      </c>
      <c r="N72">
        <v>70.9</v>
      </c>
      <c r="O72">
        <v>100</v>
      </c>
      <c r="P72">
        <v>556115</v>
      </c>
      <c r="Q72" t="str">
        <v>1,417.08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F6V-792</v>
      </c>
      <c r="D73" t="str">
        <v>F6V-792</v>
      </c>
      <c r="E73" t="str">
        <v/>
      </c>
      <c r="F73" t="str">
        <v>867162026042390</v>
      </c>
      <c r="G73" t="str">
        <v>Minivan</v>
      </c>
      <c r="H73" t="str">
        <v/>
      </c>
      <c r="I73" t="str">
        <v>28/09/2026</v>
      </c>
      <c r="J73" t="str">
        <v>12:24:34</v>
      </c>
      <c r="K73">
        <v>-12.289541</v>
      </c>
      <c r="L73">
        <v>-76.86852</v>
      </c>
      <c r="M73">
        <f>HYPERLINK("https://www.google.com/maps/search/?api=1&amp;query=-12.289541,-76.86852","Carretera Panamericana Sur, Lurín, Lima")</f>
      </c>
      <c r="N73">
        <v>66.4</v>
      </c>
      <c r="O73">
        <v>100</v>
      </c>
      <c r="P73">
        <v>556116.19</v>
      </c>
      <c r="Q73" t="str">
        <v>1,417.08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F6V-792</v>
      </c>
      <c r="D74" t="str">
        <v>F6V-792</v>
      </c>
      <c r="E74" t="str">
        <v/>
      </c>
      <c r="F74" t="str">
        <v>867162026042390</v>
      </c>
      <c r="G74" t="str">
        <v>Minivan</v>
      </c>
      <c r="H74" t="str">
        <v/>
      </c>
      <c r="I74" t="str">
        <v>28/09/2026</v>
      </c>
      <c r="J74" t="str">
        <v>12:25:34</v>
      </c>
      <c r="K74">
        <v>-12.295298</v>
      </c>
      <c r="L74">
        <v>-76.85936</v>
      </c>
      <c r="M74">
        <f>HYPERLINK("https://www.google.com/maps/search/?api=1&amp;query=-12.295298,-76.85936","Carretera Panamericana Sur, Lurín, Lima")</f>
      </c>
      <c r="N74">
        <v>59.8</v>
      </c>
      <c r="O74">
        <v>100</v>
      </c>
      <c r="P74">
        <v>556117.4</v>
      </c>
      <c r="Q74" t="str">
        <v>1,417.08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F6V-792</v>
      </c>
      <c r="D75" t="str">
        <v>F6V-792</v>
      </c>
      <c r="E75" t="str">
        <v/>
      </c>
      <c r="F75" t="str">
        <v>867162026042390</v>
      </c>
      <c r="G75" t="str">
        <v>Minivan</v>
      </c>
      <c r="H75" t="str">
        <v/>
      </c>
      <c r="I75" t="str">
        <v>28/09/2026</v>
      </c>
      <c r="J75" t="str">
        <v>12:26:34</v>
      </c>
      <c r="K75">
        <v>-12.299866</v>
      </c>
      <c r="L75">
        <v>-76.84954</v>
      </c>
      <c r="M75">
        <f>HYPERLINK("https://www.google.com/maps/search/?api=1&amp;query=-12.299866,-76.84954","Carretera Panamericana Sur, Lurín, Lima")</f>
      </c>
      <c r="N75">
        <v>76.2</v>
      </c>
      <c r="O75">
        <v>100</v>
      </c>
      <c r="P75">
        <v>556118.6</v>
      </c>
      <c r="Q75" t="str">
        <v>1,417.08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F6V-792</v>
      </c>
      <c r="D76" t="str">
        <v>F6V-792</v>
      </c>
      <c r="E76" t="str">
        <v/>
      </c>
      <c r="F76" t="str">
        <v>867162026042390</v>
      </c>
      <c r="G76" t="str">
        <v>Minivan</v>
      </c>
      <c r="H76" t="str">
        <v/>
      </c>
      <c r="I76" t="str">
        <v>28/09/2026</v>
      </c>
      <c r="J76" t="str">
        <v>12:27:34</v>
      </c>
      <c r="K76">
        <v>-12.305206</v>
      </c>
      <c r="L76">
        <v>-76.8396</v>
      </c>
      <c r="M76">
        <f>HYPERLINK("https://www.google.com/maps/search/?api=1&amp;query=-12.305206,-76.8396","Carretera Panamericana Sur, Lurín, Lima")</f>
      </c>
      <c r="N76">
        <v>65.6</v>
      </c>
      <c r="O76">
        <v>100</v>
      </c>
      <c r="P76">
        <v>556119.8</v>
      </c>
      <c r="Q76" t="str">
        <v>1,417.08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F6V-792</v>
      </c>
      <c r="D77" t="str">
        <v>F6V-792</v>
      </c>
      <c r="E77" t="str">
        <v/>
      </c>
      <c r="F77" t="str">
        <v>867162026042390</v>
      </c>
      <c r="G77" t="str">
        <v>Minivan</v>
      </c>
      <c r="H77" t="str">
        <v/>
      </c>
      <c r="I77" t="str">
        <v>28/09/2026</v>
      </c>
      <c r="J77" t="str">
        <v>12:28:34</v>
      </c>
      <c r="K77">
        <v>-12.312442</v>
      </c>
      <c r="L77">
        <v>-76.83402</v>
      </c>
      <c r="M77">
        <f>HYPERLINK("https://www.google.com/maps/search/?api=1&amp;query=-12.312442,-76.83402","Carretera Panamericana Sur, Punta Hermosa, Lima")</f>
      </c>
      <c r="N77">
        <v>61.4</v>
      </c>
      <c r="O77">
        <v>100</v>
      </c>
      <c r="P77">
        <v>556120.8</v>
      </c>
      <c r="Q77" t="str">
        <v>1,417.08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F6V-792</v>
      </c>
      <c r="D78" t="str">
        <v>F6V-792</v>
      </c>
      <c r="E78" t="str">
        <v/>
      </c>
      <c r="F78" t="str">
        <v>867162026042390</v>
      </c>
      <c r="G78" t="str">
        <v>Minivan</v>
      </c>
      <c r="H78" t="str">
        <v/>
      </c>
      <c r="I78" t="str">
        <v>28/09/2026</v>
      </c>
      <c r="J78" t="str">
        <v>12:29:34</v>
      </c>
      <c r="K78">
        <v>-12.319996</v>
      </c>
      <c r="L78">
        <v>-76.82897</v>
      </c>
      <c r="M78">
        <f>HYPERLINK("https://www.google.com/maps/search/?api=1&amp;query=-12.319996,-76.82897","Carretera Panamericana Sur, Punta Hermosa, Lima")</f>
      </c>
      <c r="N78">
        <v>47.8</v>
      </c>
      <c r="O78">
        <v>100</v>
      </c>
      <c r="P78">
        <v>556121.8</v>
      </c>
      <c r="Q78" t="str">
        <v>1,417.08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F6V-792</v>
      </c>
      <c r="D79" t="str">
        <v>F6V-792</v>
      </c>
      <c r="E79" t="str">
        <v/>
      </c>
      <c r="F79" t="str">
        <v>867162026042390</v>
      </c>
      <c r="G79" t="str">
        <v>Minivan</v>
      </c>
      <c r="H79" t="str">
        <v/>
      </c>
      <c r="I79" t="str">
        <v>28/09/2026</v>
      </c>
      <c r="J79" t="str">
        <v>12:30:34</v>
      </c>
      <c r="K79">
        <v>-12.327364</v>
      </c>
      <c r="L79">
        <v>-76.82402</v>
      </c>
      <c r="M79">
        <f>HYPERLINK("https://www.google.com/maps/search/?api=1&amp;query=-12.327364,-76.82402","Carretera Panamericana Sur, Punta Hermosa, Lima")</f>
      </c>
      <c r="N79">
        <v>75.2</v>
      </c>
      <c r="O79">
        <v>100</v>
      </c>
      <c r="P79">
        <v>556122.8</v>
      </c>
      <c r="Q79" t="str">
        <v>1,417.08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F6V-792</v>
      </c>
      <c r="D80" t="str">
        <v>F6V-792</v>
      </c>
      <c r="E80" t="str">
        <v/>
      </c>
      <c r="F80" t="str">
        <v>867162026042390</v>
      </c>
      <c r="G80" t="str">
        <v>Minivan</v>
      </c>
      <c r="H80" t="str">
        <v/>
      </c>
      <c r="I80" t="str">
        <v>28/09/2026</v>
      </c>
      <c r="J80" t="str">
        <v>12:31:34</v>
      </c>
      <c r="K80">
        <v>-12.335431</v>
      </c>
      <c r="L80">
        <v>-76.81881</v>
      </c>
      <c r="M80">
        <f>HYPERLINK("https://www.google.com/maps/search/?api=1&amp;query=-12.335431,-76.81881","Carretera Panamericana Sur, Punta Hermosa, Lima")</f>
      </c>
      <c r="N80">
        <v>37.5</v>
      </c>
      <c r="O80">
        <v>100</v>
      </c>
      <c r="P80">
        <v>556123.8</v>
      </c>
      <c r="Q80" t="str">
        <v>1,417.08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F6V-792</v>
      </c>
      <c r="D81" t="str">
        <v>F6V-792</v>
      </c>
      <c r="E81" t="str">
        <v/>
      </c>
      <c r="F81" t="str">
        <v>867162026042390</v>
      </c>
      <c r="G81" t="str">
        <v>Minivan</v>
      </c>
      <c r="H81" t="str">
        <v/>
      </c>
      <c r="I81" t="str">
        <v>28/09/2026</v>
      </c>
      <c r="J81" t="str">
        <v>12:31:36</v>
      </c>
      <c r="K81">
        <v>-12.335804</v>
      </c>
      <c r="L81">
        <v>-76.81887</v>
      </c>
      <c r="M81">
        <f>HYPERLINK("https://www.google.com/maps/search/?api=1&amp;query=-12.335804,-76.81887","Antigua Panamericana Sur, Punta Hermosa, Lima")</f>
      </c>
      <c r="N81">
        <v>18.7</v>
      </c>
      <c r="O81">
        <v>100</v>
      </c>
      <c r="P81">
        <v>556123.8</v>
      </c>
      <c r="Q81" t="str">
        <v>1,417.08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F6V-792</v>
      </c>
      <c r="D82" t="str">
        <v>F6V-792</v>
      </c>
      <c r="E82" t="str">
        <v/>
      </c>
      <c r="F82" t="str">
        <v>867162026042390</v>
      </c>
      <c r="G82" t="str">
        <v>Minivan</v>
      </c>
      <c r="H82" t="str">
        <v/>
      </c>
      <c r="I82" t="str">
        <v>28/09/2026</v>
      </c>
      <c r="J82" t="str">
        <v>12:31:57</v>
      </c>
      <c r="K82">
        <v>-12.33585</v>
      </c>
      <c r="L82">
        <v>-76.81896</v>
      </c>
      <c r="M82">
        <f>HYPERLINK("https://www.google.com/maps/search/?api=1&amp;query=-12.33585,-76.81896","Antigua Panamericana Sur, Punta Hermosa, Lima")</f>
      </c>
      <c r="N82">
        <v>8.8</v>
      </c>
      <c r="O82">
        <v>100</v>
      </c>
      <c r="P82">
        <v>556123.9</v>
      </c>
      <c r="Q82" t="str">
        <v>1,417.08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F6V-792</v>
      </c>
      <c r="D83" t="str">
        <v>F6V-792</v>
      </c>
      <c r="E83" t="str">
        <v/>
      </c>
      <c r="F83" t="str">
        <v>867162026042390</v>
      </c>
      <c r="G83" t="str">
        <v>Minivan</v>
      </c>
      <c r="H83" t="str">
        <v/>
      </c>
      <c r="I83" t="str">
        <v>28/09/2026</v>
      </c>
      <c r="J83" t="str">
        <v>12:32:00</v>
      </c>
      <c r="K83">
        <v>-12.335819</v>
      </c>
      <c r="L83">
        <v>-76.81905</v>
      </c>
      <c r="M83">
        <f>HYPERLINK("https://www.google.com/maps/search/?api=1&amp;query=-12.335819,-76.81905","Antigua Panamericana Sur, Punta Hermosa, Lima")</f>
      </c>
      <c r="N83">
        <v>11.5</v>
      </c>
      <c r="O83">
        <v>100</v>
      </c>
      <c r="P83">
        <v>556123.9</v>
      </c>
      <c r="Q83" t="str">
        <v>1,417.08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F6V-792</v>
      </c>
      <c r="D84" t="str">
        <v>F6V-792</v>
      </c>
      <c r="E84" t="str">
        <v/>
      </c>
      <c r="F84" t="str">
        <v>867162026042390</v>
      </c>
      <c r="G84" t="str">
        <v>Minivan</v>
      </c>
      <c r="H84" t="str">
        <v/>
      </c>
      <c r="I84" t="str">
        <v>28/09/2026</v>
      </c>
      <c r="J84" t="str">
        <v>12:32:34</v>
      </c>
      <c r="K84">
        <v>-12.334964</v>
      </c>
      <c r="L84">
        <v>-76.819695</v>
      </c>
      <c r="M84">
        <f>HYPERLINK("https://www.google.com/maps/search/?api=1&amp;query=-12.334964,-76.819695","Antigua Panamericana Sur, Punta Hermosa, Lima")</f>
      </c>
      <c r="N84">
        <v>16.3</v>
      </c>
      <c r="O84">
        <v>100</v>
      </c>
      <c r="P84">
        <v>556124</v>
      </c>
      <c r="Q84" t="str">
        <v>1,417.08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F6V-792</v>
      </c>
      <c r="D85" t="str">
        <v>F6V-792</v>
      </c>
      <c r="E85" t="str">
        <v/>
      </c>
      <c r="F85" t="str">
        <v>867162026042390</v>
      </c>
      <c r="G85" t="str">
        <v>Minivan</v>
      </c>
      <c r="H85" t="str">
        <v/>
      </c>
      <c r="I85" t="str">
        <v>28/09/2026</v>
      </c>
      <c r="J85" t="str">
        <v>12:32:57</v>
      </c>
      <c r="K85">
        <v>-12.333704</v>
      </c>
      <c r="L85">
        <v>-76.82045</v>
      </c>
      <c r="M85">
        <f>HYPERLINK("https://www.google.com/maps/search/?api=1&amp;query=-12.333704,-76.82045","Antigua Panamericana Sur, Punta Hermosa, Lima")</f>
      </c>
      <c r="N85">
        <v>17.1</v>
      </c>
      <c r="O85">
        <v>100</v>
      </c>
      <c r="P85">
        <v>556124.19</v>
      </c>
      <c r="Q85" t="str">
        <v>1,417.08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F6V-792</v>
      </c>
      <c r="D86" t="str">
        <v>F6V-792</v>
      </c>
      <c r="E86" t="str">
        <v/>
      </c>
      <c r="F86" t="str">
        <v>867162026042390</v>
      </c>
      <c r="G86" t="str">
        <v>Minivan</v>
      </c>
      <c r="H86" t="str">
        <v/>
      </c>
      <c r="I86" t="str">
        <v>28/09/2026</v>
      </c>
      <c r="J86" t="str">
        <v>12:33:00</v>
      </c>
      <c r="K86">
        <v>-12.333698</v>
      </c>
      <c r="L86">
        <v>-76.82031</v>
      </c>
      <c r="M86">
        <f>HYPERLINK("https://www.google.com/maps/search/?api=1&amp;query=-12.333698,-76.82031","Antigua Panamericana Sur, Punta Hermosa, Lima")</f>
      </c>
      <c r="N86">
        <v>20.9</v>
      </c>
      <c r="O86">
        <v>100</v>
      </c>
      <c r="P86">
        <v>556124.19</v>
      </c>
      <c r="Q86" t="str">
        <v>1,417.08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F6V-792</v>
      </c>
      <c r="D87" t="str">
        <v>F6V-792</v>
      </c>
      <c r="E87" t="str">
        <v/>
      </c>
      <c r="F87" t="str">
        <v>867162026042390</v>
      </c>
      <c r="G87" t="str">
        <v>Minivan</v>
      </c>
      <c r="H87" t="str">
        <v/>
      </c>
      <c r="I87" t="str">
        <v>28/09/2026</v>
      </c>
      <c r="J87" t="str">
        <v>12:33:12</v>
      </c>
      <c r="K87">
        <v>-12.33349</v>
      </c>
      <c r="L87">
        <v>-76.81963</v>
      </c>
      <c r="M87">
        <f>HYPERLINK("https://www.google.com/maps/search/?api=1&amp;query=-12.33349,-76.81963","Carretera Panamericana Sur, Punta Hermosa, Lima")</f>
      </c>
      <c r="N87">
        <v>20.1</v>
      </c>
      <c r="O87">
        <v>100</v>
      </c>
      <c r="P87">
        <v>556124.19</v>
      </c>
      <c r="Q87" t="str">
        <v>1,417.08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F6V-792</v>
      </c>
      <c r="D88" t="str">
        <v>F6V-792</v>
      </c>
      <c r="E88" t="str">
        <v/>
      </c>
      <c r="F88" t="str">
        <v>867162026042390</v>
      </c>
      <c r="G88" t="str">
        <v>Minivan</v>
      </c>
      <c r="H88" t="str">
        <v/>
      </c>
      <c r="I88" t="str">
        <v>28/09/2026</v>
      </c>
      <c r="J88" t="str">
        <v>12:33:18</v>
      </c>
      <c r="K88">
        <v>-12.333229</v>
      </c>
      <c r="L88">
        <v>-76.81959</v>
      </c>
      <c r="M88">
        <f>HYPERLINK("https://www.google.com/maps/search/?api=1&amp;query=-12.333229,-76.81959","Punta Hermosa, Lima")</f>
      </c>
      <c r="N88">
        <v>21.2</v>
      </c>
      <c r="O88">
        <v>100</v>
      </c>
      <c r="P88">
        <v>556124.3</v>
      </c>
      <c r="Q88" t="str">
        <v>1,417.08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F6V-792</v>
      </c>
      <c r="D89" t="str">
        <v>F6V-792</v>
      </c>
      <c r="E89" t="str">
        <v/>
      </c>
      <c r="F89" t="str">
        <v>867162026042390</v>
      </c>
      <c r="G89" t="str">
        <v>Minivan</v>
      </c>
      <c r="H89" t="str">
        <v/>
      </c>
      <c r="I89" t="str">
        <v>28/09/2026</v>
      </c>
      <c r="J89" t="str">
        <v>12:33:34</v>
      </c>
      <c r="K89">
        <v>-12.332634</v>
      </c>
      <c r="L89">
        <v>-76.82008</v>
      </c>
      <c r="M89">
        <f>HYPERLINK("https://www.google.com/maps/search/?api=1&amp;query=-12.332634,-76.82008","Carretera Panamericana Sur, Punta Hermosa, Lima")</f>
      </c>
      <c r="N89">
        <v>26.7</v>
      </c>
      <c r="O89">
        <v>100</v>
      </c>
      <c r="P89">
        <v>556124.4</v>
      </c>
      <c r="Q89" t="str">
        <v>1,417.08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F6V-792</v>
      </c>
      <c r="D90" t="str">
        <v>F6V-792</v>
      </c>
      <c r="E90" t="str">
        <v/>
      </c>
      <c r="F90" t="str">
        <v>867162026042390</v>
      </c>
      <c r="G90" t="str">
        <v>Minivan</v>
      </c>
      <c r="H90" t="str">
        <v/>
      </c>
      <c r="I90" t="str">
        <v>28/09/2026</v>
      </c>
      <c r="J90" t="str">
        <v>12:34:34</v>
      </c>
      <c r="K90">
        <v>-12.325428</v>
      </c>
      <c r="L90">
        <v>-76.82517</v>
      </c>
      <c r="M90">
        <f>HYPERLINK("https://www.google.com/maps/search/?api=1&amp;query=-12.325428,-76.82517","Carretera Panamericana Sur, Punta Hermosa, Lima")</f>
      </c>
      <c r="N90">
        <v>74.5</v>
      </c>
      <c r="O90">
        <v>100</v>
      </c>
      <c r="P90">
        <v>556125.4</v>
      </c>
      <c r="Q90" t="str">
        <v>1,417.08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F6V-792</v>
      </c>
      <c r="D91" t="str">
        <v>F6V-792</v>
      </c>
      <c r="E91" t="str">
        <v/>
      </c>
      <c r="F91" t="str">
        <v>867162026042390</v>
      </c>
      <c r="G91" t="str">
        <v>Minivan</v>
      </c>
      <c r="H91" t="str">
        <v/>
      </c>
      <c r="I91" t="str">
        <v>28/09/2026</v>
      </c>
      <c r="J91" t="str">
        <v>12:35:24</v>
      </c>
      <c r="K91">
        <v>-12.317972</v>
      </c>
      <c r="L91">
        <v>-76.82982</v>
      </c>
      <c r="M91">
        <f>HYPERLINK("https://www.google.com/maps/search/?api=1&amp;query=-12.317972,-76.82982","Carretera Panamericana Sur, Punta Hermosa, Lima")</f>
      </c>
      <c r="N91">
        <v>20.2</v>
      </c>
      <c r="O91">
        <v>100</v>
      </c>
      <c r="P91">
        <v>556126.3</v>
      </c>
      <c r="Q91" t="str">
        <v>1,417.08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F6V-792</v>
      </c>
      <c r="D92" t="str">
        <v>F6V-792</v>
      </c>
      <c r="E92" t="str">
        <v/>
      </c>
      <c r="F92" t="str">
        <v>867162026042390</v>
      </c>
      <c r="G92" t="str">
        <v>Minivan</v>
      </c>
      <c r="H92" t="str">
        <v/>
      </c>
      <c r="I92" t="str">
        <v>28/09/2026</v>
      </c>
      <c r="J92" t="str">
        <v>12:35:34</v>
      </c>
      <c r="K92">
        <v>-12.317714</v>
      </c>
      <c r="L92">
        <v>-76.82974</v>
      </c>
      <c r="M92">
        <f>HYPERLINK("https://www.google.com/maps/search/?api=1&amp;query=-12.317714,-76.82974","Punta Hermosa, Lima")</f>
      </c>
      <c r="N92">
        <v>13.7</v>
      </c>
      <c r="O92">
        <v>100</v>
      </c>
      <c r="P92">
        <v>556126.4</v>
      </c>
      <c r="Q92" t="str">
        <v>1,417.08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F6V-792</v>
      </c>
      <c r="D93" t="str">
        <v>F6V-792</v>
      </c>
      <c r="E93" t="str">
        <v/>
      </c>
      <c r="F93" t="str">
        <v>867162026042390</v>
      </c>
      <c r="G93" t="str">
        <v>Minivan</v>
      </c>
      <c r="H93" t="str">
        <v/>
      </c>
      <c r="I93" t="str">
        <v>28/09/2026</v>
      </c>
      <c r="J93" t="str">
        <v>12:35:36</v>
      </c>
      <c r="K93">
        <v>-12.317585</v>
      </c>
      <c r="L93">
        <v>-76.82963</v>
      </c>
      <c r="M93">
        <f>HYPERLINK("https://www.google.com/maps/search/?api=1&amp;query=-12.317585,-76.82963","Punta Hermosa, Lima")</f>
      </c>
      <c r="N93">
        <v>13.5</v>
      </c>
      <c r="O93">
        <v>100</v>
      </c>
      <c r="P93">
        <v>556126.4</v>
      </c>
      <c r="Q93" t="str">
        <v>1,417.08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F6V-792</v>
      </c>
      <c r="D94" t="str">
        <v>F6V-792</v>
      </c>
      <c r="E94" t="str">
        <v/>
      </c>
      <c r="F94" t="str">
        <v>867162026042390</v>
      </c>
      <c r="G94" t="str">
        <v>Minivan</v>
      </c>
      <c r="H94" t="str">
        <v/>
      </c>
      <c r="I94" t="str">
        <v>28/09/2026</v>
      </c>
      <c r="J94" t="str">
        <v>12:35:36</v>
      </c>
      <c r="K94">
        <v>-12.317585</v>
      </c>
      <c r="L94">
        <v>-76.82963</v>
      </c>
      <c r="M94">
        <f>HYPERLINK("https://www.google.com/maps/search/?api=1&amp;query=-12.317585,-76.82963","Punta Hermosa, Lima")</f>
      </c>
      <c r="N94">
        <v>13.5</v>
      </c>
      <c r="O94">
        <v>100</v>
      </c>
      <c r="P94">
        <v>556125.4</v>
      </c>
      <c r="Q94" t="str">
        <v>1,417.08</v>
      </c>
      <c r="R94" t="str">
        <v>Llegó a la zona</v>
      </c>
      <c r="S94" t="str">
        <v>MASS BSF 1</v>
      </c>
      <c r="T94" t="str">
        <v xml:space="preserve"> </v>
      </c>
      <c r="U94" t="str">
        <v/>
      </c>
    </row>
    <row r="95">
      <c r="A95" t="str">
        <v>94</v>
      </c>
      <c r="B95" t="str">
        <v>MASS BSF</v>
      </c>
      <c r="C95" t="str">
        <v>F6V-792</v>
      </c>
      <c r="D95" t="str">
        <v>F6V-792</v>
      </c>
      <c r="E95" t="str">
        <v/>
      </c>
      <c r="F95" t="str">
        <v>867162026042390</v>
      </c>
      <c r="G95" t="str">
        <v>Minivan</v>
      </c>
      <c r="H95" t="str">
        <v/>
      </c>
      <c r="I95" t="str">
        <v>28/09/2026</v>
      </c>
      <c r="J95" t="str">
        <v>12:36:34</v>
      </c>
      <c r="K95">
        <v>-12.316744</v>
      </c>
      <c r="L95">
        <v>-76.82818</v>
      </c>
      <c r="M95">
        <f>HYPERLINK("https://www.google.com/maps/search/?api=1&amp;query=-12.316744,-76.82818","Punta Hermosa, Lima")</f>
      </c>
      <c r="N95">
        <v>14.9</v>
      </c>
      <c r="O95">
        <v>100</v>
      </c>
      <c r="P95">
        <v>556126.6</v>
      </c>
      <c r="Q95" t="str">
        <v>1,417.08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F6V-792</v>
      </c>
      <c r="D96" t="str">
        <v>F6V-792</v>
      </c>
      <c r="E96" t="str">
        <v/>
      </c>
      <c r="F96" t="str">
        <v>867162026042390</v>
      </c>
      <c r="G96" t="str">
        <v>Minivan</v>
      </c>
      <c r="H96" t="str">
        <v/>
      </c>
      <c r="I96" t="str">
        <v>28/09/2026</v>
      </c>
      <c r="J96" t="str">
        <v>12:37:34</v>
      </c>
      <c r="K96">
        <v>-12.315524</v>
      </c>
      <c r="L96">
        <v>-76.8263</v>
      </c>
      <c r="M96">
        <f>HYPERLINK("https://www.google.com/maps/search/?api=1&amp;query=-12.315524,-76.8263","Punta Hermosa, Lima")</f>
      </c>
      <c r="N96">
        <v>14.1</v>
      </c>
      <c r="O96">
        <v>100</v>
      </c>
      <c r="P96">
        <v>556126.8</v>
      </c>
      <c r="Q96" t="str">
        <v>1,417.08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F6V-792</v>
      </c>
      <c r="D97" t="str">
        <v>F6V-792</v>
      </c>
      <c r="E97" t="str">
        <v/>
      </c>
      <c r="F97" t="str">
        <v>867162026042390</v>
      </c>
      <c r="G97" t="str">
        <v>Minivan</v>
      </c>
      <c r="H97" t="str">
        <v/>
      </c>
      <c r="I97" t="str">
        <v>28/09/2026</v>
      </c>
      <c r="J97" t="str">
        <v>12:37:42</v>
      </c>
      <c r="K97">
        <v>-12.315365</v>
      </c>
      <c r="L97">
        <v>-76.82592</v>
      </c>
      <c r="M97">
        <f>HYPERLINK("https://www.google.com/maps/search/?api=1&amp;query=-12.315365,-76.82592","Punta Hermosa, Lima")</f>
      </c>
      <c r="N97">
        <v>12.5</v>
      </c>
      <c r="O97">
        <v>100</v>
      </c>
      <c r="P97">
        <v>556126.8</v>
      </c>
      <c r="Q97" t="str">
        <v>1,417.08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F6V-792</v>
      </c>
      <c r="D98" t="str">
        <v>F6V-792</v>
      </c>
      <c r="E98" t="str">
        <v/>
      </c>
      <c r="F98" t="str">
        <v>867162026042390</v>
      </c>
      <c r="G98" t="str">
        <v>Minivan</v>
      </c>
      <c r="H98" t="str">
        <v/>
      </c>
      <c r="I98" t="str">
        <v>28/09/2026</v>
      </c>
      <c r="J98" t="str">
        <v>12:37:48</v>
      </c>
      <c r="K98">
        <v>-12.315554</v>
      </c>
      <c r="L98">
        <v>-76.8258</v>
      </c>
      <c r="M98">
        <f>HYPERLINK("https://www.google.com/maps/search/?api=1&amp;query=-12.315554,-76.8258","Punta Hermosa, Lima")</f>
      </c>
      <c r="N98">
        <v>16.9</v>
      </c>
      <c r="O98">
        <v>100</v>
      </c>
      <c r="P98">
        <v>556126.9</v>
      </c>
      <c r="Q98" t="str">
        <v>1,417.08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F6V-792</v>
      </c>
      <c r="D99" t="str">
        <v>F6V-792</v>
      </c>
      <c r="E99" t="str">
        <v/>
      </c>
      <c r="F99" t="str">
        <v>867162026042390</v>
      </c>
      <c r="G99" t="str">
        <v>Minivan</v>
      </c>
      <c r="H99" t="str">
        <v/>
      </c>
      <c r="I99" t="str">
        <v>28/09/2026</v>
      </c>
      <c r="J99" t="str">
        <v>12:38:34</v>
      </c>
      <c r="K99">
        <v>-12.317063</v>
      </c>
      <c r="L99">
        <v>-76.82487</v>
      </c>
      <c r="M99">
        <f>HYPERLINK("https://www.google.com/maps/search/?api=1&amp;query=-12.317063,-76.82487","Punta Hermosa, Lima")</f>
      </c>
      <c r="N99">
        <v>18.8</v>
      </c>
      <c r="O99">
        <v>100</v>
      </c>
      <c r="P99">
        <v>556127.1</v>
      </c>
      <c r="Q99" t="str">
        <v>1,417.08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F6V-792</v>
      </c>
      <c r="D100" t="str">
        <v>F6V-792</v>
      </c>
      <c r="E100" t="str">
        <v/>
      </c>
      <c r="F100" t="str">
        <v>867162026042390</v>
      </c>
      <c r="G100" t="str">
        <v>Minivan</v>
      </c>
      <c r="H100" t="str">
        <v/>
      </c>
      <c r="I100" t="str">
        <v>28/09/2026</v>
      </c>
      <c r="J100" t="str">
        <v>12:39:35</v>
      </c>
      <c r="K100">
        <v>-12.317844</v>
      </c>
      <c r="L100">
        <v>-76.824265</v>
      </c>
      <c r="M100">
        <f>HYPERLINK("https://www.google.com/maps/search/?api=1&amp;query=-12.317844,-76.824265","Punta Hermosa, Lima")</f>
      </c>
      <c r="N100">
        <v>0</v>
      </c>
      <c r="O100">
        <v>100</v>
      </c>
      <c r="P100">
        <v>556127.19</v>
      </c>
      <c r="Q100" t="str">
        <v>1,417.08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F6V-792</v>
      </c>
      <c r="D101" t="str">
        <v>F6V-792</v>
      </c>
      <c r="E101" t="str">
        <v/>
      </c>
      <c r="F101" t="str">
        <v>867162026042390</v>
      </c>
      <c r="G101" t="str">
        <v>Minivan</v>
      </c>
      <c r="H101" t="str">
        <v/>
      </c>
      <c r="I101" t="str">
        <v>28/09/2026</v>
      </c>
      <c r="J101" t="str">
        <v>12:40:35</v>
      </c>
      <c r="K101">
        <v>-12.317844</v>
      </c>
      <c r="L101">
        <v>-76.824265</v>
      </c>
      <c r="M101">
        <f>HYPERLINK("https://www.google.com/maps/search/?api=1&amp;query=-12.317844,-76.824265","Punta Hermosa, Lima")</f>
      </c>
      <c r="N101">
        <v>0</v>
      </c>
      <c r="O101">
        <v>100</v>
      </c>
      <c r="P101">
        <v>556127.19</v>
      </c>
      <c r="Q101" t="str">
        <v>1,417.08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F6V-792</v>
      </c>
      <c r="D102" t="str">
        <v>F6V-792</v>
      </c>
      <c r="E102" t="str">
        <v/>
      </c>
      <c r="F102" t="str">
        <v>867162026042390</v>
      </c>
      <c r="G102" t="str">
        <v>Minivan</v>
      </c>
      <c r="H102" t="str">
        <v/>
      </c>
      <c r="I102" t="str">
        <v>28/09/2026</v>
      </c>
      <c r="J102" t="str">
        <v>12:41:27</v>
      </c>
      <c r="K102">
        <v>-12.31843</v>
      </c>
      <c r="L102">
        <v>-76.82386</v>
      </c>
      <c r="M102">
        <f>HYPERLINK("https://www.google.com/maps/search/?api=1&amp;query=-12.31843,-76.82386","Punta Hermosa, Lima")</f>
      </c>
      <c r="N102">
        <v>11.5</v>
      </c>
      <c r="O102">
        <v>100</v>
      </c>
      <c r="P102">
        <v>556127.19</v>
      </c>
      <c r="Q102" t="str">
        <v>1,417.08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F6V-792</v>
      </c>
      <c r="D103" t="str">
        <v>F6V-792</v>
      </c>
      <c r="E103" t="str">
        <v/>
      </c>
      <c r="F103" t="str">
        <v>867162026042390</v>
      </c>
      <c r="G103" t="str">
        <v>Minivan</v>
      </c>
      <c r="H103" t="str">
        <v/>
      </c>
      <c r="I103" t="str">
        <v>28/09/2026</v>
      </c>
      <c r="J103" t="str">
        <v>12:41:33</v>
      </c>
      <c r="K103">
        <v>-12.318444</v>
      </c>
      <c r="L103">
        <v>-76.823746</v>
      </c>
      <c r="M103">
        <f>HYPERLINK("https://www.google.com/maps/search/?api=1&amp;query=-12.318444,-76.823746","Punta Hermosa, Lima")</f>
      </c>
      <c r="N103">
        <v>15</v>
      </c>
      <c r="O103">
        <v>100</v>
      </c>
      <c r="P103">
        <v>556127.3</v>
      </c>
      <c r="Q103" t="str">
        <v>1,417.08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F6V-792</v>
      </c>
      <c r="D104" t="str">
        <v>F6V-792</v>
      </c>
      <c r="E104" t="str">
        <v/>
      </c>
      <c r="F104" t="str">
        <v>867162026042390</v>
      </c>
      <c r="G104" t="str">
        <v>Minivan</v>
      </c>
      <c r="H104" t="str">
        <v/>
      </c>
      <c r="I104" t="str">
        <v>28/09/2026</v>
      </c>
      <c r="J104" t="str">
        <v>12:41:33</v>
      </c>
      <c r="K104">
        <v>-12.3184</v>
      </c>
      <c r="L104">
        <v>-76.82363</v>
      </c>
      <c r="M104">
        <f>HYPERLINK("https://www.google.com/maps/search/?api=1&amp;query=-12.3184,-76.82363","Punta Hermosa, Lima")</f>
      </c>
      <c r="N104">
        <v>15.2</v>
      </c>
      <c r="O104">
        <v>100</v>
      </c>
      <c r="P104">
        <v>556127.3</v>
      </c>
      <c r="Q104" t="str">
        <v>1,417.08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F6V-792</v>
      </c>
      <c r="D105" t="str">
        <v>F6V-792</v>
      </c>
      <c r="E105" t="str">
        <v/>
      </c>
      <c r="F105" t="str">
        <v>867162026042390</v>
      </c>
      <c r="G105" t="str">
        <v>Minivan</v>
      </c>
      <c r="H105" t="str">
        <v/>
      </c>
      <c r="I105" t="str">
        <v>28/09/2026</v>
      </c>
      <c r="J105" t="str">
        <v>12:42:06</v>
      </c>
      <c r="K105">
        <v>-12.317965</v>
      </c>
      <c r="L105">
        <v>-76.82295</v>
      </c>
      <c r="M105">
        <f>HYPERLINK("https://www.google.com/maps/search/?api=1&amp;query=-12.317965,-76.82295","Punta Hermosa, Lima")</f>
      </c>
      <c r="N105">
        <v>7.6</v>
      </c>
      <c r="O105">
        <v>100</v>
      </c>
      <c r="P105">
        <v>556127.4</v>
      </c>
      <c r="Q105" t="str">
        <v>1,417.08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F6V-792</v>
      </c>
      <c r="D106" t="str">
        <v>F6V-792</v>
      </c>
      <c r="E106" t="str">
        <v/>
      </c>
      <c r="F106" t="str">
        <v>867162026042390</v>
      </c>
      <c r="G106" t="str">
        <v>Minivan</v>
      </c>
      <c r="H106" t="str">
        <v/>
      </c>
      <c r="I106" t="str">
        <v>28/09/2026</v>
      </c>
      <c r="J106" t="str">
        <v>12:42:27</v>
      </c>
      <c r="K106">
        <v>-12.317526</v>
      </c>
      <c r="L106">
        <v>-76.82287</v>
      </c>
      <c r="M106">
        <f>HYPERLINK("https://www.google.com/maps/search/?api=1&amp;query=-12.317526,-76.82287","Punta Hermosa, Lima")</f>
      </c>
      <c r="N106">
        <v>5.6</v>
      </c>
      <c r="O106">
        <v>100</v>
      </c>
      <c r="P106">
        <v>556127.4</v>
      </c>
      <c r="Q106" t="str">
        <v>1,417.08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F6V-792</v>
      </c>
      <c r="D107" t="str">
        <v>F6V-792</v>
      </c>
      <c r="E107" t="str">
        <v/>
      </c>
      <c r="F107" t="str">
        <v>867162026042390</v>
      </c>
      <c r="G107" t="str">
        <v>Minivan</v>
      </c>
      <c r="H107" t="str">
        <v/>
      </c>
      <c r="I107" t="str">
        <v>28/09/2026</v>
      </c>
      <c r="J107" t="str">
        <v>12:42:30</v>
      </c>
      <c r="K107">
        <v>-12.317965</v>
      </c>
      <c r="L107">
        <v>-76.82295</v>
      </c>
      <c r="M107">
        <f>HYPERLINK("https://www.google.com/maps/search/?api=1&amp;query=-12.317965,-76.82295","Punta Hermosa, Lima")</f>
      </c>
      <c r="N107">
        <v>7.6</v>
      </c>
      <c r="O107">
        <v>100</v>
      </c>
      <c r="P107">
        <v>556127.4</v>
      </c>
      <c r="Q107" t="str">
        <v>1,417.08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F6V-792</v>
      </c>
      <c r="D108" t="str">
        <v>F6V-792</v>
      </c>
      <c r="E108" t="str">
        <v/>
      </c>
      <c r="F108" t="str">
        <v>867162026042390</v>
      </c>
      <c r="G108" t="str">
        <v>Minivan</v>
      </c>
      <c r="H108" t="str">
        <v/>
      </c>
      <c r="I108" t="str">
        <v>28/09/2026</v>
      </c>
      <c r="J108" t="str">
        <v>12:43:30</v>
      </c>
      <c r="K108">
        <v>-12.317498</v>
      </c>
      <c r="L108">
        <v>-76.82289</v>
      </c>
      <c r="M108">
        <f>HYPERLINK("https://www.google.com/maps/search/?api=1&amp;query=-12.317498,-76.82289","Punta Hermosa, Lima")</f>
      </c>
      <c r="N108">
        <v>0.3</v>
      </c>
      <c r="O108">
        <v>100</v>
      </c>
      <c r="P108">
        <v>556127.4</v>
      </c>
      <c r="Q108" t="str">
        <v>1,417.08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F6V-792</v>
      </c>
      <c r="D109" t="str">
        <v>F6V-792</v>
      </c>
      <c r="E109" t="str">
        <v/>
      </c>
      <c r="F109" t="str">
        <v>867162026042390</v>
      </c>
      <c r="G109" t="str">
        <v>Minivan</v>
      </c>
      <c r="H109" t="str">
        <v/>
      </c>
      <c r="I109" t="str">
        <v>28/09/2026</v>
      </c>
      <c r="J109" t="str">
        <v>12:44:24</v>
      </c>
      <c r="K109">
        <v>-12.317498</v>
      </c>
      <c r="L109">
        <v>-76.82289</v>
      </c>
      <c r="M109">
        <f>HYPERLINK("https://www.google.com/maps/search/?api=1&amp;query=-12.317498,-76.82289","Punta Hermosa, Lima")</f>
      </c>
      <c r="N109">
        <v>0</v>
      </c>
      <c r="O109">
        <v>100</v>
      </c>
      <c r="P109">
        <v>556127.4</v>
      </c>
      <c r="Q109" t="str">
        <v>1,417.08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F6V-792</v>
      </c>
      <c r="D110" t="str">
        <v>F6V-792</v>
      </c>
      <c r="E110" t="str">
        <v/>
      </c>
      <c r="F110" t="str">
        <v>867162026042390</v>
      </c>
      <c r="G110" t="str">
        <v>Minivan</v>
      </c>
      <c r="H110" t="str">
        <v/>
      </c>
      <c r="I110" t="str">
        <v>28/09/2026</v>
      </c>
      <c r="J110" t="str">
        <v>12:44:24</v>
      </c>
      <c r="K110">
        <v>-12.317072</v>
      </c>
      <c r="L110">
        <v>-76.822945</v>
      </c>
      <c r="M110">
        <f>HYPERLINK("https://www.google.com/maps/search/?api=1&amp;query=-12.317072,-76.822945","Punta Hermosa, Lima")</f>
      </c>
      <c r="N110">
        <v>7.3</v>
      </c>
      <c r="O110">
        <v>100</v>
      </c>
      <c r="P110">
        <v>556127.4</v>
      </c>
      <c r="Q110" t="str">
        <v>1,417.08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F6V-792</v>
      </c>
      <c r="D111" t="str">
        <v>F6V-792</v>
      </c>
      <c r="E111" t="str">
        <v/>
      </c>
      <c r="F111" t="str">
        <v>867162026042390</v>
      </c>
      <c r="G111" t="str">
        <v>Minivan</v>
      </c>
      <c r="H111" t="str">
        <v/>
      </c>
      <c r="I111" t="str">
        <v>28/09/2026</v>
      </c>
      <c r="J111" t="str">
        <v>12:44:30</v>
      </c>
      <c r="K111">
        <v>-12.317104</v>
      </c>
      <c r="L111">
        <v>-76.82305</v>
      </c>
      <c r="M111">
        <f>HYPERLINK("https://www.google.com/maps/search/?api=1&amp;query=-12.317104,-76.82305","Punta Hermosa, Lima")</f>
      </c>
      <c r="N111">
        <v>5.7</v>
      </c>
      <c r="O111">
        <v>100</v>
      </c>
      <c r="P111">
        <v>556127.5</v>
      </c>
      <c r="Q111" t="str">
        <v>1,417.08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F6V-792</v>
      </c>
      <c r="D112" t="str">
        <v>F6V-792</v>
      </c>
      <c r="E112" t="str">
        <v/>
      </c>
      <c r="F112" t="str">
        <v>867162026042390</v>
      </c>
      <c r="G112" t="str">
        <v>Minivan</v>
      </c>
      <c r="H112" t="str">
        <v/>
      </c>
      <c r="I112" t="str">
        <v>28/09/2026</v>
      </c>
      <c r="J112" t="str">
        <v>12:44:36</v>
      </c>
      <c r="K112">
        <v>-12.317152</v>
      </c>
      <c r="L112">
        <v>-76.82306</v>
      </c>
      <c r="M112">
        <f>HYPERLINK("https://www.google.com/maps/search/?api=1&amp;query=-12.317152,-76.82306","Punta Hermosa, Lima")</f>
      </c>
      <c r="N112">
        <v>9.1</v>
      </c>
      <c r="O112">
        <v>100</v>
      </c>
      <c r="P112">
        <v>556127.5</v>
      </c>
      <c r="Q112" t="str">
        <v>1,417.08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F6V-792</v>
      </c>
      <c r="D113" t="str">
        <v>F6V-792</v>
      </c>
      <c r="E113" t="str">
        <v/>
      </c>
      <c r="F113" t="str">
        <v>867162026042390</v>
      </c>
      <c r="G113" t="str">
        <v>Minivan</v>
      </c>
      <c r="H113" t="str">
        <v/>
      </c>
      <c r="I113" t="str">
        <v>28/09/2026</v>
      </c>
      <c r="J113" t="str">
        <v>12:44:36</v>
      </c>
      <c r="K113">
        <v>-12.317219</v>
      </c>
      <c r="L113">
        <v>-76.823044</v>
      </c>
      <c r="M113">
        <f>HYPERLINK("https://www.google.com/maps/search/?api=1&amp;query=-12.317219,-76.823044","Punta Hermosa, Lima")</f>
      </c>
      <c r="N113">
        <v>8.2</v>
      </c>
      <c r="O113">
        <v>100</v>
      </c>
      <c r="P113">
        <v>556127.5</v>
      </c>
      <c r="Q113" t="str">
        <v>1,417.08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F6V-792</v>
      </c>
      <c r="D114" t="str">
        <v>F6V-792</v>
      </c>
      <c r="E114" t="str">
        <v/>
      </c>
      <c r="F114" t="str">
        <v>867162026042390</v>
      </c>
      <c r="G114" t="str">
        <v>Minivan</v>
      </c>
      <c r="H114" t="str">
        <v/>
      </c>
      <c r="I114" t="str">
        <v>28/09/2026</v>
      </c>
      <c r="J114" t="str">
        <v>12:45:35</v>
      </c>
      <c r="K114">
        <v>-12.317304</v>
      </c>
      <c r="L114">
        <v>-76.82299</v>
      </c>
      <c r="M114">
        <f>HYPERLINK("https://www.google.com/maps/search/?api=1&amp;query=-12.317304,-76.82299","Punta Hermosa, Lima")</f>
      </c>
      <c r="N114">
        <v>0</v>
      </c>
      <c r="O114">
        <v>100</v>
      </c>
      <c r="P114">
        <v>556127.5</v>
      </c>
      <c r="Q114" t="str">
        <v>1,417.08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F6V-792</v>
      </c>
      <c r="D115" t="str">
        <v>F6V-792</v>
      </c>
      <c r="E115" t="str">
        <v/>
      </c>
      <c r="F115" t="str">
        <v>867162026042390</v>
      </c>
      <c r="G115" t="str">
        <v>Minivan</v>
      </c>
      <c r="H115" t="str">
        <v/>
      </c>
      <c r="I115" t="str">
        <v>28/09/2026</v>
      </c>
      <c r="J115" t="str">
        <v>12:46:35</v>
      </c>
      <c r="K115">
        <v>-12.317304</v>
      </c>
      <c r="L115">
        <v>-76.82299</v>
      </c>
      <c r="M115">
        <f>HYPERLINK("https://www.google.com/maps/search/?api=1&amp;query=-12.317304,-76.82299","Punta Hermosa, Lima")</f>
      </c>
      <c r="N115">
        <v>0</v>
      </c>
      <c r="O115">
        <v>100</v>
      </c>
      <c r="P115">
        <v>556127.5</v>
      </c>
      <c r="Q115" t="str">
        <v>1,417.08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F6V-792</v>
      </c>
      <c r="D116" t="str">
        <v>F6V-792</v>
      </c>
      <c r="E116" t="str">
        <v/>
      </c>
      <c r="F116" t="str">
        <v>867162026042390</v>
      </c>
      <c r="G116" t="str">
        <v>Minivan</v>
      </c>
      <c r="H116" t="str">
        <v/>
      </c>
      <c r="I116" t="str">
        <v>28/09/2026</v>
      </c>
      <c r="J116" t="str">
        <v>12:47:35</v>
      </c>
      <c r="K116">
        <v>-12.317304</v>
      </c>
      <c r="L116">
        <v>-76.82299</v>
      </c>
      <c r="M116">
        <f>HYPERLINK("https://www.google.com/maps/search/?api=1&amp;query=-12.317304,-76.82299","Punta Hermosa, Lima")</f>
      </c>
      <c r="N116">
        <v>0</v>
      </c>
      <c r="O116">
        <v>100</v>
      </c>
      <c r="P116">
        <v>556127.5</v>
      </c>
      <c r="Q116" t="str">
        <v>1,417.08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F6V-792</v>
      </c>
      <c r="D117" t="str">
        <v>F6V-792</v>
      </c>
      <c r="E117" t="str">
        <v/>
      </c>
      <c r="F117" t="str">
        <v>867162026042390</v>
      </c>
      <c r="G117" t="str">
        <v>Minivan</v>
      </c>
      <c r="H117" t="str">
        <v/>
      </c>
      <c r="I117" t="str">
        <v>28/09/2026</v>
      </c>
      <c r="J117" t="str">
        <v>12:48:35</v>
      </c>
      <c r="K117">
        <v>-12.317304</v>
      </c>
      <c r="L117">
        <v>-76.82299</v>
      </c>
      <c r="M117">
        <f>HYPERLINK("https://www.google.com/maps/search/?api=1&amp;query=-12.317304,-76.82299","Punta Hermosa, Lima")</f>
      </c>
      <c r="N117">
        <v>0</v>
      </c>
      <c r="O117">
        <v>100</v>
      </c>
      <c r="P117">
        <v>556127.5</v>
      </c>
      <c r="Q117" t="str">
        <v>1,417.08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F6V-792</v>
      </c>
      <c r="D118" t="str">
        <v>F6V-792</v>
      </c>
      <c r="E118" t="str">
        <v/>
      </c>
      <c r="F118" t="str">
        <v>867162026042390</v>
      </c>
      <c r="G118" t="str">
        <v>Minivan</v>
      </c>
      <c r="H118" t="str">
        <v/>
      </c>
      <c r="I118" t="str">
        <v>28/09/2026</v>
      </c>
      <c r="J118" t="str">
        <v>12:49:35</v>
      </c>
      <c r="K118">
        <v>-12.317304</v>
      </c>
      <c r="L118">
        <v>-76.82299</v>
      </c>
      <c r="M118">
        <f>HYPERLINK("https://www.google.com/maps/search/?api=1&amp;query=-12.317304,-76.82299","Punta Hermosa, Lima")</f>
      </c>
      <c r="N118">
        <v>0</v>
      </c>
      <c r="O118">
        <v>100</v>
      </c>
      <c r="P118">
        <v>556127.5</v>
      </c>
      <c r="Q118" t="str">
        <v>1,417.08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F6V-792</v>
      </c>
      <c r="D119" t="str">
        <v>F6V-792</v>
      </c>
      <c r="E119" t="str">
        <v/>
      </c>
      <c r="F119" t="str">
        <v>867162026042390</v>
      </c>
      <c r="G119" t="str">
        <v>Minivan</v>
      </c>
      <c r="H119" t="str">
        <v/>
      </c>
      <c r="I119" t="str">
        <v>28/09/2026</v>
      </c>
      <c r="J119" t="str">
        <v>12:49:42</v>
      </c>
      <c r="K119">
        <v>-12.317323</v>
      </c>
      <c r="L119">
        <v>-76.822975</v>
      </c>
      <c r="M119">
        <f>HYPERLINK("https://www.google.com/maps/search/?api=1&amp;query=-12.317323,-76.822975","Punta Hermosa, Lima")</f>
      </c>
      <c r="N119">
        <v>4.7</v>
      </c>
      <c r="O119">
        <v>100</v>
      </c>
      <c r="P119">
        <v>556127.5</v>
      </c>
      <c r="Q119" t="str">
        <v>1,417.08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F6V-792</v>
      </c>
      <c r="D120" t="str">
        <v>F6V-792</v>
      </c>
      <c r="E120" t="str">
        <v/>
      </c>
      <c r="F120" t="str">
        <v>867162026042390</v>
      </c>
      <c r="G120" t="str">
        <v>Minivan</v>
      </c>
      <c r="H120" t="str">
        <v/>
      </c>
      <c r="I120" t="str">
        <v>28/09/2026</v>
      </c>
      <c r="J120" t="str">
        <v>12:49:45</v>
      </c>
      <c r="K120">
        <v>-12.317351</v>
      </c>
      <c r="L120">
        <v>-76.8229</v>
      </c>
      <c r="M120">
        <f>HYPERLINK("https://www.google.com/maps/search/?api=1&amp;query=-12.317351,-76.8229","Punta Hermosa, Lima")</f>
      </c>
      <c r="N120">
        <v>4.3</v>
      </c>
      <c r="O120">
        <v>100</v>
      </c>
      <c r="P120">
        <v>556127.5</v>
      </c>
      <c r="Q120" t="str">
        <v>1,417.08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F6V-792</v>
      </c>
      <c r="D121" t="str">
        <v>F6V-792</v>
      </c>
      <c r="E121" t="str">
        <v/>
      </c>
      <c r="F121" t="str">
        <v>867162026042390</v>
      </c>
      <c r="G121" t="str">
        <v>Minivan</v>
      </c>
      <c r="H121" t="str">
        <v/>
      </c>
      <c r="I121" t="str">
        <v>28/09/2026</v>
      </c>
      <c r="J121" t="str">
        <v>12:50:35</v>
      </c>
      <c r="K121">
        <v>-12.317399</v>
      </c>
      <c r="L121">
        <v>-76.82288</v>
      </c>
      <c r="M121">
        <f>HYPERLINK("https://www.google.com/maps/search/?api=1&amp;query=-12.317399,-76.82288","Punta Hermosa, Lima")</f>
      </c>
      <c r="N121">
        <v>0</v>
      </c>
      <c r="O121">
        <v>100</v>
      </c>
      <c r="P121">
        <v>556127.5</v>
      </c>
      <c r="Q121" t="str">
        <v>1,417.08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F6V-792</v>
      </c>
      <c r="D122" t="str">
        <v>F6V-792</v>
      </c>
      <c r="E122" t="str">
        <v/>
      </c>
      <c r="F122" t="str">
        <v>867162026042390</v>
      </c>
      <c r="G122" t="str">
        <v>Minivan</v>
      </c>
      <c r="H122" t="str">
        <v/>
      </c>
      <c r="I122" t="str">
        <v>28/09/2026</v>
      </c>
      <c r="J122" t="str">
        <v>12:51:35</v>
      </c>
      <c r="K122">
        <v>-12.317399</v>
      </c>
      <c r="L122">
        <v>-76.82288</v>
      </c>
      <c r="M122">
        <f>HYPERLINK("https://www.google.com/maps/search/?api=1&amp;query=-12.317399,-76.82288","Punta Hermosa, Lima")</f>
      </c>
      <c r="N122">
        <v>0</v>
      </c>
      <c r="O122">
        <v>100</v>
      </c>
      <c r="P122">
        <v>556127.5</v>
      </c>
      <c r="Q122" t="str">
        <v>1,417.08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F6V-792</v>
      </c>
      <c r="D123" t="str">
        <v>F6V-792</v>
      </c>
      <c r="E123" t="str">
        <v/>
      </c>
      <c r="F123" t="str">
        <v>867162026042390</v>
      </c>
      <c r="G123" t="str">
        <v>Minivan</v>
      </c>
      <c r="H123" t="str">
        <v/>
      </c>
      <c r="I123" t="str">
        <v>28/09/2026</v>
      </c>
      <c r="J123" t="str">
        <v>12:52:35</v>
      </c>
      <c r="K123">
        <v>-12.317399</v>
      </c>
      <c r="L123">
        <v>-76.82288</v>
      </c>
      <c r="M123">
        <f>HYPERLINK("https://www.google.com/maps/search/?api=1&amp;query=-12.317399,-76.82288","Punta Hermosa, Lima")</f>
      </c>
      <c r="N123">
        <v>0</v>
      </c>
      <c r="O123">
        <v>100</v>
      </c>
      <c r="P123">
        <v>556127.5</v>
      </c>
      <c r="Q123" t="str">
        <v>1,417.08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F6V-792</v>
      </c>
      <c r="D124" t="str">
        <v>F6V-792</v>
      </c>
      <c r="E124" t="str">
        <v/>
      </c>
      <c r="F124" t="str">
        <v>867162026042390</v>
      </c>
      <c r="G124" t="str">
        <v>Minivan</v>
      </c>
      <c r="H124" t="str">
        <v/>
      </c>
      <c r="I124" t="str">
        <v>28/09/2026</v>
      </c>
      <c r="J124" t="str">
        <v>12:53:35</v>
      </c>
      <c r="K124">
        <v>-12.317399</v>
      </c>
      <c r="L124">
        <v>-76.82288</v>
      </c>
      <c r="M124">
        <f>HYPERLINK("https://www.google.com/maps/search/?api=1&amp;query=-12.317399,-76.82288","Punta Hermosa, Lima")</f>
      </c>
      <c r="N124">
        <v>0</v>
      </c>
      <c r="O124">
        <v>100</v>
      </c>
      <c r="P124">
        <v>556127.5</v>
      </c>
      <c r="Q124" t="str">
        <v>1,417.08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F6V-792</v>
      </c>
      <c r="D125" t="str">
        <v>F6V-792</v>
      </c>
      <c r="E125" t="str">
        <v/>
      </c>
      <c r="F125" t="str">
        <v>867162026042390</v>
      </c>
      <c r="G125" t="str">
        <v>Minivan</v>
      </c>
      <c r="H125" t="str">
        <v/>
      </c>
      <c r="I125" t="str">
        <v>28/09/2026</v>
      </c>
      <c r="J125" t="str">
        <v>12:53:59</v>
      </c>
      <c r="K125">
        <v>-12.317399</v>
      </c>
      <c r="L125">
        <v>-76.82288</v>
      </c>
      <c r="M125">
        <f>HYPERLINK("https://www.google.com/maps/search/?api=1&amp;query=-12.317399,-76.82288","Punta Hermosa, Lima")</f>
      </c>
      <c r="N125">
        <v>0</v>
      </c>
      <c r="O125">
        <v>100</v>
      </c>
      <c r="P125">
        <v>556127.5</v>
      </c>
      <c r="Q125" t="str">
        <v>1,418.03</v>
      </c>
      <c r="R125" t="str">
        <v>Vehículo apagado</v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F6V-792</v>
      </c>
      <c r="D126" t="str">
        <v>F6V-792</v>
      </c>
      <c r="E126" t="str">
        <v/>
      </c>
      <c r="F126" t="str">
        <v>867162026042390</v>
      </c>
      <c r="G126" t="str">
        <v>Minivan</v>
      </c>
      <c r="H126" t="str">
        <v/>
      </c>
      <c r="I126" t="str">
        <v>28/09/2026</v>
      </c>
      <c r="J126" t="str">
        <v>12:54:02</v>
      </c>
      <c r="K126">
        <v>-12.317399</v>
      </c>
      <c r="L126">
        <v>-76.82288</v>
      </c>
      <c r="M126">
        <f>HYPERLINK("https://www.google.com/maps/search/?api=1&amp;query=-12.317399,-76.82288","Punta Hermosa, Lima")</f>
      </c>
      <c r="N126">
        <v>0</v>
      </c>
      <c r="O126">
        <v>100</v>
      </c>
      <c r="P126">
        <v>556127.5</v>
      </c>
      <c r="Q126" t="str">
        <v>1,418.03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F6V-792</v>
      </c>
      <c r="D127" t="str">
        <v>F6V-792</v>
      </c>
      <c r="E127" t="str">
        <v/>
      </c>
      <c r="F127" t="str">
        <v>867162026042390</v>
      </c>
      <c r="G127" t="str">
        <v>Minivan</v>
      </c>
      <c r="H127" t="str">
        <v/>
      </c>
      <c r="I127" t="str">
        <v>28/09/2026</v>
      </c>
      <c r="J127" t="str">
        <v>13:07:33</v>
      </c>
      <c r="K127">
        <v>-12.317399</v>
      </c>
      <c r="L127">
        <v>-76.82288</v>
      </c>
      <c r="M127">
        <f>HYPERLINK("https://www.google.com/maps/search/?api=1&amp;query=-12.317399,-76.82288","Punta Hermosa, Lima")</f>
      </c>
      <c r="N127">
        <v>0</v>
      </c>
      <c r="O127">
        <v>100</v>
      </c>
      <c r="P127">
        <v>556127.5</v>
      </c>
      <c r="Q127" t="str">
        <v>1,418.03</v>
      </c>
      <c r="R127" t="str">
        <v>Vehículo encendido</v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F6V-792</v>
      </c>
      <c r="D128" t="str">
        <v>F6V-792</v>
      </c>
      <c r="E128" t="str">
        <v/>
      </c>
      <c r="F128" t="str">
        <v>867162026042390</v>
      </c>
      <c r="G128" t="str">
        <v>Minivan</v>
      </c>
      <c r="H128" t="str">
        <v/>
      </c>
      <c r="I128" t="str">
        <v>28/09/2026</v>
      </c>
      <c r="J128" t="str">
        <v>13:07:50</v>
      </c>
      <c r="K128">
        <v>-12.317635</v>
      </c>
      <c r="L128">
        <v>-76.82287</v>
      </c>
      <c r="M128">
        <f>HYPERLINK("https://www.google.com/maps/search/?api=1&amp;query=-12.317635,-76.82287","Punta Hermosa, Lima")</f>
      </c>
      <c r="N128">
        <v>3.6</v>
      </c>
      <c r="O128">
        <v>100</v>
      </c>
      <c r="P128">
        <v>556127.5</v>
      </c>
      <c r="Q128" t="str">
        <v>1,418.03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F6V-792</v>
      </c>
      <c r="D129" t="str">
        <v>F6V-792</v>
      </c>
      <c r="E129" t="str">
        <v/>
      </c>
      <c r="F129" t="str">
        <v>867162026042390</v>
      </c>
      <c r="G129" t="str">
        <v>Minivan</v>
      </c>
      <c r="H129" t="str">
        <v/>
      </c>
      <c r="I129" t="str">
        <v>28/09/2026</v>
      </c>
      <c r="J129" t="str">
        <v>13:07:52</v>
      </c>
      <c r="K129">
        <v>-12.317756</v>
      </c>
      <c r="L129">
        <v>-76.8227</v>
      </c>
      <c r="M129">
        <f>HYPERLINK("https://www.google.com/maps/search/?api=1&amp;query=-12.317756,-76.8227","Punta Hermosa, Lima")</f>
      </c>
      <c r="N129">
        <v>27.3</v>
      </c>
      <c r="O129">
        <v>100</v>
      </c>
      <c r="P129">
        <v>556127.6</v>
      </c>
      <c r="Q129" t="str">
        <v>1,418.03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F6V-792</v>
      </c>
      <c r="D130" t="str">
        <v>F6V-792</v>
      </c>
      <c r="E130" t="str">
        <v/>
      </c>
      <c r="F130" t="str">
        <v>867162026042390</v>
      </c>
      <c r="G130" t="str">
        <v>Minivan</v>
      </c>
      <c r="H130" t="str">
        <v/>
      </c>
      <c r="I130" t="str">
        <v>28/09/2026</v>
      </c>
      <c r="J130" t="str">
        <v>13:08:01</v>
      </c>
      <c r="K130">
        <v>-12.318098</v>
      </c>
      <c r="L130">
        <v>-76.82264</v>
      </c>
      <c r="M130">
        <f>HYPERLINK("https://www.google.com/maps/search/?api=1&amp;query=-12.318098,-76.82264","Punta Hermosa, Lima")</f>
      </c>
      <c r="N130">
        <v>11</v>
      </c>
      <c r="O130">
        <v>100</v>
      </c>
      <c r="P130">
        <v>556127.5</v>
      </c>
      <c r="Q130" t="str">
        <v>1,418.03</v>
      </c>
      <c r="R130" t="str">
        <v>Salió de zona</v>
      </c>
      <c r="S130" t="str">
        <v>MASS BSF 1</v>
      </c>
      <c r="T130" t="str">
        <v xml:space="preserve"> </v>
      </c>
      <c r="U130" t="str">
        <v/>
      </c>
    </row>
    <row r="131">
      <c r="A131" t="str">
        <v>130</v>
      </c>
      <c r="B131" t="str">
        <v>MASS BSF</v>
      </c>
      <c r="C131" t="str">
        <v>F6V-792</v>
      </c>
      <c r="D131" t="str">
        <v>F6V-792</v>
      </c>
      <c r="E131" t="str">
        <v/>
      </c>
      <c r="F131" t="str">
        <v>867162026042390</v>
      </c>
      <c r="G131" t="str">
        <v>Minivan</v>
      </c>
      <c r="H131" t="str">
        <v/>
      </c>
      <c r="I131" t="str">
        <v>28/09/2026</v>
      </c>
      <c r="J131" t="str">
        <v>13:08:01</v>
      </c>
      <c r="K131">
        <v>-12.318098</v>
      </c>
      <c r="L131">
        <v>-76.82264</v>
      </c>
      <c r="M131">
        <f>HYPERLINK("https://www.google.com/maps/search/?api=1&amp;query=-12.318098,-76.82264","Punta Hermosa, Lima")</f>
      </c>
      <c r="N131">
        <v>11</v>
      </c>
      <c r="O131">
        <v>100</v>
      </c>
      <c r="P131">
        <v>556127.6</v>
      </c>
      <c r="Q131" t="str">
        <v>1,418.03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F6V-792</v>
      </c>
      <c r="D132" t="str">
        <v>F6V-792</v>
      </c>
      <c r="E132" t="str">
        <v/>
      </c>
      <c r="F132" t="str">
        <v>867162026042390</v>
      </c>
      <c r="G132" t="str">
        <v>Minivan</v>
      </c>
      <c r="H132" t="str">
        <v/>
      </c>
      <c r="I132" t="str">
        <v>28/09/2026</v>
      </c>
      <c r="J132" t="str">
        <v>13:08:13</v>
      </c>
      <c r="K132">
        <v>-12.318278</v>
      </c>
      <c r="L132">
        <v>-76.82286</v>
      </c>
      <c r="M132">
        <f>HYPERLINK("https://www.google.com/maps/search/?api=1&amp;query=-12.318278,-76.82286","Punta Hermosa, Lima")</f>
      </c>
      <c r="N132">
        <v>8.2</v>
      </c>
      <c r="O132">
        <v>100</v>
      </c>
      <c r="P132">
        <v>556127.6</v>
      </c>
      <c r="Q132" t="str">
        <v>1,418.03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F6V-792</v>
      </c>
      <c r="D133" t="str">
        <v>F6V-792</v>
      </c>
      <c r="E133" t="str">
        <v/>
      </c>
      <c r="F133" t="str">
        <v>867162026042390</v>
      </c>
      <c r="G133" t="str">
        <v>Minivan</v>
      </c>
      <c r="H133" t="str">
        <v/>
      </c>
      <c r="I133" t="str">
        <v>28/09/2026</v>
      </c>
      <c r="J133" t="str">
        <v>13:08:47</v>
      </c>
      <c r="K133">
        <v>-12.318442</v>
      </c>
      <c r="L133">
        <v>-76.82332</v>
      </c>
      <c r="M133">
        <f>HYPERLINK("https://www.google.com/maps/search/?api=1&amp;query=-12.318442,-76.82332","Punta Hermosa, Lima")</f>
      </c>
      <c r="N133">
        <v>8.1</v>
      </c>
      <c r="O133">
        <v>100</v>
      </c>
      <c r="P133">
        <v>556127.69</v>
      </c>
      <c r="Q133" t="str">
        <v>1,418.03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F6V-792</v>
      </c>
      <c r="D134" t="str">
        <v>F6V-792</v>
      </c>
      <c r="E134" t="str">
        <v/>
      </c>
      <c r="F134" t="str">
        <v>867162026042390</v>
      </c>
      <c r="G134" t="str">
        <v>Minivan</v>
      </c>
      <c r="H134" t="str">
        <v/>
      </c>
      <c r="I134" t="str">
        <v>28/09/2026</v>
      </c>
      <c r="J134" t="str">
        <v>13:08:47</v>
      </c>
      <c r="K134">
        <v>-12.318442</v>
      </c>
      <c r="L134">
        <v>-76.82332</v>
      </c>
      <c r="M134">
        <f>HYPERLINK("https://www.google.com/maps/search/?api=1&amp;query=-12.318442,-76.82332","Punta Hermosa, Lima")</f>
      </c>
      <c r="N134">
        <v>8.1</v>
      </c>
      <c r="O134">
        <v>100</v>
      </c>
      <c r="P134">
        <v>556127.5</v>
      </c>
      <c r="Q134" t="str">
        <v>1,418.03</v>
      </c>
      <c r="R134" t="str">
        <v>Llegó a la zona</v>
      </c>
      <c r="S134" t="str">
        <v>MASS BSF 1</v>
      </c>
      <c r="T134" t="str">
        <v xml:space="preserve"> </v>
      </c>
      <c r="U134" t="str">
        <v/>
      </c>
    </row>
    <row r="135">
      <c r="A135" t="str">
        <v>134</v>
      </c>
      <c r="B135" t="str">
        <v>MASS BSF</v>
      </c>
      <c r="C135" t="str">
        <v>F6V-792</v>
      </c>
      <c r="D135" t="str">
        <v>F6V-792</v>
      </c>
      <c r="E135" t="str">
        <v/>
      </c>
      <c r="F135" t="str">
        <v>867162026042390</v>
      </c>
      <c r="G135" t="str">
        <v>Minivan</v>
      </c>
      <c r="H135" t="str">
        <v/>
      </c>
      <c r="I135" t="str">
        <v>28/09/2026</v>
      </c>
      <c r="J135" t="str">
        <v>13:08:58</v>
      </c>
      <c r="K135">
        <v>-12.318519</v>
      </c>
      <c r="L135">
        <v>-76.8238</v>
      </c>
      <c r="M135">
        <f>HYPERLINK("https://www.google.com/maps/search/?api=1&amp;query=-12.318519,-76.8238","Punta Hermosa, Lima")</f>
      </c>
      <c r="N135">
        <v>9</v>
      </c>
      <c r="O135">
        <v>100</v>
      </c>
      <c r="P135">
        <v>556127.69</v>
      </c>
      <c r="Q135" t="str">
        <v>1,418.03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F6V-792</v>
      </c>
      <c r="D136" t="str">
        <v>F6V-792</v>
      </c>
      <c r="E136" t="str">
        <v/>
      </c>
      <c r="F136" t="str">
        <v>867162026042390</v>
      </c>
      <c r="G136" t="str">
        <v>Minivan</v>
      </c>
      <c r="H136" t="str">
        <v/>
      </c>
      <c r="I136" t="str">
        <v>28/09/2026</v>
      </c>
      <c r="J136" t="str">
        <v>13:09:22</v>
      </c>
      <c r="K136">
        <v>-12.31815</v>
      </c>
      <c r="L136">
        <v>-76.824135</v>
      </c>
      <c r="M136">
        <f>HYPERLINK("https://www.google.com/maps/search/?api=1&amp;query=-12.31815,-76.824135","Punta Hermosa, Lima")</f>
      </c>
      <c r="N136">
        <v>6.6</v>
      </c>
      <c r="O136">
        <v>100</v>
      </c>
      <c r="P136">
        <v>556127.8</v>
      </c>
      <c r="Q136" t="str">
        <v>1,418.03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F6V-792</v>
      </c>
      <c r="D137" t="str">
        <v>F6V-792</v>
      </c>
      <c r="E137" t="str">
        <v/>
      </c>
      <c r="F137" t="str">
        <v>867162026042390</v>
      </c>
      <c r="G137" t="str">
        <v>Minivan</v>
      </c>
      <c r="H137" t="str">
        <v/>
      </c>
      <c r="I137" t="str">
        <v>28/09/2026</v>
      </c>
      <c r="J137" t="str">
        <v>13:09:47</v>
      </c>
      <c r="K137">
        <v>-12.31801</v>
      </c>
      <c r="L137">
        <v>-76.824295</v>
      </c>
      <c r="M137">
        <f>HYPERLINK("https://www.google.com/maps/search/?api=1&amp;query=-12.31801,-76.824295","Punta Hermosa, Lima")</f>
      </c>
      <c r="N137">
        <v>6.2</v>
      </c>
      <c r="O137">
        <v>100</v>
      </c>
      <c r="P137">
        <v>556127.8</v>
      </c>
      <c r="Q137" t="str">
        <v>1,418.03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F6V-792</v>
      </c>
      <c r="D138" t="str">
        <v>F6V-792</v>
      </c>
      <c r="E138" t="str">
        <v/>
      </c>
      <c r="F138" t="str">
        <v>867162026042390</v>
      </c>
      <c r="G138" t="str">
        <v>Minivan</v>
      </c>
      <c r="H138" t="str">
        <v/>
      </c>
      <c r="I138" t="str">
        <v>28/09/2026</v>
      </c>
      <c r="J138" t="str">
        <v>13:10:48</v>
      </c>
      <c r="K138">
        <v>-12.317986</v>
      </c>
      <c r="L138">
        <v>-76.82431</v>
      </c>
      <c r="M138">
        <f>HYPERLINK("https://www.google.com/maps/search/?api=1&amp;query=-12.317986,-76.82431","Punta Hermosa, Lima")</f>
      </c>
      <c r="N138">
        <v>0</v>
      </c>
      <c r="O138">
        <v>100</v>
      </c>
      <c r="P138">
        <v>556127.8</v>
      </c>
      <c r="Q138" t="str">
        <v>1,418.03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F6V-792</v>
      </c>
      <c r="D139" t="str">
        <v>F6V-792</v>
      </c>
      <c r="E139" t="str">
        <v/>
      </c>
      <c r="F139" t="str">
        <v>867162026042390</v>
      </c>
      <c r="G139" t="str">
        <v>Minivan</v>
      </c>
      <c r="H139" t="str">
        <v/>
      </c>
      <c r="I139" t="str">
        <v>28/09/2026</v>
      </c>
      <c r="J139" t="str">
        <v>13:11:48</v>
      </c>
      <c r="K139">
        <v>-12.317986</v>
      </c>
      <c r="L139">
        <v>-76.82431</v>
      </c>
      <c r="M139">
        <f>HYPERLINK("https://www.google.com/maps/search/?api=1&amp;query=-12.317986,-76.82431","Punta Hermosa, Lima")</f>
      </c>
      <c r="N139">
        <v>0</v>
      </c>
      <c r="O139">
        <v>100</v>
      </c>
      <c r="P139">
        <v>556127.8</v>
      </c>
      <c r="Q139" t="str">
        <v>1,418.03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F6V-792</v>
      </c>
      <c r="D140" t="str">
        <v>F6V-792</v>
      </c>
      <c r="E140" t="str">
        <v/>
      </c>
      <c r="F140" t="str">
        <v>867162026042390</v>
      </c>
      <c r="G140" t="str">
        <v>Minivan</v>
      </c>
      <c r="H140" t="str">
        <v/>
      </c>
      <c r="I140" t="str">
        <v>28/09/2026</v>
      </c>
      <c r="J140" t="str">
        <v>13:12:48</v>
      </c>
      <c r="K140">
        <v>-12.317986</v>
      </c>
      <c r="L140">
        <v>-76.82431</v>
      </c>
      <c r="M140">
        <f>HYPERLINK("https://www.google.com/maps/search/?api=1&amp;query=-12.317986,-76.82431","Punta Hermosa, Lima")</f>
      </c>
      <c r="N140">
        <v>0</v>
      </c>
      <c r="O140">
        <v>100</v>
      </c>
      <c r="P140">
        <v>556127.8</v>
      </c>
      <c r="Q140" t="str">
        <v>1,418.03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F6V-792</v>
      </c>
      <c r="D141" t="str">
        <v>F6V-792</v>
      </c>
      <c r="E141" t="str">
        <v/>
      </c>
      <c r="F141" t="str">
        <v>867162026042390</v>
      </c>
      <c r="G141" t="str">
        <v>Minivan</v>
      </c>
      <c r="H141" t="str">
        <v/>
      </c>
      <c r="I141" t="str">
        <v>28/09/2026</v>
      </c>
      <c r="J141" t="str">
        <v>13:13:41</v>
      </c>
      <c r="K141">
        <v>-12.317986</v>
      </c>
      <c r="L141">
        <v>-76.82431</v>
      </c>
      <c r="M141">
        <f>HYPERLINK("https://www.google.com/maps/search/?api=1&amp;query=-12.317986,-76.82431","Punta Hermosa, Lima")</f>
      </c>
      <c r="N141">
        <v>0</v>
      </c>
      <c r="O141">
        <v>100</v>
      </c>
      <c r="P141">
        <v>556127.8</v>
      </c>
      <c r="Q141" t="str">
        <v>1,418.13</v>
      </c>
      <c r="R141" t="str">
        <v>Vehículo apagado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F6V-792</v>
      </c>
      <c r="D142" t="str">
        <v>F6V-792</v>
      </c>
      <c r="E142" t="str">
        <v/>
      </c>
      <c r="F142" t="str">
        <v>867162026042390</v>
      </c>
      <c r="G142" t="str">
        <v>Minivan</v>
      </c>
      <c r="H142" t="str">
        <v/>
      </c>
      <c r="I142" t="str">
        <v>28/09/2026</v>
      </c>
      <c r="J142" t="str">
        <v>13:13:46</v>
      </c>
      <c r="K142">
        <v>-12.317986</v>
      </c>
      <c r="L142">
        <v>-76.82431</v>
      </c>
      <c r="M142">
        <f>HYPERLINK("https://www.google.com/maps/search/?api=1&amp;query=-12.317986,-76.82431","Punta Hermosa, Lima")</f>
      </c>
      <c r="N142">
        <v>0</v>
      </c>
      <c r="O142">
        <v>100</v>
      </c>
      <c r="P142">
        <v>556127.8</v>
      </c>
      <c r="Q142" t="str">
        <v>1,418.13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F6V-792</v>
      </c>
      <c r="D143" t="str">
        <v>F6V-792</v>
      </c>
      <c r="E143" t="str">
        <v/>
      </c>
      <c r="F143" t="str">
        <v>867162026042390</v>
      </c>
      <c r="G143" t="str">
        <v>Minivan</v>
      </c>
      <c r="H143" t="str">
        <v/>
      </c>
      <c r="I143" t="str">
        <v>28/09/2026</v>
      </c>
      <c r="J143" t="str">
        <v>13:26:48</v>
      </c>
      <c r="K143">
        <v>-12.317986</v>
      </c>
      <c r="L143">
        <v>-76.82431</v>
      </c>
      <c r="M143">
        <f>HYPERLINK("https://www.google.com/maps/search/?api=1&amp;query=-12.317986,-76.82431","Punta Hermosa, Lima")</f>
      </c>
      <c r="N143">
        <v>0</v>
      </c>
      <c r="O143">
        <v>100</v>
      </c>
      <c r="P143">
        <v>556127.8</v>
      </c>
      <c r="Q143" t="str">
        <v>1,418.13</v>
      </c>
      <c r="R143" t="str">
        <v>Vehículo encendido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F6V-792</v>
      </c>
      <c r="D144" t="str">
        <v>F6V-792</v>
      </c>
      <c r="E144" t="str">
        <v/>
      </c>
      <c r="F144" t="str">
        <v>867162026042390</v>
      </c>
      <c r="G144" t="str">
        <v>Minivan</v>
      </c>
      <c r="H144" t="str">
        <v/>
      </c>
      <c r="I144" t="str">
        <v>28/09/2026</v>
      </c>
      <c r="J144" t="str">
        <v>13:27:04</v>
      </c>
      <c r="K144">
        <v>-12.317924</v>
      </c>
      <c r="L144">
        <v>-76.824295</v>
      </c>
      <c r="M144">
        <f>HYPERLINK("https://www.google.com/maps/search/?api=1&amp;query=-12.317924,-76.824295","Punta Hermosa, Lima")</f>
      </c>
      <c r="N144">
        <v>2.5</v>
      </c>
      <c r="O144">
        <v>100</v>
      </c>
      <c r="P144">
        <v>556127.8</v>
      </c>
      <c r="Q144" t="str">
        <v>1,418.13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F6V-792</v>
      </c>
      <c r="D145" t="str">
        <v>F6V-792</v>
      </c>
      <c r="E145" t="str">
        <v/>
      </c>
      <c r="F145" t="str">
        <v>867162026042390</v>
      </c>
      <c r="G145" t="str">
        <v>Minivan</v>
      </c>
      <c r="H145" t="str">
        <v/>
      </c>
      <c r="I145" t="str">
        <v>28/09/2026</v>
      </c>
      <c r="J145" t="str">
        <v>13:28:03</v>
      </c>
      <c r="K145">
        <v>-12.317885</v>
      </c>
      <c r="L145">
        <v>-76.82427</v>
      </c>
      <c r="M145">
        <f>HYPERLINK("https://www.google.com/maps/search/?api=1&amp;query=-12.317885,-76.82427","Punta Hermosa, Lima")</f>
      </c>
      <c r="N145">
        <v>0</v>
      </c>
      <c r="O145">
        <v>100</v>
      </c>
      <c r="P145">
        <v>556127.8</v>
      </c>
      <c r="Q145" t="str">
        <v>1,418.13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F6V-792</v>
      </c>
      <c r="D146" t="str">
        <v>F6V-792</v>
      </c>
      <c r="E146" t="str">
        <v/>
      </c>
      <c r="F146" t="str">
        <v>867162026042390</v>
      </c>
      <c r="G146" t="str">
        <v>Minivan</v>
      </c>
      <c r="H146" t="str">
        <v/>
      </c>
      <c r="I146" t="str">
        <v>28/09/2026</v>
      </c>
      <c r="J146" t="str">
        <v>13:29:03</v>
      </c>
      <c r="K146">
        <v>-12.317885</v>
      </c>
      <c r="L146">
        <v>-76.82427</v>
      </c>
      <c r="M146">
        <f>HYPERLINK("https://www.google.com/maps/search/?api=1&amp;query=-12.317885,-76.82427","Punta Hermosa, Lima")</f>
      </c>
      <c r="N146">
        <v>0</v>
      </c>
      <c r="O146">
        <v>100</v>
      </c>
      <c r="P146">
        <v>556127.8</v>
      </c>
      <c r="Q146" t="str">
        <v>1,418.13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F6V-792</v>
      </c>
      <c r="D147" t="str">
        <v>F6V-792</v>
      </c>
      <c r="E147" t="str">
        <v/>
      </c>
      <c r="F147" t="str">
        <v>867162026042390</v>
      </c>
      <c r="G147" t="str">
        <v>Minivan</v>
      </c>
      <c r="H147" t="str">
        <v/>
      </c>
      <c r="I147" t="str">
        <v>28/09/2026</v>
      </c>
      <c r="J147" t="str">
        <v>13:30:03</v>
      </c>
      <c r="K147">
        <v>-12.317885</v>
      </c>
      <c r="L147">
        <v>-76.82427</v>
      </c>
      <c r="M147">
        <f>HYPERLINK("https://www.google.com/maps/search/?api=1&amp;query=-12.317885,-76.82427","Punta Hermosa, Lima")</f>
      </c>
      <c r="N147">
        <v>0</v>
      </c>
      <c r="O147">
        <v>100</v>
      </c>
      <c r="P147">
        <v>556127.8</v>
      </c>
      <c r="Q147" t="str">
        <v>1,418.13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F6V-792</v>
      </c>
      <c r="D148" t="str">
        <v>F6V-792</v>
      </c>
      <c r="E148" t="str">
        <v/>
      </c>
      <c r="F148" t="str">
        <v>867162026042390</v>
      </c>
      <c r="G148" t="str">
        <v>Minivan</v>
      </c>
      <c r="H148" t="str">
        <v/>
      </c>
      <c r="I148" t="str">
        <v>28/09/2026</v>
      </c>
      <c r="J148" t="str">
        <v>13:31:03</v>
      </c>
      <c r="K148">
        <v>-12.317885</v>
      </c>
      <c r="L148">
        <v>-76.82427</v>
      </c>
      <c r="M148">
        <f>HYPERLINK("https://www.google.com/maps/search/?api=1&amp;query=-12.317885,-76.82427","Punta Hermosa, Lima")</f>
      </c>
      <c r="N148">
        <v>0</v>
      </c>
      <c r="O148">
        <v>100</v>
      </c>
      <c r="P148">
        <v>556127.8</v>
      </c>
      <c r="Q148" t="str">
        <v>1,418.13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F6V-792</v>
      </c>
      <c r="D149" t="str">
        <v>F6V-792</v>
      </c>
      <c r="E149" t="str">
        <v/>
      </c>
      <c r="F149" t="str">
        <v>867162026042390</v>
      </c>
      <c r="G149" t="str">
        <v>Minivan</v>
      </c>
      <c r="H149" t="str">
        <v/>
      </c>
      <c r="I149" t="str">
        <v>28/09/2026</v>
      </c>
      <c r="J149" t="str">
        <v>13:31:05</v>
      </c>
      <c r="K149">
        <v>-12.317885</v>
      </c>
      <c r="L149">
        <v>-76.82427</v>
      </c>
      <c r="M149">
        <f>HYPERLINK("https://www.google.com/maps/search/?api=1&amp;query=-12.317885,-76.82427","Punta Hermosa, Lima")</f>
      </c>
      <c r="N149">
        <v>0</v>
      </c>
      <c r="O149">
        <v>100</v>
      </c>
      <c r="P149">
        <v>556127.8</v>
      </c>
      <c r="Q149" t="str">
        <v>1,418.20</v>
      </c>
      <c r="R149" t="str">
        <v>Vehículo apagado</v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F6V-792</v>
      </c>
      <c r="D150" t="str">
        <v>F6V-792</v>
      </c>
      <c r="E150" t="str">
        <v/>
      </c>
      <c r="F150" t="str">
        <v>867162026042390</v>
      </c>
      <c r="G150" t="str">
        <v>Minivan</v>
      </c>
      <c r="H150" t="str">
        <v/>
      </c>
      <c r="I150" t="str">
        <v>28/09/2026</v>
      </c>
      <c r="J150" t="str">
        <v>13:31:09</v>
      </c>
      <c r="K150">
        <v>-12.317885</v>
      </c>
      <c r="L150">
        <v>-76.82427</v>
      </c>
      <c r="M150">
        <f>HYPERLINK("https://www.google.com/maps/search/?api=1&amp;query=-12.317885,-76.82427","Punta Hermosa, Lima")</f>
      </c>
      <c r="N150">
        <v>0</v>
      </c>
      <c r="O150">
        <v>100</v>
      </c>
      <c r="P150">
        <v>556127.8</v>
      </c>
      <c r="Q150" t="str">
        <v>1,418.20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F6V-792</v>
      </c>
      <c r="D151" t="str">
        <v>F6V-792</v>
      </c>
      <c r="E151" t="str">
        <v/>
      </c>
      <c r="F151" t="str">
        <v>867162026042390</v>
      </c>
      <c r="G151" t="str">
        <v>Minivan</v>
      </c>
      <c r="H151" t="str">
        <v/>
      </c>
      <c r="I151" t="str">
        <v>28/09/2026</v>
      </c>
      <c r="J151" t="str">
        <v>13:34:38</v>
      </c>
      <c r="K151">
        <v>-12.317885</v>
      </c>
      <c r="L151">
        <v>-76.82427</v>
      </c>
      <c r="M151">
        <f>HYPERLINK("https://www.google.com/maps/search/?api=1&amp;query=-12.317885,-76.82427","Punta Hermosa, Lima")</f>
      </c>
      <c r="N151">
        <v>0</v>
      </c>
      <c r="O151">
        <v>100</v>
      </c>
      <c r="P151">
        <v>556127.8</v>
      </c>
      <c r="Q151" t="str">
        <v>1,418.20</v>
      </c>
      <c r="R151" t="str">
        <v>Vehículo encendido</v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F6V-792</v>
      </c>
      <c r="D152" t="str">
        <v>F6V-792</v>
      </c>
      <c r="E152" t="str">
        <v/>
      </c>
      <c r="F152" t="str">
        <v>867162026042390</v>
      </c>
      <c r="G152" t="str">
        <v>Minivan</v>
      </c>
      <c r="H152" t="str">
        <v/>
      </c>
      <c r="I152" t="str">
        <v>28/09/2026</v>
      </c>
      <c r="J152" t="str">
        <v>13:34:46</v>
      </c>
      <c r="K152">
        <v>-12.317599</v>
      </c>
      <c r="L152">
        <v>-76.82459</v>
      </c>
      <c r="M152">
        <f>HYPERLINK("https://www.google.com/maps/search/?api=1&amp;query=-12.317599,-76.82459","Punta Hermosa, Lima")</f>
      </c>
      <c r="N152">
        <v>2.8</v>
      </c>
      <c r="O152">
        <v>100</v>
      </c>
      <c r="P152">
        <v>556127.9</v>
      </c>
      <c r="Q152" t="str">
        <v>1,418.20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F6V-792</v>
      </c>
      <c r="D153" t="str">
        <v>F6V-792</v>
      </c>
      <c r="E153" t="str">
        <v/>
      </c>
      <c r="F153" t="str">
        <v>867162026042390</v>
      </c>
      <c r="G153" t="str">
        <v>Minivan</v>
      </c>
      <c r="H153" t="str">
        <v/>
      </c>
      <c r="I153" t="str">
        <v>28/09/2026</v>
      </c>
      <c r="J153" t="str">
        <v>13:35:43</v>
      </c>
      <c r="K153">
        <v>-12.317567</v>
      </c>
      <c r="L153">
        <v>-76.82447</v>
      </c>
      <c r="M153">
        <f>HYPERLINK("https://www.google.com/maps/search/?api=1&amp;query=-12.317567,-76.82447","Punta Hermosa, Lima")</f>
      </c>
      <c r="N153">
        <v>0</v>
      </c>
      <c r="O153">
        <v>100</v>
      </c>
      <c r="P153">
        <v>556127.9</v>
      </c>
      <c r="Q153" t="str">
        <v>1,418.20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F6V-792</v>
      </c>
      <c r="D154" t="str">
        <v>F6V-792</v>
      </c>
      <c r="E154" t="str">
        <v/>
      </c>
      <c r="F154" t="str">
        <v>867162026042390</v>
      </c>
      <c r="G154" t="str">
        <v>Minivan</v>
      </c>
      <c r="H154" t="str">
        <v/>
      </c>
      <c r="I154" t="str">
        <v>28/09/2026</v>
      </c>
      <c r="J154" t="str">
        <v>13:36:43</v>
      </c>
      <c r="K154">
        <v>-12.317567</v>
      </c>
      <c r="L154">
        <v>-76.82447</v>
      </c>
      <c r="M154">
        <f>HYPERLINK("https://www.google.com/maps/search/?api=1&amp;query=-12.317567,-76.82447","Punta Hermosa, Lima")</f>
      </c>
      <c r="N154">
        <v>0</v>
      </c>
      <c r="O154">
        <v>100</v>
      </c>
      <c r="P154">
        <v>556127.9</v>
      </c>
      <c r="Q154" t="str">
        <v>1,418.20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F6V-792</v>
      </c>
      <c r="D155" t="str">
        <v>F6V-792</v>
      </c>
      <c r="E155" t="str">
        <v/>
      </c>
      <c r="F155" t="str">
        <v>867162026042390</v>
      </c>
      <c r="G155" t="str">
        <v>Minivan</v>
      </c>
      <c r="H155" t="str">
        <v/>
      </c>
      <c r="I155" t="str">
        <v>28/09/2026</v>
      </c>
      <c r="J155" t="str">
        <v>13:37:44</v>
      </c>
      <c r="K155">
        <v>-12.317567</v>
      </c>
      <c r="L155">
        <v>-76.82447</v>
      </c>
      <c r="M155">
        <f>HYPERLINK("https://www.google.com/maps/search/?api=1&amp;query=-12.317567,-76.82447","Punta Hermosa, Lima")</f>
      </c>
      <c r="N155">
        <v>0</v>
      </c>
      <c r="O155">
        <v>100</v>
      </c>
      <c r="P155">
        <v>556127.9</v>
      </c>
      <c r="Q155" t="str">
        <v>1,418.20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F6V-792</v>
      </c>
      <c r="D156" t="str">
        <v>F6V-792</v>
      </c>
      <c r="E156" t="str">
        <v/>
      </c>
      <c r="F156" t="str">
        <v>867162026042390</v>
      </c>
      <c r="G156" t="str">
        <v>Minivan</v>
      </c>
      <c r="H156" t="str">
        <v/>
      </c>
      <c r="I156" t="str">
        <v>28/09/2026</v>
      </c>
      <c r="J156" t="str">
        <v>13:38:44</v>
      </c>
      <c r="K156">
        <v>-12.317567</v>
      </c>
      <c r="L156">
        <v>-76.82447</v>
      </c>
      <c r="M156">
        <f>HYPERLINK("https://www.google.com/maps/search/?api=1&amp;query=-12.317567,-76.82447","Punta Hermosa, Lima")</f>
      </c>
      <c r="N156">
        <v>0</v>
      </c>
      <c r="O156">
        <v>100</v>
      </c>
      <c r="P156">
        <v>556127.9</v>
      </c>
      <c r="Q156" t="str">
        <v>1,418.20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F6V-792</v>
      </c>
      <c r="D157" t="str">
        <v>F6V-792</v>
      </c>
      <c r="E157" t="str">
        <v/>
      </c>
      <c r="F157" t="str">
        <v>867162026042390</v>
      </c>
      <c r="G157" t="str">
        <v>Minivan</v>
      </c>
      <c r="H157" t="str">
        <v/>
      </c>
      <c r="I157" t="str">
        <v>28/09/2026</v>
      </c>
      <c r="J157" t="str">
        <v>13:38:46</v>
      </c>
      <c r="K157">
        <v>-12.317567</v>
      </c>
      <c r="L157">
        <v>-76.82447</v>
      </c>
      <c r="M157">
        <f>HYPERLINK("https://www.google.com/maps/search/?api=1&amp;query=-12.317567,-76.82447","Punta Hermosa, Lima")</f>
      </c>
      <c r="N157">
        <v>0</v>
      </c>
      <c r="O157">
        <v>100</v>
      </c>
      <c r="P157">
        <v>556127.9</v>
      </c>
      <c r="Q157" t="str">
        <v>1,418.27</v>
      </c>
      <c r="R157" t="str">
        <v>Vehículo apagado</v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F6V-792</v>
      </c>
      <c r="D158" t="str">
        <v>F6V-792</v>
      </c>
      <c r="E158" t="str">
        <v/>
      </c>
      <c r="F158" t="str">
        <v>867162026042390</v>
      </c>
      <c r="G158" t="str">
        <v>Minivan</v>
      </c>
      <c r="H158" t="str">
        <v/>
      </c>
      <c r="I158" t="str">
        <v>28/09/2026</v>
      </c>
      <c r="J158" t="str">
        <v>13:38:51</v>
      </c>
      <c r="K158">
        <v>-12.317567</v>
      </c>
      <c r="L158">
        <v>-76.82447</v>
      </c>
      <c r="M158">
        <f>HYPERLINK("https://www.google.com/maps/search/?api=1&amp;query=-12.317567,-76.82447","Punta Hermosa, Lima")</f>
      </c>
      <c r="N158">
        <v>0</v>
      </c>
      <c r="O158">
        <v>100</v>
      </c>
      <c r="P158">
        <v>556127.9</v>
      </c>
      <c r="Q158" t="str">
        <v>1,418.27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F6V-792</v>
      </c>
      <c r="D159" t="str">
        <v>F6V-792</v>
      </c>
      <c r="E159" t="str">
        <v/>
      </c>
      <c r="F159" t="str">
        <v>867162026042390</v>
      </c>
      <c r="G159" t="str">
        <v>Minivan</v>
      </c>
      <c r="H159" t="str">
        <v/>
      </c>
      <c r="I159" t="str">
        <v>28/09/2026</v>
      </c>
      <c r="J159" t="str">
        <v>14:08:49</v>
      </c>
      <c r="K159">
        <v>-12.317567</v>
      </c>
      <c r="L159">
        <v>-76.82447</v>
      </c>
      <c r="M159">
        <f>HYPERLINK("https://www.google.com/maps/search/?api=1&amp;query=-12.317567,-76.82447","Punta Hermosa, Lima")</f>
      </c>
      <c r="N159">
        <v>0</v>
      </c>
      <c r="O159">
        <v>100</v>
      </c>
      <c r="P159">
        <v>556127.9</v>
      </c>
      <c r="Q159" t="str">
        <v>1,418.27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F6V-792</v>
      </c>
      <c r="D160" t="str">
        <v>F6V-792</v>
      </c>
      <c r="E160" t="str">
        <v/>
      </c>
      <c r="F160" t="str">
        <v>867162026042390</v>
      </c>
      <c r="G160" t="str">
        <v>Minivan</v>
      </c>
      <c r="H160" t="str">
        <v/>
      </c>
      <c r="I160" t="str">
        <v>28/09/2026</v>
      </c>
      <c r="J160" t="str">
        <v>14:38:49</v>
      </c>
      <c r="K160">
        <v>-12.317567</v>
      </c>
      <c r="L160">
        <v>-76.82447</v>
      </c>
      <c r="M160">
        <f>HYPERLINK("https://www.google.com/maps/search/?api=1&amp;query=-12.317567,-76.82447","Punta Hermosa, Lima")</f>
      </c>
      <c r="N160">
        <v>0</v>
      </c>
      <c r="O160">
        <v>100</v>
      </c>
      <c r="P160">
        <v>556127.9</v>
      </c>
      <c r="Q160" t="str">
        <v>1,418.27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F6V-792</v>
      </c>
      <c r="D161" t="str">
        <v>F6V-792</v>
      </c>
      <c r="E161" t="str">
        <v/>
      </c>
      <c r="F161" t="str">
        <v>867162026042390</v>
      </c>
      <c r="G161" t="str">
        <v>Minivan</v>
      </c>
      <c r="H161" t="str">
        <v/>
      </c>
      <c r="I161" t="str">
        <v>28/09/2026</v>
      </c>
      <c r="J161" t="str">
        <v>15:08:49</v>
      </c>
      <c r="K161">
        <v>-12.317567</v>
      </c>
      <c r="L161">
        <v>-76.82447</v>
      </c>
      <c r="M161">
        <f>HYPERLINK("https://www.google.com/maps/search/?api=1&amp;query=-12.317567,-76.82447","Punta Hermosa, Lima")</f>
      </c>
      <c r="N161">
        <v>0</v>
      </c>
      <c r="O161">
        <v>100</v>
      </c>
      <c r="P161">
        <v>556127.9</v>
      </c>
      <c r="Q161" t="str">
        <v>1,418.27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F6V-792</v>
      </c>
      <c r="D162" t="str">
        <v>F6V-792</v>
      </c>
      <c r="E162" t="str">
        <v/>
      </c>
      <c r="F162" t="str">
        <v>867162026042390</v>
      </c>
      <c r="G162" t="str">
        <v>Minivan</v>
      </c>
      <c r="H162" t="str">
        <v/>
      </c>
      <c r="I162" t="str">
        <v>28/09/2026</v>
      </c>
      <c r="J162" t="str">
        <v>15:30:41</v>
      </c>
      <c r="K162">
        <v>-12.317567</v>
      </c>
      <c r="L162">
        <v>-76.82447</v>
      </c>
      <c r="M162">
        <f>HYPERLINK("https://www.google.com/maps/search/?api=1&amp;query=-12.317567,-76.82447","Punta Hermosa, Lima")</f>
      </c>
      <c r="N162">
        <v>0</v>
      </c>
      <c r="O162">
        <v>100</v>
      </c>
      <c r="P162">
        <v>556127.9</v>
      </c>
      <c r="Q162" t="str">
        <v>1,418.27</v>
      </c>
      <c r="R162" t="str">
        <v>Vehículo encendido</v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F6V-792</v>
      </c>
      <c r="D163" t="str">
        <v>F6V-792</v>
      </c>
      <c r="E163" t="str">
        <v/>
      </c>
      <c r="F163" t="str">
        <v>867162026042390</v>
      </c>
      <c r="G163" t="str">
        <v>Minivan</v>
      </c>
      <c r="H163" t="str">
        <v/>
      </c>
      <c r="I163" t="str">
        <v>28/09/2026</v>
      </c>
      <c r="J163" t="str">
        <v>15:31:06</v>
      </c>
      <c r="K163">
        <v>-12.31782</v>
      </c>
      <c r="L163">
        <v>-76.82431</v>
      </c>
      <c r="M163">
        <f>HYPERLINK("https://www.google.com/maps/search/?api=1&amp;query=-12.31782,-76.82431","Punta Hermosa, Lima")</f>
      </c>
      <c r="N163">
        <v>3.1</v>
      </c>
      <c r="O163">
        <v>100</v>
      </c>
      <c r="P163">
        <v>556127.9</v>
      </c>
      <c r="Q163" t="str">
        <v>1,418.27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F6V-792</v>
      </c>
      <c r="D164" t="str">
        <v>F6V-792</v>
      </c>
      <c r="E164" t="str">
        <v/>
      </c>
      <c r="F164" t="str">
        <v>867162026042390</v>
      </c>
      <c r="G164" t="str">
        <v>Minivan</v>
      </c>
      <c r="H164" t="str">
        <v/>
      </c>
      <c r="I164" t="str">
        <v>28/09/2026</v>
      </c>
      <c r="J164" t="str">
        <v>15:32:05</v>
      </c>
      <c r="K164">
        <v>-12.31782</v>
      </c>
      <c r="L164">
        <v>-76.82431</v>
      </c>
      <c r="M164">
        <f>HYPERLINK("https://www.google.com/maps/search/?api=1&amp;query=-12.31782,-76.82431","Punta Hermosa, Lima")</f>
      </c>
      <c r="N164">
        <v>0</v>
      </c>
      <c r="O164">
        <v>100</v>
      </c>
      <c r="P164">
        <v>556127.9</v>
      </c>
      <c r="Q164" t="str">
        <v>1,418.27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F6V-792</v>
      </c>
      <c r="D165" t="str">
        <v>F6V-792</v>
      </c>
      <c r="E165" t="str">
        <v/>
      </c>
      <c r="F165" t="str">
        <v>867162026042390</v>
      </c>
      <c r="G165" t="str">
        <v>Minivan</v>
      </c>
      <c r="H165" t="str">
        <v/>
      </c>
      <c r="I165" t="str">
        <v>28/09/2026</v>
      </c>
      <c r="J165" t="str">
        <v>15:33:05</v>
      </c>
      <c r="K165">
        <v>-12.31782</v>
      </c>
      <c r="L165">
        <v>-76.82431</v>
      </c>
      <c r="M165">
        <f>HYPERLINK("https://www.google.com/maps/search/?api=1&amp;query=-12.31782,-76.82431","Punta Hermosa, Lima")</f>
      </c>
      <c r="N165">
        <v>0</v>
      </c>
      <c r="O165">
        <v>100</v>
      </c>
      <c r="P165">
        <v>556127.9</v>
      </c>
      <c r="Q165" t="str">
        <v>1,418.27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F6V-792</v>
      </c>
      <c r="D166" t="str">
        <v>F6V-792</v>
      </c>
      <c r="E166" t="str">
        <v/>
      </c>
      <c r="F166" t="str">
        <v>867162026042390</v>
      </c>
      <c r="G166" t="str">
        <v>Minivan</v>
      </c>
      <c r="H166" t="str">
        <v/>
      </c>
      <c r="I166" t="str">
        <v>28/09/2026</v>
      </c>
      <c r="J166" t="str">
        <v>15:34:05</v>
      </c>
      <c r="K166">
        <v>-12.317825</v>
      </c>
      <c r="L166">
        <v>-76.824295</v>
      </c>
      <c r="M166">
        <f>HYPERLINK("https://www.google.com/maps/search/?api=1&amp;query=-12.317825,-76.824295","Punta Hermosa, Lima")</f>
      </c>
      <c r="N166">
        <v>0</v>
      </c>
      <c r="O166">
        <v>100</v>
      </c>
      <c r="P166">
        <v>556127.9</v>
      </c>
      <c r="Q166" t="str">
        <v>1,418.27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F6V-792</v>
      </c>
      <c r="D167" t="str">
        <v>F6V-792</v>
      </c>
      <c r="E167" t="str">
        <v/>
      </c>
      <c r="F167" t="str">
        <v>867162026042390</v>
      </c>
      <c r="G167" t="str">
        <v>Minivan</v>
      </c>
      <c r="H167" t="str">
        <v/>
      </c>
      <c r="I167" t="str">
        <v>28/09/2026</v>
      </c>
      <c r="J167" t="str">
        <v>15:35:05</v>
      </c>
      <c r="K167">
        <v>-12.317825</v>
      </c>
      <c r="L167">
        <v>-76.824295</v>
      </c>
      <c r="M167">
        <f>HYPERLINK("https://www.google.com/maps/search/?api=1&amp;query=-12.317825,-76.824295","Punta Hermosa, Lima")</f>
      </c>
      <c r="N167">
        <v>0</v>
      </c>
      <c r="O167">
        <v>100</v>
      </c>
      <c r="P167">
        <v>556127.9</v>
      </c>
      <c r="Q167" t="str">
        <v>1,418.27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F6V-792</v>
      </c>
      <c r="D168" t="str">
        <v>F6V-792</v>
      </c>
      <c r="E168" t="str">
        <v/>
      </c>
      <c r="F168" t="str">
        <v>867162026042390</v>
      </c>
      <c r="G168" t="str">
        <v>Minivan</v>
      </c>
      <c r="H168" t="str">
        <v/>
      </c>
      <c r="I168" t="str">
        <v>28/09/2026</v>
      </c>
      <c r="J168" t="str">
        <v>15:36:05</v>
      </c>
      <c r="K168">
        <v>-12.317825</v>
      </c>
      <c r="L168">
        <v>-76.824295</v>
      </c>
      <c r="M168">
        <f>HYPERLINK("https://www.google.com/maps/search/?api=1&amp;query=-12.317825,-76.824295","Punta Hermosa, Lima")</f>
      </c>
      <c r="N168">
        <v>0</v>
      </c>
      <c r="O168">
        <v>100</v>
      </c>
      <c r="P168">
        <v>556127.9</v>
      </c>
      <c r="Q168" t="str">
        <v>1,418.27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F6V-792</v>
      </c>
      <c r="D169" t="str">
        <v>F6V-792</v>
      </c>
      <c r="E169" t="str">
        <v/>
      </c>
      <c r="F169" t="str">
        <v>867162026042390</v>
      </c>
      <c r="G169" t="str">
        <v>Minivan</v>
      </c>
      <c r="H169" t="str">
        <v/>
      </c>
      <c r="I169" t="str">
        <v>28/09/2026</v>
      </c>
      <c r="J169" t="str">
        <v>15:37:05</v>
      </c>
      <c r="K169">
        <v>-12.317825</v>
      </c>
      <c r="L169">
        <v>-76.824295</v>
      </c>
      <c r="M169">
        <f>HYPERLINK("https://www.google.com/maps/search/?api=1&amp;query=-12.317825,-76.824295","Punta Hermosa, Lima")</f>
      </c>
      <c r="N169">
        <v>0</v>
      </c>
      <c r="O169">
        <v>100</v>
      </c>
      <c r="P169">
        <v>556127.9</v>
      </c>
      <c r="Q169" t="str">
        <v>1,418.27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F6V-792</v>
      </c>
      <c r="D170" t="str">
        <v>F6V-792</v>
      </c>
      <c r="E170" t="str">
        <v/>
      </c>
      <c r="F170" t="str">
        <v>867162026042390</v>
      </c>
      <c r="G170" t="str">
        <v>Minivan</v>
      </c>
      <c r="H170" t="str">
        <v/>
      </c>
      <c r="I170" t="str">
        <v>28/09/2026</v>
      </c>
      <c r="J170" t="str">
        <v>15:38:05</v>
      </c>
      <c r="K170">
        <v>-12.317825</v>
      </c>
      <c r="L170">
        <v>-76.824295</v>
      </c>
      <c r="M170">
        <f>HYPERLINK("https://www.google.com/maps/search/?api=1&amp;query=-12.317825,-76.824295","Punta Hermosa, Lima")</f>
      </c>
      <c r="N170">
        <v>0</v>
      </c>
      <c r="O170">
        <v>100</v>
      </c>
      <c r="P170">
        <v>556127.9</v>
      </c>
      <c r="Q170" t="str">
        <v>1,418.27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F6V-792</v>
      </c>
      <c r="D171" t="str">
        <v>F6V-792</v>
      </c>
      <c r="E171" t="str">
        <v/>
      </c>
      <c r="F171" t="str">
        <v>867162026042390</v>
      </c>
      <c r="G171" t="str">
        <v>Minivan</v>
      </c>
      <c r="H171" t="str">
        <v/>
      </c>
      <c r="I171" t="str">
        <v>28/09/2026</v>
      </c>
      <c r="J171" t="str">
        <v>15:39:05</v>
      </c>
      <c r="K171">
        <v>-12.317825</v>
      </c>
      <c r="L171">
        <v>-76.824295</v>
      </c>
      <c r="M171">
        <f>HYPERLINK("https://www.google.com/maps/search/?api=1&amp;query=-12.317825,-76.824295","Punta Hermosa, Lima")</f>
      </c>
      <c r="N171">
        <v>0</v>
      </c>
      <c r="O171">
        <v>100</v>
      </c>
      <c r="P171">
        <v>556127.9</v>
      </c>
      <c r="Q171" t="str">
        <v>1,418.27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F6V-792</v>
      </c>
      <c r="D172" t="str">
        <v>F6V-792</v>
      </c>
      <c r="E172" t="str">
        <v/>
      </c>
      <c r="F172" t="str">
        <v>867162026042390</v>
      </c>
      <c r="G172" t="str">
        <v>Minivan</v>
      </c>
      <c r="H172" t="str">
        <v/>
      </c>
      <c r="I172" t="str">
        <v>28/09/2026</v>
      </c>
      <c r="J172" t="str">
        <v>15:39:16</v>
      </c>
      <c r="K172">
        <v>-12.317825</v>
      </c>
      <c r="L172">
        <v>-76.824295</v>
      </c>
      <c r="M172">
        <f>HYPERLINK("https://www.google.com/maps/search/?api=1&amp;query=-12.317825,-76.824295","Punta Hermosa, Lima")</f>
      </c>
      <c r="N172">
        <v>0</v>
      </c>
      <c r="O172">
        <v>100</v>
      </c>
      <c r="P172">
        <v>556127.9</v>
      </c>
      <c r="Q172" t="str">
        <v>1,418.42</v>
      </c>
      <c r="R172" t="str">
        <v>Vehículo apagado</v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F6V-792</v>
      </c>
      <c r="D173" t="str">
        <v>F6V-792</v>
      </c>
      <c r="E173" t="str">
        <v/>
      </c>
      <c r="F173" t="str">
        <v>867162026042390</v>
      </c>
      <c r="G173" t="str">
        <v>Minivan</v>
      </c>
      <c r="H173" t="str">
        <v/>
      </c>
      <c r="I173" t="str">
        <v>28/09/2026</v>
      </c>
      <c r="J173" t="str">
        <v>15:39:20</v>
      </c>
      <c r="K173">
        <v>-12.317825</v>
      </c>
      <c r="L173">
        <v>-76.824295</v>
      </c>
      <c r="M173">
        <f>HYPERLINK("https://www.google.com/maps/search/?api=1&amp;query=-12.317825,-76.824295","Punta Hermosa, Lima")</f>
      </c>
      <c r="N173">
        <v>0</v>
      </c>
      <c r="O173">
        <v>100</v>
      </c>
      <c r="P173">
        <v>556127.9</v>
      </c>
      <c r="Q173" t="str">
        <v>1,418.42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F6V-792</v>
      </c>
      <c r="D174" t="str">
        <v>F6V-792</v>
      </c>
      <c r="E174" t="str">
        <v/>
      </c>
      <c r="F174" t="str">
        <v>867162026042390</v>
      </c>
      <c r="G174" t="str">
        <v>Minivan</v>
      </c>
      <c r="H174" t="str">
        <v/>
      </c>
      <c r="I174" t="str">
        <v>28/09/2026</v>
      </c>
      <c r="J174" t="str">
        <v>15:59:38</v>
      </c>
      <c r="K174">
        <v>-12.317825</v>
      </c>
      <c r="L174">
        <v>-76.824295</v>
      </c>
      <c r="M174">
        <f>HYPERLINK("https://www.google.com/maps/search/?api=1&amp;query=-12.317825,-76.824295","Punta Hermosa, Lima")</f>
      </c>
      <c r="N174">
        <v>0</v>
      </c>
      <c r="O174">
        <v>100</v>
      </c>
      <c r="P174">
        <v>556127.9</v>
      </c>
      <c r="Q174" t="str">
        <v>1,418.42</v>
      </c>
      <c r="R174" t="str">
        <v>Vehículo encendido</v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F6V-792</v>
      </c>
      <c r="D175" t="str">
        <v>F6V-792</v>
      </c>
      <c r="E175" t="str">
        <v/>
      </c>
      <c r="F175" t="str">
        <v>867162026042390</v>
      </c>
      <c r="G175" t="str">
        <v>Minivan</v>
      </c>
      <c r="H175" t="str">
        <v/>
      </c>
      <c r="I175" t="str">
        <v>28/09/2026</v>
      </c>
      <c r="J175" t="str">
        <v>15:59:46</v>
      </c>
      <c r="K175">
        <v>-12.317728</v>
      </c>
      <c r="L175">
        <v>-76.82423</v>
      </c>
      <c r="M175">
        <f>HYPERLINK("https://www.google.com/maps/search/?api=1&amp;query=-12.317728,-76.82423","Punta Hermosa, Lima")</f>
      </c>
      <c r="N175">
        <v>1.5</v>
      </c>
      <c r="O175">
        <v>100</v>
      </c>
      <c r="P175">
        <v>556127.9</v>
      </c>
      <c r="Q175" t="str">
        <v>1,418.42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F6V-792</v>
      </c>
      <c r="D176" t="str">
        <v>F6V-792</v>
      </c>
      <c r="E176" t="str">
        <v/>
      </c>
      <c r="F176" t="str">
        <v>867162026042390</v>
      </c>
      <c r="G176" t="str">
        <v>Minivan</v>
      </c>
      <c r="H176" t="str">
        <v/>
      </c>
      <c r="I176" t="str">
        <v>28/09/2026</v>
      </c>
      <c r="J176" t="str">
        <v>16:00:45</v>
      </c>
      <c r="K176">
        <v>-12.317759</v>
      </c>
      <c r="L176">
        <v>-76.82425</v>
      </c>
      <c r="M176">
        <f>HYPERLINK("https://www.google.com/maps/search/?api=1&amp;query=-12.317759,-76.82425","Punta Hermosa, Lima")</f>
      </c>
      <c r="N176">
        <v>0</v>
      </c>
      <c r="O176">
        <v>100</v>
      </c>
      <c r="P176">
        <v>556127.9</v>
      </c>
      <c r="Q176" t="str">
        <v>1,418.42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F6V-792</v>
      </c>
      <c r="D177" t="str">
        <v>F6V-792</v>
      </c>
      <c r="E177" t="str">
        <v/>
      </c>
      <c r="F177" t="str">
        <v>867162026042390</v>
      </c>
      <c r="G177" t="str">
        <v>Minivan</v>
      </c>
      <c r="H177" t="str">
        <v/>
      </c>
      <c r="I177" t="str">
        <v>28/09/2026</v>
      </c>
      <c r="J177" t="str">
        <v>16:01:45</v>
      </c>
      <c r="K177">
        <v>-12.317759</v>
      </c>
      <c r="L177">
        <v>-76.82425</v>
      </c>
      <c r="M177">
        <f>HYPERLINK("https://www.google.com/maps/search/?api=1&amp;query=-12.317759,-76.82425","Punta Hermosa, Lima")</f>
      </c>
      <c r="N177">
        <v>0</v>
      </c>
      <c r="O177">
        <v>100</v>
      </c>
      <c r="P177">
        <v>556127.9</v>
      </c>
      <c r="Q177" t="str">
        <v>1,418.42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F6V-792</v>
      </c>
      <c r="D178" t="str">
        <v>F6V-792</v>
      </c>
      <c r="E178" t="str">
        <v/>
      </c>
      <c r="F178" t="str">
        <v>867162026042390</v>
      </c>
      <c r="G178" t="str">
        <v>Minivan</v>
      </c>
      <c r="H178" t="str">
        <v/>
      </c>
      <c r="I178" t="str">
        <v>28/09/2026</v>
      </c>
      <c r="J178" t="str">
        <v>16:02:45</v>
      </c>
      <c r="K178">
        <v>-12.317759</v>
      </c>
      <c r="L178">
        <v>-76.82425</v>
      </c>
      <c r="M178">
        <f>HYPERLINK("https://www.google.com/maps/search/?api=1&amp;query=-12.317759,-76.82425","Punta Hermosa, Lima")</f>
      </c>
      <c r="N178">
        <v>0</v>
      </c>
      <c r="O178">
        <v>100</v>
      </c>
      <c r="P178">
        <v>556127.9</v>
      </c>
      <c r="Q178" t="str">
        <v>1,418.42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F6V-792</v>
      </c>
      <c r="D179" t="str">
        <v>F6V-792</v>
      </c>
      <c r="E179" t="str">
        <v/>
      </c>
      <c r="F179" t="str">
        <v>867162026042390</v>
      </c>
      <c r="G179" t="str">
        <v>Minivan</v>
      </c>
      <c r="H179" t="str">
        <v/>
      </c>
      <c r="I179" t="str">
        <v>28/09/2026</v>
      </c>
      <c r="J179" t="str">
        <v>16:03:28</v>
      </c>
      <c r="K179">
        <v>-12.317751</v>
      </c>
      <c r="L179">
        <v>-76.824394</v>
      </c>
      <c r="M179">
        <f>HYPERLINK("https://www.google.com/maps/search/?api=1&amp;query=-12.317751,-76.824394","Punta Hermosa, Lima")</f>
      </c>
      <c r="N179">
        <v>7.5</v>
      </c>
      <c r="O179">
        <v>100</v>
      </c>
      <c r="P179">
        <v>556127.9</v>
      </c>
      <c r="Q179" t="str">
        <v>1,418.42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F6V-792</v>
      </c>
      <c r="D180" t="str">
        <v>F6V-792</v>
      </c>
      <c r="E180" t="str">
        <v/>
      </c>
      <c r="F180" t="str">
        <v>867162026042390</v>
      </c>
      <c r="G180" t="str">
        <v>Minivan</v>
      </c>
      <c r="H180" t="str">
        <v/>
      </c>
      <c r="I180" t="str">
        <v>28/09/2026</v>
      </c>
      <c r="J180" t="str">
        <v>16:03:45</v>
      </c>
      <c r="K180">
        <v>-12.317608</v>
      </c>
      <c r="L180">
        <v>-76.8245</v>
      </c>
      <c r="M180">
        <f>HYPERLINK("https://www.google.com/maps/search/?api=1&amp;query=-12.317608,-76.8245","Punta Hermosa, Lima")</f>
      </c>
      <c r="N180">
        <v>8.4</v>
      </c>
      <c r="O180">
        <v>100</v>
      </c>
      <c r="P180">
        <v>556128</v>
      </c>
      <c r="Q180" t="str">
        <v>1,418.42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F6V-792</v>
      </c>
      <c r="D181" t="str">
        <v>F6V-792</v>
      </c>
      <c r="E181" t="str">
        <v/>
      </c>
      <c r="F181" t="str">
        <v>867162026042390</v>
      </c>
      <c r="G181" t="str">
        <v>Minivan</v>
      </c>
      <c r="H181" t="str">
        <v/>
      </c>
      <c r="I181" t="str">
        <v>28/09/2026</v>
      </c>
      <c r="J181" t="str">
        <v>16:04:45</v>
      </c>
      <c r="K181">
        <v>-12.315784</v>
      </c>
      <c r="L181">
        <v>-76.82562</v>
      </c>
      <c r="M181">
        <f>HYPERLINK("https://www.google.com/maps/search/?api=1&amp;query=-12.315784,-76.82562","Punta Hermosa, Lima")</f>
      </c>
      <c r="N181">
        <v>14.4</v>
      </c>
      <c r="O181">
        <v>100</v>
      </c>
      <c r="P181">
        <v>556128.19</v>
      </c>
      <c r="Q181" t="str">
        <v>1,418.42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F6V-792</v>
      </c>
      <c r="D182" t="str">
        <v>F6V-792</v>
      </c>
      <c r="E182" t="str">
        <v/>
      </c>
      <c r="F182" t="str">
        <v>867162026042390</v>
      </c>
      <c r="G182" t="str">
        <v>Minivan</v>
      </c>
      <c r="H182" t="str">
        <v/>
      </c>
      <c r="I182" t="str">
        <v>28/09/2026</v>
      </c>
      <c r="J182" t="str">
        <v>16:04:58</v>
      </c>
      <c r="K182">
        <v>-12.315328</v>
      </c>
      <c r="L182">
        <v>-76.826065</v>
      </c>
      <c r="M182">
        <f>HYPERLINK("https://www.google.com/maps/search/?api=1&amp;query=-12.315328,-76.826065","Punta Hermosa, Lima")</f>
      </c>
      <c r="N182">
        <v>11.6</v>
      </c>
      <c r="O182">
        <v>100</v>
      </c>
      <c r="P182">
        <v>556128.3</v>
      </c>
      <c r="Q182" t="str">
        <v>1,418.42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F6V-792</v>
      </c>
      <c r="D183" t="str">
        <v>F6V-792</v>
      </c>
      <c r="E183" t="str">
        <v/>
      </c>
      <c r="F183" t="str">
        <v>867162026042390</v>
      </c>
      <c r="G183" t="str">
        <v>Minivan</v>
      </c>
      <c r="H183" t="str">
        <v/>
      </c>
      <c r="I183" t="str">
        <v>28/09/2026</v>
      </c>
      <c r="J183" t="str">
        <v>16:05:45</v>
      </c>
      <c r="K183">
        <v>-12.316059</v>
      </c>
      <c r="L183">
        <v>-76.82732</v>
      </c>
      <c r="M183">
        <f>HYPERLINK("https://www.google.com/maps/search/?api=1&amp;query=-12.316059,-76.82732","Punta Hermosa, Lima")</f>
      </c>
      <c r="N183">
        <v>16.8</v>
      </c>
      <c r="O183">
        <v>100</v>
      </c>
      <c r="P183">
        <v>556128.4</v>
      </c>
      <c r="Q183" t="str">
        <v>1,418.42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F6V-792</v>
      </c>
      <c r="D184" t="str">
        <v>F6V-792</v>
      </c>
      <c r="E184" t="str">
        <v/>
      </c>
      <c r="F184" t="str">
        <v>867162026042390</v>
      </c>
      <c r="G184" t="str">
        <v>Minivan</v>
      </c>
      <c r="H184" t="str">
        <v/>
      </c>
      <c r="I184" t="str">
        <v>28/09/2026</v>
      </c>
      <c r="J184" t="str">
        <v>16:06:45</v>
      </c>
      <c r="K184">
        <v>-12.317052</v>
      </c>
      <c r="L184">
        <v>-76.82899</v>
      </c>
      <c r="M184">
        <f>HYPERLINK("https://www.google.com/maps/search/?api=1&amp;query=-12.317052,-76.82899","Punta Hermosa, Lima")</f>
      </c>
      <c r="N184">
        <v>0.3</v>
      </c>
      <c r="O184">
        <v>100</v>
      </c>
      <c r="P184">
        <v>556128.6</v>
      </c>
      <c r="Q184" t="str">
        <v>1,418.42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F6V-792</v>
      </c>
      <c r="D185" t="str">
        <v>F6V-792</v>
      </c>
      <c r="E185" t="str">
        <v/>
      </c>
      <c r="F185" t="str">
        <v>867162026042390</v>
      </c>
      <c r="G185" t="str">
        <v>Minivan</v>
      </c>
      <c r="H185" t="str">
        <v/>
      </c>
      <c r="I185" t="str">
        <v>28/09/2026</v>
      </c>
      <c r="J185" t="str">
        <v>16:07:45</v>
      </c>
      <c r="K185">
        <v>-12.317326</v>
      </c>
      <c r="L185">
        <v>-76.82929</v>
      </c>
      <c r="M185">
        <f>HYPERLINK("https://www.google.com/maps/search/?api=1&amp;query=-12.317326,-76.82929","Punta Hermosa, Lima")</f>
      </c>
      <c r="N185">
        <v>0</v>
      </c>
      <c r="O185">
        <v>100</v>
      </c>
      <c r="P185">
        <v>556128.69</v>
      </c>
      <c r="Q185" t="str">
        <v>1,418.42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F6V-792</v>
      </c>
      <c r="D186" t="str">
        <v>F6V-792</v>
      </c>
      <c r="E186" t="str">
        <v/>
      </c>
      <c r="F186" t="str">
        <v>867162026042390</v>
      </c>
      <c r="G186" t="str">
        <v>Minivan</v>
      </c>
      <c r="H186" t="str">
        <v/>
      </c>
      <c r="I186" t="str">
        <v>28/09/2026</v>
      </c>
      <c r="J186" t="str">
        <v>16:08:31</v>
      </c>
      <c r="K186">
        <v>-12.317529</v>
      </c>
      <c r="L186">
        <v>-76.83004</v>
      </c>
      <c r="M186">
        <f>HYPERLINK("https://www.google.com/maps/search/?api=1&amp;query=-12.317529,-76.83004","Punta Hermosa, Lima")</f>
      </c>
      <c r="N186">
        <v>20.2</v>
      </c>
      <c r="O186">
        <v>100</v>
      </c>
      <c r="P186">
        <v>556128.69</v>
      </c>
      <c r="Q186" t="str">
        <v>1,418.43</v>
      </c>
      <c r="R186" t="str">
        <v>Salió de zona</v>
      </c>
      <c r="S186" t="str">
        <v>MASS BSF 1</v>
      </c>
      <c r="T186" t="str">
        <v xml:space="preserve"> </v>
      </c>
      <c r="U186" t="str">
        <v/>
      </c>
    </row>
    <row r="187">
      <c r="A187" t="str">
        <v>186</v>
      </c>
      <c r="B187" t="str">
        <v>MASS BSF</v>
      </c>
      <c r="C187" t="str">
        <v>F6V-792</v>
      </c>
      <c r="D187" t="str">
        <v>F6V-792</v>
      </c>
      <c r="E187" t="str">
        <v/>
      </c>
      <c r="F187" t="str">
        <v>867162026042390</v>
      </c>
      <c r="G187" t="str">
        <v>Minivan</v>
      </c>
      <c r="H187" t="str">
        <v/>
      </c>
      <c r="I187" t="str">
        <v>28/09/2026</v>
      </c>
      <c r="J187" t="str">
        <v>16:08:31</v>
      </c>
      <c r="K187">
        <v>-12.317529</v>
      </c>
      <c r="L187">
        <v>-76.83004</v>
      </c>
      <c r="M187">
        <f>HYPERLINK("https://www.google.com/maps/search/?api=1&amp;query=-12.317529,-76.83004","Punta Hermosa, Lima")</f>
      </c>
      <c r="N187">
        <v>20.2</v>
      </c>
      <c r="O187">
        <v>100</v>
      </c>
      <c r="P187">
        <v>556128.8</v>
      </c>
      <c r="Q187" t="str">
        <v>1,418.42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F6V-792</v>
      </c>
      <c r="D188" t="str">
        <v>F6V-792</v>
      </c>
      <c r="E188" t="str">
        <v/>
      </c>
      <c r="F188" t="str">
        <v>867162026042390</v>
      </c>
      <c r="G188" t="str">
        <v>Minivan</v>
      </c>
      <c r="H188" t="str">
        <v/>
      </c>
      <c r="I188" t="str">
        <v>28/09/2026</v>
      </c>
      <c r="J188" t="str">
        <v>16:08:45</v>
      </c>
      <c r="K188">
        <v>-12.317365</v>
      </c>
      <c r="L188">
        <v>-76.83034</v>
      </c>
      <c r="M188">
        <f>HYPERLINK("https://www.google.com/maps/search/?api=1&amp;query=-12.317365,-76.83034","Carretera Panamericana Sur, Punta Hermosa, Lima")</f>
      </c>
      <c r="N188">
        <v>23.8</v>
      </c>
      <c r="O188">
        <v>100</v>
      </c>
      <c r="P188">
        <v>556128.9</v>
      </c>
      <c r="Q188" t="str">
        <v>1,418.42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F6V-792</v>
      </c>
      <c r="D189" t="str">
        <v>F6V-792</v>
      </c>
      <c r="E189" t="str">
        <v/>
      </c>
      <c r="F189" t="str">
        <v>867162026042390</v>
      </c>
      <c r="G189" t="str">
        <v>Minivan</v>
      </c>
      <c r="H189" t="str">
        <v/>
      </c>
      <c r="I189" t="str">
        <v>28/09/2026</v>
      </c>
      <c r="J189" t="str">
        <v>16:08:51</v>
      </c>
      <c r="K189">
        <v>-12.316626</v>
      </c>
      <c r="L189">
        <v>-76.83102</v>
      </c>
      <c r="M189">
        <f>HYPERLINK("https://www.google.com/maps/search/?api=1&amp;query=-12.316626,-76.83102","Carretera Panamericana Sur, Punta Hermosa, Lima")</f>
      </c>
      <c r="N189">
        <v>28.7</v>
      </c>
      <c r="O189">
        <v>100</v>
      </c>
      <c r="P189">
        <v>556128.9</v>
      </c>
      <c r="Q189" t="str">
        <v>1,418.43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F6V-792</v>
      </c>
      <c r="D190" t="str">
        <v>F6V-792</v>
      </c>
      <c r="E190" t="str">
        <v/>
      </c>
      <c r="F190" t="str">
        <v>867162026042390</v>
      </c>
      <c r="G190" t="str">
        <v>Minivan</v>
      </c>
      <c r="H190" t="str">
        <v/>
      </c>
      <c r="I190" t="str">
        <v>28/09/2026</v>
      </c>
      <c r="J190" t="str">
        <v>16:09:45</v>
      </c>
      <c r="K190">
        <v>-12.311744</v>
      </c>
      <c r="L190">
        <v>-76.834305</v>
      </c>
      <c r="M190">
        <f>HYPERLINK("https://www.google.com/maps/search/?api=1&amp;query=-12.311744,-76.834305","Carretera Panamericana Sur, Punta Hermosa, Lima")</f>
      </c>
      <c r="N190">
        <v>64.8</v>
      </c>
      <c r="O190">
        <v>100</v>
      </c>
      <c r="P190">
        <v>556129.69</v>
      </c>
      <c r="Q190" t="str">
        <v>1,418.43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F6V-792</v>
      </c>
      <c r="D191" t="str">
        <v>F6V-792</v>
      </c>
      <c r="E191" t="str">
        <v/>
      </c>
      <c r="F191" t="str">
        <v>867162026042390</v>
      </c>
      <c r="G191" t="str">
        <v>Minivan</v>
      </c>
      <c r="H191" t="str">
        <v/>
      </c>
      <c r="I191" t="str">
        <v>28/09/2026</v>
      </c>
      <c r="J191" t="str">
        <v>16:10:45</v>
      </c>
      <c r="K191">
        <v>-12.304321</v>
      </c>
      <c r="L191">
        <v>-76.84042</v>
      </c>
      <c r="M191">
        <f>HYPERLINK("https://www.google.com/maps/search/?api=1&amp;query=-12.304321,-76.84042","Carretera Panamericana Sur, Lurín, Lima")</f>
      </c>
      <c r="N191">
        <v>66.1</v>
      </c>
      <c r="O191">
        <v>100</v>
      </c>
      <c r="P191">
        <v>556130.8</v>
      </c>
      <c r="Q191" t="str">
        <v>1,418.43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F6V-792</v>
      </c>
      <c r="D192" t="str">
        <v>F6V-792</v>
      </c>
      <c r="E192" t="str">
        <v/>
      </c>
      <c r="F192" t="str">
        <v>867162026042390</v>
      </c>
      <c r="G192" t="str">
        <v>Minivan</v>
      </c>
      <c r="H192" t="str">
        <v/>
      </c>
      <c r="I192" t="str">
        <v>28/09/2026</v>
      </c>
      <c r="J192" t="str">
        <v>16:11:45</v>
      </c>
      <c r="K192">
        <v>-12.29978</v>
      </c>
      <c r="L192">
        <v>-76.8494</v>
      </c>
      <c r="M192">
        <f>HYPERLINK("https://www.google.com/maps/search/?api=1&amp;query=-12.29978,-76.8494","Carretera Panamericana Sur, Lurín, Lima")</f>
      </c>
      <c r="N192">
        <v>63.1</v>
      </c>
      <c r="O192">
        <v>100</v>
      </c>
      <c r="P192">
        <v>556131.9</v>
      </c>
      <c r="Q192" t="str">
        <v>1,418.43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F6V-792</v>
      </c>
      <c r="D193" t="str">
        <v>F6V-792</v>
      </c>
      <c r="E193" t="str">
        <v/>
      </c>
      <c r="F193" t="str">
        <v>867162026042390</v>
      </c>
      <c r="G193" t="str">
        <v>Minivan</v>
      </c>
      <c r="H193" t="str">
        <v/>
      </c>
      <c r="I193" t="str">
        <v>28/09/2026</v>
      </c>
      <c r="J193" t="str">
        <v>16:12:45</v>
      </c>
      <c r="K193">
        <v>-12.295612</v>
      </c>
      <c r="L193">
        <v>-76.85853</v>
      </c>
      <c r="M193">
        <f>HYPERLINK("https://www.google.com/maps/search/?api=1&amp;query=-12.295612,-76.85853","Carretera Panamericana Sur, Lurín, Lima")</f>
      </c>
      <c r="N193">
        <v>62.2</v>
      </c>
      <c r="O193">
        <v>100</v>
      </c>
      <c r="P193">
        <v>556132.9</v>
      </c>
      <c r="Q193" t="str">
        <v>1,418.43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F6V-792</v>
      </c>
      <c r="D194" t="str">
        <v>F6V-792</v>
      </c>
      <c r="E194" t="str">
        <v/>
      </c>
      <c r="F194" t="str">
        <v>867162026042390</v>
      </c>
      <c r="G194" t="str">
        <v>Minivan</v>
      </c>
      <c r="H194" t="str">
        <v/>
      </c>
      <c r="I194" t="str">
        <v>28/09/2026</v>
      </c>
      <c r="J194" t="str">
        <v>16:13:45</v>
      </c>
      <c r="K194">
        <v>-12.291076</v>
      </c>
      <c r="L194">
        <v>-76.86575</v>
      </c>
      <c r="M194">
        <f>HYPERLINK("https://www.google.com/maps/search/?api=1&amp;query=-12.291076,-76.86575","Carretera Panamericana Sur, Lurín, Lima")</f>
      </c>
      <c r="N194">
        <v>59.8</v>
      </c>
      <c r="O194">
        <v>100</v>
      </c>
      <c r="P194">
        <v>556133.9</v>
      </c>
      <c r="Q194" t="str">
        <v>1,418.43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F6V-792</v>
      </c>
      <c r="D195" t="str">
        <v>F6V-792</v>
      </c>
      <c r="E195" t="str">
        <v/>
      </c>
      <c r="F195" t="str">
        <v>867162026042390</v>
      </c>
      <c r="G195" t="str">
        <v>Minivan</v>
      </c>
      <c r="H195" t="str">
        <v/>
      </c>
      <c r="I195" t="str">
        <v>28/09/2026</v>
      </c>
      <c r="J195" t="str">
        <v>16:14:45</v>
      </c>
      <c r="K195">
        <v>-12.285577</v>
      </c>
      <c r="L195">
        <v>-76.874596</v>
      </c>
      <c r="M195">
        <f>HYPERLINK("https://www.google.com/maps/search/?api=1&amp;query=-12.285577,-76.874596","Carretera Panamericana Sur, Lurín, Lima")</f>
      </c>
      <c r="N195">
        <v>75.9</v>
      </c>
      <c r="O195">
        <v>100</v>
      </c>
      <c r="P195">
        <v>556135</v>
      </c>
      <c r="Q195" t="str">
        <v>1,418.43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F6V-792</v>
      </c>
      <c r="D196" t="str">
        <v>F6V-792</v>
      </c>
      <c r="E196" t="str">
        <v/>
      </c>
      <c r="F196" t="str">
        <v>867162026042390</v>
      </c>
      <c r="G196" t="str">
        <v>Minivan</v>
      </c>
      <c r="H196" t="str">
        <v/>
      </c>
      <c r="I196" t="str">
        <v>28/09/2026</v>
      </c>
      <c r="J196" t="str">
        <v>16:15:45</v>
      </c>
      <c r="K196">
        <v>-12.280116</v>
      </c>
      <c r="L196">
        <v>-76.8833</v>
      </c>
      <c r="M196">
        <f>HYPERLINK("https://www.google.com/maps/search/?api=1&amp;query=-12.280116,-76.8833","Carretera Panamericana Sur, Lurín, Lima")</f>
      </c>
      <c r="N196">
        <v>65.7</v>
      </c>
      <c r="O196">
        <v>100</v>
      </c>
      <c r="P196">
        <v>556136.19</v>
      </c>
      <c r="Q196" t="str">
        <v>1,418.43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F6V-792</v>
      </c>
      <c r="D197" t="str">
        <v>F6V-792</v>
      </c>
      <c r="E197" t="str">
        <v/>
      </c>
      <c r="F197" t="str">
        <v>867162026042390</v>
      </c>
      <c r="G197" t="str">
        <v>Minivan</v>
      </c>
      <c r="H197" t="str">
        <v/>
      </c>
      <c r="I197" t="str">
        <v>28/09/2026</v>
      </c>
      <c r="J197" t="str">
        <v>16:16:45</v>
      </c>
      <c r="K197">
        <v>-12.27494</v>
      </c>
      <c r="L197">
        <v>-76.8915</v>
      </c>
      <c r="M197">
        <f>HYPERLINK("https://www.google.com/maps/search/?api=1&amp;query=-12.27494,-76.8915","Carretera Panamericana Sur, Lurín, Lima")</f>
      </c>
      <c r="N197">
        <v>51.8</v>
      </c>
      <c r="O197">
        <v>100</v>
      </c>
      <c r="P197">
        <v>556137.19</v>
      </c>
      <c r="Q197" t="str">
        <v>1,418.43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F6V-792</v>
      </c>
      <c r="D198" t="str">
        <v>F6V-792</v>
      </c>
      <c r="E198" t="str">
        <v/>
      </c>
      <c r="F198" t="str">
        <v>867162026042390</v>
      </c>
      <c r="G198" t="str">
        <v>Minivan</v>
      </c>
      <c r="H198" t="str">
        <v/>
      </c>
      <c r="I198" t="str">
        <v>28/09/2026</v>
      </c>
      <c r="J198" t="str">
        <v>16:17:45</v>
      </c>
      <c r="K198">
        <v>-12.270028</v>
      </c>
      <c r="L198">
        <v>-76.89936</v>
      </c>
      <c r="M198">
        <f>HYPERLINK("https://www.google.com/maps/search/?api=1&amp;query=-12.270028,-76.89936","Carretera Panamericana Sur, Lurín, Lima")</f>
      </c>
      <c r="N198">
        <v>63.5</v>
      </c>
      <c r="O198">
        <v>100</v>
      </c>
      <c r="P198">
        <v>556138.19</v>
      </c>
      <c r="Q198" t="str">
        <v>1,418.43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F6V-792</v>
      </c>
      <c r="D199" t="str">
        <v>F6V-792</v>
      </c>
      <c r="E199" t="str">
        <v/>
      </c>
      <c r="F199" t="str">
        <v>867162026042390</v>
      </c>
      <c r="G199" t="str">
        <v>Minivan</v>
      </c>
      <c r="H199" t="str">
        <v/>
      </c>
      <c r="I199" t="str">
        <v>28/09/2026</v>
      </c>
      <c r="J199" t="str">
        <v>16:18:45</v>
      </c>
      <c r="K199">
        <v>-12.264787</v>
      </c>
      <c r="L199">
        <v>-76.90763</v>
      </c>
      <c r="M199">
        <f>HYPERLINK("https://www.google.com/maps/search/?api=1&amp;query=-12.264787,-76.90763","Carretera Panamericana Sur, Lurín, Lima")</f>
      </c>
      <c r="N199">
        <v>68.8</v>
      </c>
      <c r="O199">
        <v>100</v>
      </c>
      <c r="P199">
        <v>556139.3</v>
      </c>
      <c r="Q199" t="str">
        <v>1,418.43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F6V-792</v>
      </c>
      <c r="D200" t="str">
        <v>F6V-792</v>
      </c>
      <c r="E200" t="str">
        <v/>
      </c>
      <c r="F200" t="str">
        <v>867162026042390</v>
      </c>
      <c r="G200" t="str">
        <v>Minivan</v>
      </c>
      <c r="H200" t="str">
        <v/>
      </c>
      <c r="I200" t="str">
        <v>28/09/2026</v>
      </c>
      <c r="J200" t="str">
        <v>16:19:45</v>
      </c>
      <c r="K200">
        <v>-12.259303</v>
      </c>
      <c r="L200">
        <v>-76.91637</v>
      </c>
      <c r="M200">
        <f>HYPERLINK("https://www.google.com/maps/search/?api=1&amp;query=-12.259303,-76.91637","Carretera Panamericana Sur, Lurín, Lima")</f>
      </c>
      <c r="N200">
        <v>63.4</v>
      </c>
      <c r="O200">
        <v>100</v>
      </c>
      <c r="P200">
        <v>556140.4</v>
      </c>
      <c r="Q200" t="str">
        <v>1,418.43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F6V-792</v>
      </c>
      <c r="D201" t="str">
        <v>F6V-792</v>
      </c>
      <c r="E201" t="str">
        <v/>
      </c>
      <c r="F201" t="str">
        <v>867162026042390</v>
      </c>
      <c r="G201" t="str">
        <v>Minivan</v>
      </c>
      <c r="H201" t="str">
        <v/>
      </c>
      <c r="I201" t="str">
        <v>28/09/2026</v>
      </c>
      <c r="J201" t="str">
        <v>16:20:19</v>
      </c>
      <c r="K201">
        <v>-12.255415</v>
      </c>
      <c r="L201">
        <v>-76.92092</v>
      </c>
      <c r="M201">
        <f>HYPERLINK("https://www.google.com/maps/search/?api=1&amp;query=-12.255415,-76.92092","Lurín, Lima")</f>
      </c>
      <c r="N201">
        <v>37.8</v>
      </c>
      <c r="O201">
        <v>100</v>
      </c>
      <c r="P201">
        <v>556141</v>
      </c>
      <c r="Q201" t="str">
        <v>1,418.43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F6V-792</v>
      </c>
      <c r="D202" t="str">
        <v>F6V-792</v>
      </c>
      <c r="E202" t="str">
        <v/>
      </c>
      <c r="F202" t="str">
        <v>867162026042390</v>
      </c>
      <c r="G202" t="str">
        <v>Minivan</v>
      </c>
      <c r="H202" t="str">
        <v/>
      </c>
      <c r="I202" t="str">
        <v>28/09/2026</v>
      </c>
      <c r="J202" t="str">
        <v>16:20:31</v>
      </c>
      <c r="K202">
        <v>-12.254514</v>
      </c>
      <c r="L202">
        <v>-76.92037</v>
      </c>
      <c r="M202">
        <f>HYPERLINK("https://www.google.com/maps/search/?api=1&amp;query=-12.254514,-76.92037","Lurín, Lima")</f>
      </c>
      <c r="N202">
        <v>25.2</v>
      </c>
      <c r="O202">
        <v>100</v>
      </c>
      <c r="P202">
        <v>556141.1</v>
      </c>
      <c r="Q202" t="str">
        <v>1,418.43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F6V-792</v>
      </c>
      <c r="D203" t="str">
        <v>F6V-792</v>
      </c>
      <c r="E203" t="str">
        <v/>
      </c>
      <c r="F203" t="str">
        <v>867162026042390</v>
      </c>
      <c r="G203" t="str">
        <v>Minivan</v>
      </c>
      <c r="H203" t="str">
        <v/>
      </c>
      <c r="I203" t="str">
        <v>28/09/2026</v>
      </c>
      <c r="J203" t="str">
        <v>16:20:40</v>
      </c>
      <c r="K203">
        <v>-12.254305</v>
      </c>
      <c r="L203">
        <v>-76.92026</v>
      </c>
      <c r="M203">
        <f>HYPERLINK("https://www.google.com/maps/search/?api=1&amp;query=-12.254305,-76.92026","Antigua Panamericana Sur, Lurín, Lima")</f>
      </c>
      <c r="N203">
        <v>8.4</v>
      </c>
      <c r="O203">
        <v>100</v>
      </c>
      <c r="P203">
        <v>556141.1</v>
      </c>
      <c r="Q203" t="str">
        <v>1,418.43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F6V-792</v>
      </c>
      <c r="D204" t="str">
        <v>F6V-792</v>
      </c>
      <c r="E204" t="str">
        <v/>
      </c>
      <c r="F204" t="str">
        <v>867162026042390</v>
      </c>
      <c r="G204" t="str">
        <v>Minivan</v>
      </c>
      <c r="H204" t="str">
        <v/>
      </c>
      <c r="I204" t="str">
        <v>28/09/2026</v>
      </c>
      <c r="J204" t="str">
        <v>16:20:40</v>
      </c>
      <c r="K204">
        <v>-12.254261</v>
      </c>
      <c r="L204">
        <v>-76.920265</v>
      </c>
      <c r="M204">
        <f>HYPERLINK("https://www.google.com/maps/search/?api=1&amp;query=-12.254261,-76.920265","Antigua Panamericana Sur, Lurín, Lima")</f>
      </c>
      <c r="N204">
        <v>3.8</v>
      </c>
      <c r="O204">
        <v>100</v>
      </c>
      <c r="P204">
        <v>556141.1</v>
      </c>
      <c r="Q204" t="str">
        <v>1,418.43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F6V-792</v>
      </c>
      <c r="D205" t="str">
        <v>F6V-792</v>
      </c>
      <c r="E205" t="str">
        <v/>
      </c>
      <c r="F205" t="str">
        <v>867162026042390</v>
      </c>
      <c r="G205" t="str">
        <v>Minivan</v>
      </c>
      <c r="H205" t="str">
        <v/>
      </c>
      <c r="I205" t="str">
        <v>28/09/2026</v>
      </c>
      <c r="J205" t="str">
        <v>16:20:49</v>
      </c>
      <c r="K205">
        <v>-12.254221</v>
      </c>
      <c r="L205">
        <v>-76.92036</v>
      </c>
      <c r="M205">
        <f>HYPERLINK("https://www.google.com/maps/search/?api=1&amp;query=-12.254221,-76.92036","Antigua Panamericana Sur, Lurín, Lima")</f>
      </c>
      <c r="N205">
        <v>13.7</v>
      </c>
      <c r="O205">
        <v>100</v>
      </c>
      <c r="P205">
        <v>556141.1</v>
      </c>
      <c r="Q205" t="str">
        <v>1,418.43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F6V-792</v>
      </c>
      <c r="D206" t="str">
        <v>F6V-792</v>
      </c>
      <c r="E206" t="str">
        <v/>
      </c>
      <c r="F206" t="str">
        <v>867162026042390</v>
      </c>
      <c r="G206" t="str">
        <v>Minivan</v>
      </c>
      <c r="H206" t="str">
        <v/>
      </c>
      <c r="I206" t="str">
        <v>28/09/2026</v>
      </c>
      <c r="J206" t="str">
        <v>16:21:35</v>
      </c>
      <c r="K206">
        <v>-12.254221</v>
      </c>
      <c r="L206">
        <v>-76.92036</v>
      </c>
      <c r="M206">
        <f>HYPERLINK("https://www.google.com/maps/search/?api=1&amp;query=-12.254221,-76.92036","Antigua Panamericana Sur, Lurín, Lima")</f>
      </c>
      <c r="N206">
        <v>13.7</v>
      </c>
      <c r="O206">
        <v>100</v>
      </c>
      <c r="P206">
        <v>556141.1</v>
      </c>
      <c r="Q206" t="str">
        <v>1,418.43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F6V-792</v>
      </c>
      <c r="D207" t="str">
        <v>F6V-792</v>
      </c>
      <c r="E207" t="str">
        <v/>
      </c>
      <c r="F207" t="str">
        <v>867162026042390</v>
      </c>
      <c r="G207" t="str">
        <v>Minivan</v>
      </c>
      <c r="H207" t="str">
        <v/>
      </c>
      <c r="I207" t="str">
        <v>28/09/2026</v>
      </c>
      <c r="J207" t="str">
        <v>16:22:35</v>
      </c>
      <c r="K207">
        <v>-12.253621</v>
      </c>
      <c r="L207">
        <v>-76.924484</v>
      </c>
      <c r="M207">
        <f>HYPERLINK("https://www.google.com/maps/search/?api=1&amp;query=-12.253621,-76.924484","Antigua Panamericana Sur, Lurín, Lima")</f>
      </c>
      <c r="N207">
        <v>40.9</v>
      </c>
      <c r="O207">
        <v>100</v>
      </c>
      <c r="P207">
        <v>556142.4</v>
      </c>
      <c r="Q207" t="str">
        <v>1,418.43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F6V-792</v>
      </c>
      <c r="D208" t="str">
        <v>F6V-792</v>
      </c>
      <c r="E208" t="str">
        <v/>
      </c>
      <c r="F208" t="str">
        <v>867162026042390</v>
      </c>
      <c r="G208" t="str">
        <v>Minivan</v>
      </c>
      <c r="H208" t="str">
        <v/>
      </c>
      <c r="I208" t="str">
        <v>28/09/2026</v>
      </c>
      <c r="J208" t="str">
        <v>16:23:35</v>
      </c>
      <c r="K208">
        <v>-12.25011</v>
      </c>
      <c r="L208">
        <v>-76.93046</v>
      </c>
      <c r="M208">
        <f>HYPERLINK("https://www.google.com/maps/search/?api=1&amp;query=-12.25011,-76.93046","Antigua Panamericana Sur, Villa El Salvador, Lima")</f>
      </c>
      <c r="N208">
        <v>28.2</v>
      </c>
      <c r="O208">
        <v>100</v>
      </c>
      <c r="P208">
        <v>556142.9</v>
      </c>
      <c r="Q208" t="str">
        <v>1,418.43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F6V-792</v>
      </c>
      <c r="D209" t="str">
        <v>F6V-792</v>
      </c>
      <c r="E209" t="str">
        <v/>
      </c>
      <c r="F209" t="str">
        <v>867162026042390</v>
      </c>
      <c r="G209" t="str">
        <v>Minivan</v>
      </c>
      <c r="H209" t="str">
        <v/>
      </c>
      <c r="I209" t="str">
        <v>28/09/2026</v>
      </c>
      <c r="J209" t="str">
        <v>16:24:35</v>
      </c>
      <c r="K209">
        <v>-12.246988</v>
      </c>
      <c r="L209">
        <v>-76.93459</v>
      </c>
      <c r="M209">
        <f>HYPERLINK("https://www.google.com/maps/search/?api=1&amp;query=-12.246988,-76.93459","Antigua Panamericana Sur, Villa El Salvador, Lima")</f>
      </c>
      <c r="N209">
        <v>49.7</v>
      </c>
      <c r="O209">
        <v>100</v>
      </c>
      <c r="P209">
        <v>556143.69</v>
      </c>
      <c r="Q209" t="str">
        <v>1,418.43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F6V-792</v>
      </c>
      <c r="D210" t="str">
        <v>F6V-792</v>
      </c>
      <c r="E210" t="str">
        <v/>
      </c>
      <c r="F210" t="str">
        <v>867162026042390</v>
      </c>
      <c r="G210" t="str">
        <v>Minivan</v>
      </c>
      <c r="H210" t="str">
        <v/>
      </c>
      <c r="I210" t="str">
        <v>28/09/2026</v>
      </c>
      <c r="J210" t="str">
        <v>16:25:35</v>
      </c>
      <c r="K210">
        <v>-12.243829</v>
      </c>
      <c r="L210">
        <v>-76.94067</v>
      </c>
      <c r="M210">
        <f>HYPERLINK("https://www.google.com/maps/search/?api=1&amp;query=-12.243829,-76.94067","Antigua Panamericana Sur, Villa El Salvador, Lima")</f>
      </c>
      <c r="N210">
        <v>57.4</v>
      </c>
      <c r="O210">
        <v>100</v>
      </c>
      <c r="P210">
        <v>556144.19</v>
      </c>
      <c r="Q210" t="str">
        <v>1,418.43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F6V-792</v>
      </c>
      <c r="D211" t="str">
        <v>F6V-792</v>
      </c>
      <c r="E211" t="str">
        <v/>
      </c>
      <c r="F211" t="str">
        <v>867162026042390</v>
      </c>
      <c r="G211" t="str">
        <v>Minivan</v>
      </c>
      <c r="H211" t="str">
        <v/>
      </c>
      <c r="I211" t="str">
        <v>28/09/2026</v>
      </c>
      <c r="J211" t="str">
        <v>16:26:35</v>
      </c>
      <c r="K211">
        <v>-12.241512</v>
      </c>
      <c r="L211">
        <v>-76.94508</v>
      </c>
      <c r="M211">
        <f>HYPERLINK("https://www.google.com/maps/search/?api=1&amp;query=-12.241512,-76.94508","Antigua Panamericana Sur, Villa El Salvador, Lima")</f>
      </c>
      <c r="N211">
        <v>41.5</v>
      </c>
      <c r="O211">
        <v>100</v>
      </c>
      <c r="P211">
        <v>556145</v>
      </c>
      <c r="Q211" t="str">
        <v>1,418.43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F6V-792</v>
      </c>
      <c r="D212" t="str">
        <v>F6V-792</v>
      </c>
      <c r="E212" t="str">
        <v/>
      </c>
      <c r="F212" t="str">
        <v>867162026042390</v>
      </c>
      <c r="G212" t="str">
        <v>Minivan</v>
      </c>
      <c r="H212" t="str">
        <v/>
      </c>
      <c r="I212" t="str">
        <v>28/09/2026</v>
      </c>
      <c r="J212" t="str">
        <v>16:27:35</v>
      </c>
      <c r="K212">
        <v>-12.238053</v>
      </c>
      <c r="L212">
        <v>-76.951935</v>
      </c>
      <c r="M212">
        <f>HYPERLINK("https://www.google.com/maps/search/?api=1&amp;query=-12.238053,-76.951935","Antigua Panamericana Sur, Villa El Salvador, Lima")</f>
      </c>
      <c r="N212">
        <v>55.7</v>
      </c>
      <c r="O212">
        <v>100</v>
      </c>
      <c r="P212">
        <v>556145.69</v>
      </c>
      <c r="Q212" t="str">
        <v>1,418.43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F6V-792</v>
      </c>
      <c r="D213" t="str">
        <v>F6V-792</v>
      </c>
      <c r="E213" t="str">
        <v/>
      </c>
      <c r="F213" t="str">
        <v>867162026042390</v>
      </c>
      <c r="G213" t="str">
        <v>Minivan</v>
      </c>
      <c r="H213" t="str">
        <v/>
      </c>
      <c r="I213" t="str">
        <v>28/09/2026</v>
      </c>
      <c r="J213" t="str">
        <v>16:28:35</v>
      </c>
      <c r="K213">
        <v>-12.235089</v>
      </c>
      <c r="L213">
        <v>-76.9575</v>
      </c>
      <c r="M213">
        <f>HYPERLINK("https://www.google.com/maps/search/?api=1&amp;query=-12.235089,-76.9575","Antigua Panamericana Sur, Villa El Salvador, Lima")</f>
      </c>
      <c r="N213">
        <v>45.5</v>
      </c>
      <c r="O213">
        <v>100</v>
      </c>
      <c r="P213">
        <v>556146.4</v>
      </c>
      <c r="Q213" t="str">
        <v>1,418.43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F6V-792</v>
      </c>
      <c r="D214" t="str">
        <v>F6V-792</v>
      </c>
      <c r="E214" t="str">
        <v/>
      </c>
      <c r="F214" t="str">
        <v>867162026042390</v>
      </c>
      <c r="G214" t="str">
        <v>Minivan</v>
      </c>
      <c r="H214" t="str">
        <v/>
      </c>
      <c r="I214" t="str">
        <v>28/09/2026</v>
      </c>
      <c r="J214" t="str">
        <v>16:29:16</v>
      </c>
      <c r="K214">
        <v>-12.232242</v>
      </c>
      <c r="L214">
        <v>-76.96309</v>
      </c>
      <c r="M214">
        <f>HYPERLINK("https://www.google.com/maps/search/?api=1&amp;query=-12.232242,-76.96309","Antigua Panamericana Sur, Villa El Salvador, Lima")</f>
      </c>
      <c r="N214">
        <v>49.7</v>
      </c>
      <c r="O214">
        <v>100</v>
      </c>
      <c r="P214">
        <v>556147</v>
      </c>
      <c r="Q214" t="str">
        <v>1,418.43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F6V-792</v>
      </c>
      <c r="D215" t="str">
        <v>F6V-792</v>
      </c>
      <c r="E215" t="str">
        <v/>
      </c>
      <c r="F215" t="str">
        <v>867162026042390</v>
      </c>
      <c r="G215" t="str">
        <v>Minivan</v>
      </c>
      <c r="H215" t="str">
        <v/>
      </c>
      <c r="I215" t="str">
        <v>28/09/2026</v>
      </c>
      <c r="J215" t="str">
        <v>16:29:16</v>
      </c>
      <c r="K215">
        <v>-12.229431</v>
      </c>
      <c r="L215">
        <v>-76.96741</v>
      </c>
      <c r="M215">
        <f>HYPERLINK("https://www.google.com/maps/search/?api=1&amp;query=-12.229431,-76.96741","Antigua Panamericana Sur, Villa El Salvador, Lima")</f>
      </c>
      <c r="N215">
        <v>51.8</v>
      </c>
      <c r="O215">
        <v>100</v>
      </c>
      <c r="P215">
        <v>556147</v>
      </c>
      <c r="Q215" t="str">
        <v>1,418.43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F6V-792</v>
      </c>
      <c r="D216" t="str">
        <v>F6V-792</v>
      </c>
      <c r="E216" t="str">
        <v/>
      </c>
      <c r="F216" t="str">
        <v>867162026042390</v>
      </c>
      <c r="G216" t="str">
        <v>Minivan</v>
      </c>
      <c r="H216" t="str">
        <v/>
      </c>
      <c r="I216" t="str">
        <v>28/09/2026</v>
      </c>
      <c r="J216" t="str">
        <v>16:30:15</v>
      </c>
      <c r="K216">
        <v>-12.228252</v>
      </c>
      <c r="L216">
        <v>-76.9685</v>
      </c>
      <c r="M216">
        <f>HYPERLINK("https://www.google.com/maps/search/?api=1&amp;query=-12.228252,-76.9685","Antigua Panamericana Sur, Villa El Salvador, Lima")</f>
      </c>
      <c r="N216">
        <v>30.3</v>
      </c>
      <c r="O216">
        <v>100</v>
      </c>
      <c r="P216">
        <v>556147.6</v>
      </c>
      <c r="Q216" t="str">
        <v>1,418.43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F6V-792</v>
      </c>
      <c r="D217" t="str">
        <v>F6V-792</v>
      </c>
      <c r="E217" t="str">
        <v/>
      </c>
      <c r="F217" t="str">
        <v>867162026042390</v>
      </c>
      <c r="G217" t="str">
        <v>Minivan</v>
      </c>
      <c r="H217" t="str">
        <v/>
      </c>
      <c r="I217" t="str">
        <v>28/09/2026</v>
      </c>
      <c r="J217" t="str">
        <v>16:31:13</v>
      </c>
      <c r="K217">
        <v>-12.224502</v>
      </c>
      <c r="L217">
        <v>-76.972244</v>
      </c>
      <c r="M217">
        <f>HYPERLINK("https://www.google.com/maps/search/?api=1&amp;query=-12.224502,-76.972244","Antigua Panamericana Sur, Villa El Salvador, Lima")</f>
      </c>
      <c r="N217">
        <v>36.3</v>
      </c>
      <c r="O217">
        <v>100</v>
      </c>
      <c r="P217">
        <v>556148.1</v>
      </c>
      <c r="Q217" t="str">
        <v>1,418.43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F6V-792</v>
      </c>
      <c r="D218" t="str">
        <v>F6V-792</v>
      </c>
      <c r="E218" t="str">
        <v/>
      </c>
      <c r="F218" t="str">
        <v>867162026042390</v>
      </c>
      <c r="G218" t="str">
        <v>Minivan</v>
      </c>
      <c r="H218" t="str">
        <v/>
      </c>
      <c r="I218" t="str">
        <v>28/09/2026</v>
      </c>
      <c r="J218" t="str">
        <v>16:31:13</v>
      </c>
      <c r="K218">
        <v>-12.222179</v>
      </c>
      <c r="L218">
        <v>-76.97435</v>
      </c>
      <c r="M218">
        <f>HYPERLINK("https://www.google.com/maps/search/?api=1&amp;query=-12.222179,-76.97435","Avenida El Sol, Villa El Salvador, Lima")</f>
      </c>
      <c r="N218">
        <v>14.5</v>
      </c>
      <c r="O218">
        <v>100</v>
      </c>
      <c r="P218">
        <v>556148.1</v>
      </c>
      <c r="Q218" t="str">
        <v>1,418.43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F6V-792</v>
      </c>
      <c r="D219" t="str">
        <v>F6V-792</v>
      </c>
      <c r="E219" t="str">
        <v/>
      </c>
      <c r="F219" t="str">
        <v>867162026042390</v>
      </c>
      <c r="G219" t="str">
        <v>Minivan</v>
      </c>
      <c r="H219" t="str">
        <v/>
      </c>
      <c r="I219" t="str">
        <v>28/09/2026</v>
      </c>
      <c r="J219" t="str">
        <v>16:31:16</v>
      </c>
      <c r="K219">
        <v>-12.222093</v>
      </c>
      <c r="L219">
        <v>-76.97427</v>
      </c>
      <c r="M219">
        <f>HYPERLINK("https://www.google.com/maps/search/?api=1&amp;query=-12.222093,-76.97427","Avenida El Sol, Villa El Salvador, Lima")</f>
      </c>
      <c r="N219">
        <v>16.9</v>
      </c>
      <c r="O219">
        <v>100</v>
      </c>
      <c r="P219">
        <v>556148.1</v>
      </c>
      <c r="Q219" t="str">
        <v>1,418.43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F6V-792</v>
      </c>
      <c r="D220" t="str">
        <v>F6V-792</v>
      </c>
      <c r="E220" t="str">
        <v/>
      </c>
      <c r="F220" t="str">
        <v>867162026042390</v>
      </c>
      <c r="G220" t="str">
        <v>Minivan</v>
      </c>
      <c r="H220" t="str">
        <v/>
      </c>
      <c r="I220" t="str">
        <v>28/09/2026</v>
      </c>
      <c r="J220" t="str">
        <v>16:32:11</v>
      </c>
      <c r="K220">
        <v>-12.221025</v>
      </c>
      <c r="L220">
        <v>-76.973175</v>
      </c>
      <c r="M220">
        <f>HYPERLINK("https://www.google.com/maps/search/?api=1&amp;query=-12.221025,-76.973175","Avenida El Sol, Villa El Salvador, Lima")</f>
      </c>
      <c r="N220">
        <v>32.6</v>
      </c>
      <c r="O220">
        <v>100</v>
      </c>
      <c r="P220">
        <v>556148.5</v>
      </c>
      <c r="Q220" t="str">
        <v>1,418.43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F6V-792</v>
      </c>
      <c r="D221" t="str">
        <v>F6V-792</v>
      </c>
      <c r="E221" t="str">
        <v/>
      </c>
      <c r="F221" t="str">
        <v>867162026042390</v>
      </c>
      <c r="G221" t="str">
        <v>Minivan</v>
      </c>
      <c r="H221" t="str">
        <v/>
      </c>
      <c r="I221" t="str">
        <v>28/09/2026</v>
      </c>
      <c r="J221" t="str">
        <v>16:33:11</v>
      </c>
      <c r="K221">
        <v>-12.218622</v>
      </c>
      <c r="L221">
        <v>-76.97063</v>
      </c>
      <c r="M221">
        <f>HYPERLINK("https://www.google.com/maps/search/?api=1&amp;query=-12.218622,-76.97063","Avenida El Sol, Villa El Salvador, Lima")</f>
      </c>
      <c r="N221">
        <v>24.9</v>
      </c>
      <c r="O221">
        <v>100</v>
      </c>
      <c r="P221">
        <v>556148.9</v>
      </c>
      <c r="Q221" t="str">
        <v>1,418.43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F6V-792</v>
      </c>
      <c r="D222" t="str">
        <v>F6V-792</v>
      </c>
      <c r="E222" t="str">
        <v/>
      </c>
      <c r="F222" t="str">
        <v>867162026042390</v>
      </c>
      <c r="G222" t="str">
        <v>Minivan</v>
      </c>
      <c r="H222" t="str">
        <v/>
      </c>
      <c r="I222" t="str">
        <v>28/09/2026</v>
      </c>
      <c r="J222" t="str">
        <v>16:34:11</v>
      </c>
      <c r="K222">
        <v>-12.216808</v>
      </c>
      <c r="L222">
        <v>-76.968704</v>
      </c>
      <c r="M222">
        <f>HYPERLINK("https://www.google.com/maps/search/?api=1&amp;query=-12.216808,-76.968704","Avenida El Sol, Villa El Salvador, Lima")</f>
      </c>
      <c r="N222">
        <v>17.1</v>
      </c>
      <c r="O222">
        <v>100</v>
      </c>
      <c r="P222">
        <v>556149.3</v>
      </c>
      <c r="Q222" t="str">
        <v>1,418.43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F6V-792</v>
      </c>
      <c r="D223" t="str">
        <v>F6V-792</v>
      </c>
      <c r="E223" t="str">
        <v/>
      </c>
      <c r="F223" t="str">
        <v>867162026042390</v>
      </c>
      <c r="G223" t="str">
        <v>Minivan</v>
      </c>
      <c r="H223" t="str">
        <v/>
      </c>
      <c r="I223" t="str">
        <v>28/09/2026</v>
      </c>
      <c r="J223" t="str">
        <v>16:35:11</v>
      </c>
      <c r="K223">
        <v>-12.213217</v>
      </c>
      <c r="L223">
        <v>-76.9655</v>
      </c>
      <c r="M223">
        <f>HYPERLINK("https://www.google.com/maps/search/?api=1&amp;query=-12.213217,-76.9655","Avenida El Sol, Villa El Salvador, Lima")</f>
      </c>
      <c r="N223">
        <v>17.9</v>
      </c>
      <c r="O223">
        <v>100</v>
      </c>
      <c r="P223">
        <v>556149.69</v>
      </c>
      <c r="Q223" t="str">
        <v>1,418.43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F6V-792</v>
      </c>
      <c r="D224" t="str">
        <v>F6V-792</v>
      </c>
      <c r="E224" t="str">
        <v/>
      </c>
      <c r="F224" t="str">
        <v>867162026042390</v>
      </c>
      <c r="G224" t="str">
        <v>Minivan</v>
      </c>
      <c r="H224" t="str">
        <v/>
      </c>
      <c r="I224" t="str">
        <v>28/09/2026</v>
      </c>
      <c r="J224" t="str">
        <v>16:35:34</v>
      </c>
      <c r="K224">
        <v>-12.211278</v>
      </c>
      <c r="L224">
        <v>-76.96204</v>
      </c>
      <c r="M224">
        <f>HYPERLINK("https://www.google.com/maps/search/?api=1&amp;query=-12.211278,-76.96204","Avenida El Sol, Villa El Salvador, Lima")</f>
      </c>
      <c r="N224">
        <v>12.5</v>
      </c>
      <c r="O224">
        <v>100</v>
      </c>
      <c r="P224">
        <v>556150</v>
      </c>
      <c r="Q224" t="str">
        <v>1,418.43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F6V-792</v>
      </c>
      <c r="D225" t="str">
        <v>F6V-792</v>
      </c>
      <c r="E225" t="str">
        <v/>
      </c>
      <c r="F225" t="str">
        <v>867162026042390</v>
      </c>
      <c r="G225" t="str">
        <v>Minivan</v>
      </c>
      <c r="H225" t="str">
        <v/>
      </c>
      <c r="I225" t="str">
        <v>28/09/2026</v>
      </c>
      <c r="J225" t="str">
        <v>16:35:40</v>
      </c>
      <c r="K225">
        <v>-12.211298</v>
      </c>
      <c r="L225">
        <v>-76.96198</v>
      </c>
      <c r="M225">
        <f>HYPERLINK("https://www.google.com/maps/search/?api=1&amp;query=-12.211298,-76.96198","Calle 1, Villa El Salvador, Lima")</f>
      </c>
      <c r="N225">
        <v>6.8</v>
      </c>
      <c r="O225">
        <v>100</v>
      </c>
      <c r="P225">
        <v>556150</v>
      </c>
      <c r="Q225" t="str">
        <v>1,418.43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F6V-792</v>
      </c>
      <c r="D226" t="str">
        <v>F6V-792</v>
      </c>
      <c r="E226" t="str">
        <v/>
      </c>
      <c r="F226" t="str">
        <v>867162026042390</v>
      </c>
      <c r="G226" t="str">
        <v>Minivan</v>
      </c>
      <c r="H226" t="str">
        <v/>
      </c>
      <c r="I226" t="str">
        <v>28/09/2026</v>
      </c>
      <c r="J226" t="str">
        <v>16:35:40</v>
      </c>
      <c r="K226">
        <v>-12.211328</v>
      </c>
      <c r="L226">
        <v>-76.96195</v>
      </c>
      <c r="M226">
        <f>HYPERLINK("https://www.google.com/maps/search/?api=1&amp;query=-12.211328,-76.96195","Calle 1, Villa El Salvador, Lima")</f>
      </c>
      <c r="N226">
        <v>5.8</v>
      </c>
      <c r="O226">
        <v>100</v>
      </c>
      <c r="P226">
        <v>556150</v>
      </c>
      <c r="Q226" t="str">
        <v>1,418.43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F6V-792</v>
      </c>
      <c r="D227" t="str">
        <v>F6V-792</v>
      </c>
      <c r="E227" t="str">
        <v/>
      </c>
      <c r="F227" t="str">
        <v>867162026042390</v>
      </c>
      <c r="G227" t="str">
        <v>Minivan</v>
      </c>
      <c r="H227" t="str">
        <v/>
      </c>
      <c r="I227" t="str">
        <v>28/09/2026</v>
      </c>
      <c r="J227" t="str">
        <v>16:36:36</v>
      </c>
      <c r="K227">
        <v>-12.211298</v>
      </c>
      <c r="L227">
        <v>-76.96198</v>
      </c>
      <c r="M227">
        <f>HYPERLINK("https://www.google.com/maps/search/?api=1&amp;query=-12.211298,-76.96198","Calle 1, Villa El Salvador, Lima")</f>
      </c>
      <c r="N227">
        <v>6.8</v>
      </c>
      <c r="O227">
        <v>100</v>
      </c>
      <c r="P227">
        <v>556150</v>
      </c>
      <c r="Q227" t="str">
        <v>1,418.43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F6V-792</v>
      </c>
      <c r="D228" t="str">
        <v>F6V-792</v>
      </c>
      <c r="E228" t="str">
        <v/>
      </c>
      <c r="F228" t="str">
        <v>867162026042390</v>
      </c>
      <c r="G228" t="str">
        <v>Minivan</v>
      </c>
      <c r="H228" t="str">
        <v/>
      </c>
      <c r="I228" t="str">
        <v>28/09/2026</v>
      </c>
      <c r="J228" t="str">
        <v>16:37:34</v>
      </c>
      <c r="K228">
        <v>-12.21242</v>
      </c>
      <c r="L228">
        <v>-76.96127</v>
      </c>
      <c r="M228">
        <f>HYPERLINK("https://www.google.com/maps/search/?api=1&amp;query=-12.21242,-76.96127","Calle 1, Villa El Salvador, Lima")</f>
      </c>
      <c r="N228">
        <v>9.5</v>
      </c>
      <c r="O228">
        <v>100</v>
      </c>
      <c r="P228">
        <v>556150.3</v>
      </c>
      <c r="Q228" t="str">
        <v>1,418.43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F6V-792</v>
      </c>
      <c r="D229" t="str">
        <v>F6V-792</v>
      </c>
      <c r="E229" t="str">
        <v/>
      </c>
      <c r="F229" t="str">
        <v>867162026042390</v>
      </c>
      <c r="G229" t="str">
        <v>Minivan</v>
      </c>
      <c r="H229" t="str">
        <v/>
      </c>
      <c r="I229" t="str">
        <v>28/09/2026</v>
      </c>
      <c r="J229" t="str">
        <v>16:37:34</v>
      </c>
      <c r="K229">
        <v>-12.213551</v>
      </c>
      <c r="L229">
        <v>-76.96048</v>
      </c>
      <c r="M229">
        <f>HYPERLINK("https://www.google.com/maps/search/?api=1&amp;query=-12.213551,-76.96048","Avenida Villa del Mar, Villa El Salvador, Lima")</f>
      </c>
      <c r="N229">
        <v>8.2</v>
      </c>
      <c r="O229">
        <v>100</v>
      </c>
      <c r="P229">
        <v>556150.3</v>
      </c>
      <c r="Q229" t="str">
        <v>1,418.43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F6V-792</v>
      </c>
      <c r="D230" t="str">
        <v>F6V-792</v>
      </c>
      <c r="E230" t="str">
        <v/>
      </c>
      <c r="F230" t="str">
        <v>867162026042390</v>
      </c>
      <c r="G230" t="str">
        <v>Minivan</v>
      </c>
      <c r="H230" t="str">
        <v/>
      </c>
      <c r="I230" t="str">
        <v>28/09/2026</v>
      </c>
      <c r="J230" t="str">
        <v>16:37:46</v>
      </c>
      <c r="K230">
        <v>-12.213527</v>
      </c>
      <c r="L230">
        <v>-76.960396</v>
      </c>
      <c r="M230">
        <f>HYPERLINK("https://www.google.com/maps/search/?api=1&amp;query=-12.213527,-76.960396","Avenida Villa del Mar, Villa El Salvador, Lima")</f>
      </c>
      <c r="N230">
        <v>14.9</v>
      </c>
      <c r="O230">
        <v>100</v>
      </c>
      <c r="P230">
        <v>556150.3</v>
      </c>
      <c r="Q230" t="str">
        <v>1,418.43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F6V-792</v>
      </c>
      <c r="D231" t="str">
        <v>F6V-792</v>
      </c>
      <c r="E231" t="str">
        <v/>
      </c>
      <c r="F231" t="str">
        <v>867162026042390</v>
      </c>
      <c r="G231" t="str">
        <v>Minivan</v>
      </c>
      <c r="H231" t="str">
        <v/>
      </c>
      <c r="I231" t="str">
        <v>28/09/2026</v>
      </c>
      <c r="J231" t="str">
        <v>16:37:46</v>
      </c>
      <c r="K231">
        <v>-12.213421</v>
      </c>
      <c r="L231">
        <v>-76.96022</v>
      </c>
      <c r="M231">
        <f>HYPERLINK("https://www.google.com/maps/search/?api=1&amp;query=-12.213421,-76.96022","Avenida Villa del Mar, Villa El Salvador, Lima")</f>
      </c>
      <c r="N231">
        <v>8.8</v>
      </c>
      <c r="O231">
        <v>100</v>
      </c>
      <c r="P231">
        <v>556150.3</v>
      </c>
      <c r="Q231" t="str">
        <v>1,418.43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F6V-792</v>
      </c>
      <c r="D232" t="str">
        <v>F6V-792</v>
      </c>
      <c r="E232" t="str">
        <v/>
      </c>
      <c r="F232" t="str">
        <v>867162026042390</v>
      </c>
      <c r="G232" t="str">
        <v>Minivan</v>
      </c>
      <c r="H232" t="str">
        <v/>
      </c>
      <c r="I232" t="str">
        <v>28/09/2026</v>
      </c>
      <c r="J232" t="str">
        <v>16:38:46</v>
      </c>
      <c r="K232">
        <v>-12.212795</v>
      </c>
      <c r="L232">
        <v>-76.95929</v>
      </c>
      <c r="M232">
        <f>HYPERLINK("https://www.google.com/maps/search/?api=1&amp;query=-12.212795,-76.95929","Avenida Villa del Mar, Villa El Salvador, Lima")</f>
      </c>
      <c r="N232">
        <v>2.4</v>
      </c>
      <c r="O232">
        <v>100</v>
      </c>
      <c r="P232">
        <v>556150.3</v>
      </c>
      <c r="Q232" t="str">
        <v>1,418.43</v>
      </c>
      <c r="R232" t="str">
        <v>Llegó a la zona</v>
      </c>
      <c r="S232" t="str">
        <v>BASE-OSLOGISTICS</v>
      </c>
      <c r="T232" t="str">
        <v xml:space="preserve"> </v>
      </c>
      <c r="U232" t="str">
        <v/>
      </c>
    </row>
    <row r="233">
      <c r="A233" t="str">
        <v>232</v>
      </c>
      <c r="B233" t="str">
        <v>MASS BSF</v>
      </c>
      <c r="C233" t="str">
        <v>F6V-792</v>
      </c>
      <c r="D233" t="str">
        <v>F6V-792</v>
      </c>
      <c r="E233" t="str">
        <v/>
      </c>
      <c r="F233" t="str">
        <v>867162026042390</v>
      </c>
      <c r="G233" t="str">
        <v>Minivan</v>
      </c>
      <c r="H233" t="str">
        <v/>
      </c>
      <c r="I233" t="str">
        <v>28/09/2026</v>
      </c>
      <c r="J233" t="str">
        <v>16:38:46</v>
      </c>
      <c r="K233">
        <v>-12.212795</v>
      </c>
      <c r="L233">
        <v>-76.95929</v>
      </c>
      <c r="M233">
        <f>HYPERLINK("https://www.google.com/maps/search/?api=1&amp;query=-12.212795,-76.95929","Avenida Villa del Mar, Villa El Salvador, Lima")</f>
      </c>
      <c r="N233">
        <v>2.4</v>
      </c>
      <c r="O233">
        <v>100</v>
      </c>
      <c r="P233">
        <v>556150.4</v>
      </c>
      <c r="Q233" t="str">
        <v>1,418.43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F6V-792</v>
      </c>
      <c r="D234" t="str">
        <v>F6V-792</v>
      </c>
      <c r="E234" t="str">
        <v/>
      </c>
      <c r="F234" t="str">
        <v>867162026042390</v>
      </c>
      <c r="G234" t="str">
        <v>Minivan</v>
      </c>
      <c r="H234" t="str">
        <v/>
      </c>
      <c r="I234" t="str">
        <v>28/09/2026</v>
      </c>
      <c r="J234" t="str">
        <v>16:39:07</v>
      </c>
      <c r="K234">
        <v>-12.212922</v>
      </c>
      <c r="L234">
        <v>-76.959274</v>
      </c>
      <c r="M234">
        <f>HYPERLINK("https://www.google.com/maps/search/?api=1&amp;query=-12.212922,-76.959274","Avenida Villa del Mar, Villa El Salvador, Lima")</f>
      </c>
      <c r="N234">
        <v>3.9</v>
      </c>
      <c r="O234">
        <v>100</v>
      </c>
      <c r="P234">
        <v>556150.4</v>
      </c>
      <c r="Q234" t="str">
        <v>1,418.43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F6V-792</v>
      </c>
      <c r="D235" t="str">
        <v>F6V-792</v>
      </c>
      <c r="E235" t="str">
        <v/>
      </c>
      <c r="F235" t="str">
        <v>867162026042390</v>
      </c>
      <c r="G235" t="str">
        <v>Minivan</v>
      </c>
      <c r="H235" t="str">
        <v/>
      </c>
      <c r="I235" t="str">
        <v>28/09/2026</v>
      </c>
      <c r="J235" t="str">
        <v>16:39:16</v>
      </c>
      <c r="K235">
        <v>-12.212986</v>
      </c>
      <c r="L235">
        <v>-76.95911</v>
      </c>
      <c r="M235">
        <f>HYPERLINK("https://www.google.com/maps/search/?api=1&amp;query=-12.212986,-76.95911","Avenida Villa del Mar, Villa El Salvador, Lima")</f>
      </c>
      <c r="N235">
        <v>8.4</v>
      </c>
      <c r="O235">
        <v>100</v>
      </c>
      <c r="P235">
        <v>556150.4</v>
      </c>
      <c r="Q235" t="str">
        <v>1,418.43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F6V-792</v>
      </c>
      <c r="D236" t="str">
        <v>F6V-792</v>
      </c>
      <c r="E236" t="str">
        <v/>
      </c>
      <c r="F236" t="str">
        <v>867162026042390</v>
      </c>
      <c r="G236" t="str">
        <v>Minivan</v>
      </c>
      <c r="H236" t="str">
        <v/>
      </c>
      <c r="I236" t="str">
        <v>28/09/2026</v>
      </c>
      <c r="J236" t="str">
        <v>16:39:22</v>
      </c>
      <c r="K236">
        <v>-12.212921</v>
      </c>
      <c r="L236">
        <v>-76.959045</v>
      </c>
      <c r="M236">
        <f>HYPERLINK("https://www.google.com/maps/search/?api=1&amp;query=-12.212921,-76.959045","Avenida Villa del Mar, Villa El Salvador, Lima")</f>
      </c>
      <c r="N236">
        <v>5.4</v>
      </c>
      <c r="O236">
        <v>100</v>
      </c>
      <c r="P236">
        <v>556150.4</v>
      </c>
      <c r="Q236" t="str">
        <v>1,418.43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F6V-792</v>
      </c>
      <c r="D237" t="str">
        <v>F6V-792</v>
      </c>
      <c r="E237" t="str">
        <v/>
      </c>
      <c r="F237" t="str">
        <v>867162026042390</v>
      </c>
      <c r="G237" t="str">
        <v>Minivan</v>
      </c>
      <c r="H237" t="str">
        <v/>
      </c>
      <c r="I237" t="str">
        <v>28/09/2026</v>
      </c>
      <c r="J237" t="str">
        <v>16:39:25</v>
      </c>
      <c r="K237">
        <v>-12.212893</v>
      </c>
      <c r="L237">
        <v>-76.95906</v>
      </c>
      <c r="M237">
        <f>HYPERLINK("https://www.google.com/maps/search/?api=1&amp;query=-12.212893,-76.95906","Avenida Villa del Mar, Villa El Salvador, Lima")</f>
      </c>
      <c r="N237">
        <v>4.5</v>
      </c>
      <c r="O237">
        <v>100</v>
      </c>
      <c r="P237">
        <v>556150.4</v>
      </c>
      <c r="Q237" t="str">
        <v>1,418.43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F6V-792</v>
      </c>
      <c r="D238" t="str">
        <v>F6V-792</v>
      </c>
      <c r="E238" t="str">
        <v/>
      </c>
      <c r="F238" t="str">
        <v>867162026042390</v>
      </c>
      <c r="G238" t="str">
        <v>Minivan</v>
      </c>
      <c r="H238" t="str">
        <v/>
      </c>
      <c r="I238" t="str">
        <v>28/09/2026</v>
      </c>
      <c r="J238" t="str">
        <v>16:39:46</v>
      </c>
      <c r="K238">
        <v>-12.212885</v>
      </c>
      <c r="L238">
        <v>-76.959076</v>
      </c>
      <c r="M238">
        <f>HYPERLINK("https://www.google.com/maps/search/?api=1&amp;query=-12.212885,-76.959076","Avenida Villa del Mar, Villa El Salvador, Lima")</f>
      </c>
      <c r="N238">
        <v>0</v>
      </c>
      <c r="O238">
        <v>100</v>
      </c>
      <c r="P238">
        <v>556150.4</v>
      </c>
      <c r="Q238" t="str">
        <v>1,418.43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F6V-792</v>
      </c>
      <c r="D239" t="str">
        <v>F6V-792</v>
      </c>
      <c r="E239" t="str">
        <v/>
      </c>
      <c r="F239" t="str">
        <v>867162026042390</v>
      </c>
      <c r="G239" t="str">
        <v>Minivan</v>
      </c>
      <c r="H239" t="str">
        <v/>
      </c>
      <c r="I239" t="str">
        <v>28/09/2026</v>
      </c>
      <c r="J239" t="str">
        <v>16:40:46</v>
      </c>
      <c r="K239">
        <v>-12.212885</v>
      </c>
      <c r="L239">
        <v>-76.959076</v>
      </c>
      <c r="M239">
        <f>HYPERLINK("https://www.google.com/maps/search/?api=1&amp;query=-12.212885,-76.959076","Avenida Villa del Mar, Villa El Salvador, Lima")</f>
      </c>
      <c r="N239">
        <v>0</v>
      </c>
      <c r="O239">
        <v>100</v>
      </c>
      <c r="P239">
        <v>556150.4</v>
      </c>
      <c r="Q239" t="str">
        <v>1,418.43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F6V-792</v>
      </c>
      <c r="D240" t="str">
        <v>F6V-792</v>
      </c>
      <c r="E240" t="str">
        <v/>
      </c>
      <c r="F240" t="str">
        <v>867162026042390</v>
      </c>
      <c r="G240" t="str">
        <v>Minivan</v>
      </c>
      <c r="H240" t="str">
        <v/>
      </c>
      <c r="I240" t="str">
        <v>28/09/2026</v>
      </c>
      <c r="J240" t="str">
        <v>16:41:46</v>
      </c>
      <c r="K240">
        <v>-12.212885</v>
      </c>
      <c r="L240">
        <v>-76.959076</v>
      </c>
      <c r="M240">
        <f>HYPERLINK("https://www.google.com/maps/search/?api=1&amp;query=-12.212885,-76.959076","Avenida Villa del Mar, Villa El Salvador, Lima")</f>
      </c>
      <c r="N240">
        <v>0</v>
      </c>
      <c r="O240">
        <v>100</v>
      </c>
      <c r="P240">
        <v>556150.4</v>
      </c>
      <c r="Q240" t="str">
        <v>1,418.43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F6V-792</v>
      </c>
      <c r="D241" t="str">
        <v>F6V-792</v>
      </c>
      <c r="E241" t="str">
        <v/>
      </c>
      <c r="F241" t="str">
        <v>867162026042390</v>
      </c>
      <c r="G241" t="str">
        <v>Minivan</v>
      </c>
      <c r="H241" t="str">
        <v/>
      </c>
      <c r="I241" t="str">
        <v>28/09/2026</v>
      </c>
      <c r="J241" t="str">
        <v>16:42:46</v>
      </c>
      <c r="K241">
        <v>-12.212885</v>
      </c>
      <c r="L241">
        <v>-76.959076</v>
      </c>
      <c r="M241">
        <f>HYPERLINK("https://www.google.com/maps/search/?api=1&amp;query=-12.212885,-76.959076","Avenida Villa del Mar, Villa El Salvador, Lima")</f>
      </c>
      <c r="N241">
        <v>0</v>
      </c>
      <c r="O241">
        <v>100</v>
      </c>
      <c r="P241">
        <v>556150.4</v>
      </c>
      <c r="Q241" t="str">
        <v>1,418.43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F6V-792</v>
      </c>
      <c r="D242" t="str">
        <v>F6V-792</v>
      </c>
      <c r="E242" t="str">
        <v/>
      </c>
      <c r="F242" t="str">
        <v>867162026042390</v>
      </c>
      <c r="G242" t="str">
        <v>Minivan</v>
      </c>
      <c r="H242" t="str">
        <v/>
      </c>
      <c r="I242" t="str">
        <v>28/09/2026</v>
      </c>
      <c r="J242" t="str">
        <v>16:43:22</v>
      </c>
      <c r="K242">
        <v>-12.212885</v>
      </c>
      <c r="L242">
        <v>-76.959076</v>
      </c>
      <c r="M242">
        <f>HYPERLINK("https://www.google.com/maps/search/?api=1&amp;query=-12.212885,-76.959076","Avenida Villa del Mar, Villa El Salvador, Lima")</f>
      </c>
      <c r="N242">
        <v>0</v>
      </c>
      <c r="O242">
        <v>100</v>
      </c>
      <c r="P242">
        <v>556150.4</v>
      </c>
      <c r="Q242" t="str">
        <v>1,419.17</v>
      </c>
      <c r="R242" t="str">
        <v>Vehículo apagado</v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F6V-792</v>
      </c>
      <c r="D243" t="str">
        <v>F6V-792</v>
      </c>
      <c r="E243" t="str">
        <v/>
      </c>
      <c r="F243" t="str">
        <v>867162026042390</v>
      </c>
      <c r="G243" t="str">
        <v>Minivan</v>
      </c>
      <c r="H243" t="str">
        <v/>
      </c>
      <c r="I243" t="str">
        <v>28/09/2026</v>
      </c>
      <c r="J243" t="str">
        <v>16:43:27</v>
      </c>
      <c r="K243">
        <v>-12.212885</v>
      </c>
      <c r="L243">
        <v>-76.959076</v>
      </c>
      <c r="M243">
        <f>HYPERLINK("https://www.google.com/maps/search/?api=1&amp;query=-12.212885,-76.959076","Avenida Villa del Mar, Villa El Salvador, Lima")</f>
      </c>
      <c r="N243">
        <v>0</v>
      </c>
      <c r="O243">
        <v>100</v>
      </c>
      <c r="P243">
        <v>556150.4</v>
      </c>
      <c r="Q243" t="str">
        <v>1,418.43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F6V-792</v>
      </c>
      <c r="D244" t="str">
        <v>F6V-792</v>
      </c>
      <c r="E244" t="str">
        <v/>
      </c>
      <c r="F244" t="str">
        <v>867162026042390</v>
      </c>
      <c r="G244" t="str">
        <v>Minivan</v>
      </c>
      <c r="H244" t="str">
        <v/>
      </c>
      <c r="I244" t="str">
        <v>28/09/2026</v>
      </c>
      <c r="J244" t="str">
        <v>16:45:41</v>
      </c>
      <c r="K244">
        <v>-12.212885</v>
      </c>
      <c r="L244">
        <v>-76.959076</v>
      </c>
      <c r="M244">
        <f>HYPERLINK("https://www.google.com/maps/search/?api=1&amp;query=-12.212885,-76.959076","Avenida Villa del Mar, Villa El Salvador, Lima")</f>
      </c>
      <c r="N244">
        <v>0</v>
      </c>
      <c r="O244">
        <v>100</v>
      </c>
      <c r="P244">
        <v>556150.5</v>
      </c>
      <c r="Q244" t="str">
        <v>1,419.17</v>
      </c>
      <c r="R244" t="str">
        <v>Vehículo encendido</v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F6V-792</v>
      </c>
      <c r="D245" t="str">
        <v>F6V-792</v>
      </c>
      <c r="E245" t="str">
        <v/>
      </c>
      <c r="F245" t="str">
        <v>867162026042390</v>
      </c>
      <c r="G245" t="str">
        <v>Minivan</v>
      </c>
      <c r="H245" t="str">
        <v/>
      </c>
      <c r="I245" t="str">
        <v>28/09/2026</v>
      </c>
      <c r="J245" t="str">
        <v>16:45:55</v>
      </c>
      <c r="K245">
        <v>-12.213219</v>
      </c>
      <c r="L245">
        <v>-76.958855</v>
      </c>
      <c r="M245">
        <f>HYPERLINK("https://www.google.com/maps/search/?api=1&amp;query=-12.213219,-76.958855","Villa El Salvador, Lima")</f>
      </c>
      <c r="N245">
        <v>3.2</v>
      </c>
      <c r="O245">
        <v>100</v>
      </c>
      <c r="P245">
        <v>556150.5</v>
      </c>
      <c r="Q245" t="str">
        <v>1,419.17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F6V-792</v>
      </c>
      <c r="D246" t="str">
        <v>F6V-792</v>
      </c>
      <c r="E246" t="str">
        <v/>
      </c>
      <c r="F246" t="str">
        <v>867162026042390</v>
      </c>
      <c r="G246" t="str">
        <v>Minivan</v>
      </c>
      <c r="H246" t="str">
        <v/>
      </c>
      <c r="I246" t="str">
        <v>28/09/2026</v>
      </c>
      <c r="J246" t="str">
        <v>16:46:01</v>
      </c>
      <c r="K246">
        <v>-12.213148</v>
      </c>
      <c r="L246">
        <v>-76.95889</v>
      </c>
      <c r="M246">
        <f>HYPERLINK("https://www.google.com/maps/search/?api=1&amp;query=-12.213148,-76.95889","Villa El Salvador, Lima")</f>
      </c>
      <c r="N246">
        <v>4.3</v>
      </c>
      <c r="O246">
        <v>100</v>
      </c>
      <c r="P246">
        <v>556150.5</v>
      </c>
      <c r="Q246" t="str">
        <v>1,419.17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F6V-792</v>
      </c>
      <c r="D247" t="str">
        <v>F6V-792</v>
      </c>
      <c r="E247" t="str">
        <v/>
      </c>
      <c r="F247" t="str">
        <v>867162026042390</v>
      </c>
      <c r="G247" t="str">
        <v>Minivan</v>
      </c>
      <c r="H247" t="str">
        <v/>
      </c>
      <c r="I247" t="str">
        <v>28/09/2026</v>
      </c>
      <c r="J247" t="str">
        <v>16:46:51</v>
      </c>
      <c r="K247">
        <v>-12.213053</v>
      </c>
      <c r="L247">
        <v>-76.958954</v>
      </c>
      <c r="M247">
        <f>HYPERLINK("https://www.google.com/maps/search/?api=1&amp;query=-12.213053,-76.958954","Villa El Salvador, Lima")</f>
      </c>
      <c r="N247">
        <v>0</v>
      </c>
      <c r="O247">
        <v>100</v>
      </c>
      <c r="P247">
        <v>556150.5</v>
      </c>
      <c r="Q247" t="str">
        <v>1,419.17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F6V-792</v>
      </c>
      <c r="D248" t="str">
        <v>F6V-792</v>
      </c>
      <c r="E248" t="str">
        <v/>
      </c>
      <c r="F248" t="str">
        <v>867162026042390</v>
      </c>
      <c r="G248" t="str">
        <v>Minivan</v>
      </c>
      <c r="H248" t="str">
        <v/>
      </c>
      <c r="I248" t="str">
        <v>28/09/2026</v>
      </c>
      <c r="J248" t="str">
        <v>16:47:51</v>
      </c>
      <c r="K248">
        <v>-12.213053</v>
      </c>
      <c r="L248">
        <v>-76.958954</v>
      </c>
      <c r="M248">
        <f>HYPERLINK("https://www.google.com/maps/search/?api=1&amp;query=-12.213053,-76.958954","Villa El Salvador, Lima")</f>
      </c>
      <c r="N248">
        <v>0</v>
      </c>
      <c r="O248">
        <v>100</v>
      </c>
      <c r="P248">
        <v>556150.5</v>
      </c>
      <c r="Q248" t="str">
        <v>1,419.17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F6V-792</v>
      </c>
      <c r="D249" t="str">
        <v>F6V-792</v>
      </c>
      <c r="E249" t="str">
        <v/>
      </c>
      <c r="F249" t="str">
        <v>867162026042390</v>
      </c>
      <c r="G249" t="str">
        <v>Minivan</v>
      </c>
      <c r="H249" t="str">
        <v/>
      </c>
      <c r="I249" t="str">
        <v>28/09/2026</v>
      </c>
      <c r="J249" t="str">
        <v>16:48:51</v>
      </c>
      <c r="K249">
        <v>-12.213053</v>
      </c>
      <c r="L249">
        <v>-76.958954</v>
      </c>
      <c r="M249">
        <f>HYPERLINK("https://www.google.com/maps/search/?api=1&amp;query=-12.213053,-76.958954","Villa El Salvador, Lima")</f>
      </c>
      <c r="N249">
        <v>0</v>
      </c>
      <c r="O249">
        <v>100</v>
      </c>
      <c r="P249">
        <v>556150.5</v>
      </c>
      <c r="Q249" t="str">
        <v>1,419.17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F6V-792</v>
      </c>
      <c r="D250" t="str">
        <v>F6V-792</v>
      </c>
      <c r="E250" t="str">
        <v/>
      </c>
      <c r="F250" t="str">
        <v>867162026042390</v>
      </c>
      <c r="G250" t="str">
        <v>Minivan</v>
      </c>
      <c r="H250" t="str">
        <v/>
      </c>
      <c r="I250" t="str">
        <v>28/09/2026</v>
      </c>
      <c r="J250" t="str">
        <v>16:49:51</v>
      </c>
      <c r="K250">
        <v>-12.213053</v>
      </c>
      <c r="L250">
        <v>-76.958954</v>
      </c>
      <c r="M250">
        <f>HYPERLINK("https://www.google.com/maps/search/?api=1&amp;query=-12.213053,-76.958954","Villa El Salvador, Lima")</f>
      </c>
      <c r="N250">
        <v>0</v>
      </c>
      <c r="O250">
        <v>100</v>
      </c>
      <c r="P250">
        <v>556150.5</v>
      </c>
      <c r="Q250" t="str">
        <v>1,419.17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F6V-792</v>
      </c>
      <c r="D251" t="str">
        <v>F6V-792</v>
      </c>
      <c r="E251" t="str">
        <v/>
      </c>
      <c r="F251" t="str">
        <v>867162026042390</v>
      </c>
      <c r="G251" t="str">
        <v>Minivan</v>
      </c>
      <c r="H251" t="str">
        <v/>
      </c>
      <c r="I251" t="str">
        <v>28/09/2026</v>
      </c>
      <c r="J251" t="str">
        <v>16:50:51</v>
      </c>
      <c r="K251">
        <v>-12.213053</v>
      </c>
      <c r="L251">
        <v>-76.958954</v>
      </c>
      <c r="M251">
        <f>HYPERLINK("https://www.google.com/maps/search/?api=1&amp;query=-12.213053,-76.958954","Villa El Salvador, Lima")</f>
      </c>
      <c r="N251">
        <v>0</v>
      </c>
      <c r="O251">
        <v>100</v>
      </c>
      <c r="P251">
        <v>556150.5</v>
      </c>
      <c r="Q251" t="str">
        <v>1,419.17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F6V-792</v>
      </c>
      <c r="D252" t="str">
        <v>F6V-792</v>
      </c>
      <c r="E252" t="str">
        <v/>
      </c>
      <c r="F252" t="str">
        <v>867162026042390</v>
      </c>
      <c r="G252" t="str">
        <v>Minivan</v>
      </c>
      <c r="H252" t="str">
        <v/>
      </c>
      <c r="I252" t="str">
        <v>28/09/2026</v>
      </c>
      <c r="J252" t="str">
        <v>16:51:52</v>
      </c>
      <c r="K252">
        <v>-12.213053</v>
      </c>
      <c r="L252">
        <v>-76.958954</v>
      </c>
      <c r="M252">
        <f>HYPERLINK("https://www.google.com/maps/search/?api=1&amp;query=-12.213053,-76.958954","Villa El Salvador, Lima")</f>
      </c>
      <c r="N252">
        <v>0</v>
      </c>
      <c r="O252">
        <v>100</v>
      </c>
      <c r="P252">
        <v>556150.5</v>
      </c>
      <c r="Q252" t="str">
        <v>1,419.17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F6V-792</v>
      </c>
      <c r="D253" t="str">
        <v>F6V-792</v>
      </c>
      <c r="E253" t="str">
        <v/>
      </c>
      <c r="F253" t="str">
        <v>867162026042390</v>
      </c>
      <c r="G253" t="str">
        <v>Minivan</v>
      </c>
      <c r="H253" t="str">
        <v/>
      </c>
      <c r="I253" t="str">
        <v>28/09/2026</v>
      </c>
      <c r="J253" t="str">
        <v>16:52:52</v>
      </c>
      <c r="K253">
        <v>-12.213053</v>
      </c>
      <c r="L253">
        <v>-76.958954</v>
      </c>
      <c r="M253">
        <f>HYPERLINK("https://www.google.com/maps/search/?api=1&amp;query=-12.213053,-76.958954","Villa El Salvador, Lima")</f>
      </c>
      <c r="N253">
        <v>0</v>
      </c>
      <c r="O253">
        <v>100</v>
      </c>
      <c r="P253">
        <v>556150.5</v>
      </c>
      <c r="Q253" t="str">
        <v>1,419.17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F6V-792</v>
      </c>
      <c r="D254" t="str">
        <v>F6V-792</v>
      </c>
      <c r="E254" t="str">
        <v/>
      </c>
      <c r="F254" t="str">
        <v>867162026042390</v>
      </c>
      <c r="G254" t="str">
        <v>Minivan</v>
      </c>
      <c r="H254" t="str">
        <v/>
      </c>
      <c r="I254" t="str">
        <v>28/09/2026</v>
      </c>
      <c r="J254" t="str">
        <v>16:53:52</v>
      </c>
      <c r="K254">
        <v>-12.213053</v>
      </c>
      <c r="L254">
        <v>-76.958954</v>
      </c>
      <c r="M254">
        <f>HYPERLINK("https://www.google.com/maps/search/?api=1&amp;query=-12.213053,-76.958954","Villa El Salvador, Lima")</f>
      </c>
      <c r="N254">
        <v>0</v>
      </c>
      <c r="O254">
        <v>100</v>
      </c>
      <c r="P254">
        <v>556150.5</v>
      </c>
      <c r="Q254" t="str">
        <v>1,419.17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F6V-792</v>
      </c>
      <c r="D255" t="str">
        <v>F6V-792</v>
      </c>
      <c r="E255" t="str">
        <v/>
      </c>
      <c r="F255" t="str">
        <v>867162026042390</v>
      </c>
      <c r="G255" t="str">
        <v>Minivan</v>
      </c>
      <c r="H255" t="str">
        <v/>
      </c>
      <c r="I255" t="str">
        <v>28/09/2026</v>
      </c>
      <c r="J255" t="str">
        <v>16:54:04</v>
      </c>
      <c r="K255">
        <v>-12.213053</v>
      </c>
      <c r="L255">
        <v>-76.958954</v>
      </c>
      <c r="M255">
        <f>HYPERLINK("https://www.google.com/maps/search/?api=1&amp;query=-12.213053,-76.958954","Villa El Salvador, Lima")</f>
      </c>
      <c r="N255">
        <v>0</v>
      </c>
      <c r="O255">
        <v>100</v>
      </c>
      <c r="P255">
        <v>556150.5</v>
      </c>
      <c r="Q255" t="str">
        <v>1,419.30</v>
      </c>
      <c r="R255" t="str">
        <v>Vehículo apagado</v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F6V-792</v>
      </c>
      <c r="D256" t="str">
        <v>F6V-792</v>
      </c>
      <c r="E256" t="str">
        <v/>
      </c>
      <c r="F256" t="str">
        <v>867162026042390</v>
      </c>
      <c r="G256" t="str">
        <v>Minivan</v>
      </c>
      <c r="H256" t="str">
        <v/>
      </c>
      <c r="I256" t="str">
        <v>28/09/2026</v>
      </c>
      <c r="J256" t="str">
        <v>16:54:06</v>
      </c>
      <c r="K256">
        <v>-12.213053</v>
      </c>
      <c r="L256">
        <v>-76.958954</v>
      </c>
      <c r="M256">
        <f>HYPERLINK("https://www.google.com/maps/search/?api=1&amp;query=-12.213053,-76.958954","Villa El Salvador, Lima")</f>
      </c>
      <c r="N256">
        <v>0</v>
      </c>
      <c r="O256">
        <v>100</v>
      </c>
      <c r="P256">
        <v>556150.5</v>
      </c>
      <c r="Q256" t="str">
        <v>1,419.17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F6V-792</v>
      </c>
      <c r="D257" t="str">
        <v>F6V-792</v>
      </c>
      <c r="E257" t="str">
        <v/>
      </c>
      <c r="F257" t="str">
        <v>867162026042390</v>
      </c>
      <c r="G257" t="str">
        <v>Minivan</v>
      </c>
      <c r="H257" t="str">
        <v/>
      </c>
      <c r="I257" t="str">
        <v>28/09/2026</v>
      </c>
      <c r="J257" t="str">
        <v>17:24:06</v>
      </c>
      <c r="K257">
        <v>-12.213053</v>
      </c>
      <c r="L257">
        <v>-76.958954</v>
      </c>
      <c r="M257">
        <f>HYPERLINK("https://www.google.com/maps/search/?api=1&amp;query=-12.213053,-76.958954","Villa El Salvador, Lima")</f>
      </c>
      <c r="N257">
        <v>0</v>
      </c>
      <c r="O257">
        <v>100</v>
      </c>
      <c r="P257">
        <v>556150.5</v>
      </c>
      <c r="Q257" t="str">
        <v>1,419.30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F6V-792</v>
      </c>
      <c r="D258" t="str">
        <v>F6V-792</v>
      </c>
      <c r="E258" t="str">
        <v/>
      </c>
      <c r="F258" t="str">
        <v>867162026042390</v>
      </c>
      <c r="G258" t="str">
        <v>Minivan</v>
      </c>
      <c r="H258" t="str">
        <v/>
      </c>
      <c r="I258" t="str">
        <v>28/09/2026</v>
      </c>
      <c r="J258" t="str">
        <v>17:54:11</v>
      </c>
      <c r="K258">
        <v>-12.213053</v>
      </c>
      <c r="L258">
        <v>-76.958954</v>
      </c>
      <c r="M258">
        <f>HYPERLINK("https://www.google.com/maps/search/?api=1&amp;query=-12.213053,-76.958954","Villa El Salvador, Lima")</f>
      </c>
      <c r="N258">
        <v>0</v>
      </c>
      <c r="O258">
        <v>100</v>
      </c>
      <c r="P258">
        <v>556150.5</v>
      </c>
      <c r="Q258" t="str">
        <v>1,419.30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F6V-792</v>
      </c>
      <c r="D259" t="str">
        <v>F6V-792</v>
      </c>
      <c r="E259" t="str">
        <v/>
      </c>
      <c r="F259" t="str">
        <v>867162026042390</v>
      </c>
      <c r="G259" t="str">
        <v>Minivan</v>
      </c>
      <c r="H259" t="str">
        <v/>
      </c>
      <c r="I259" t="str">
        <v>28/09/2026</v>
      </c>
      <c r="J259" t="str">
        <v>18:24:15</v>
      </c>
      <c r="K259">
        <v>-12.213053</v>
      </c>
      <c r="L259">
        <v>-76.958954</v>
      </c>
      <c r="M259">
        <f>HYPERLINK("https://www.google.com/maps/search/?api=1&amp;query=-12.213053,-76.958954","Villa El Salvador, Lima")</f>
      </c>
      <c r="N259">
        <v>0</v>
      </c>
      <c r="O259">
        <v>100</v>
      </c>
      <c r="P259">
        <v>556150.5</v>
      </c>
      <c r="Q259" t="str">
        <v>1,419.30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F6V-792</v>
      </c>
      <c r="D260" t="str">
        <v>F6V-792</v>
      </c>
      <c r="E260" t="str">
        <v/>
      </c>
      <c r="F260" t="str">
        <v>867162026042390</v>
      </c>
      <c r="G260" t="str">
        <v>Minivan</v>
      </c>
      <c r="H260" t="str">
        <v/>
      </c>
      <c r="I260" t="str">
        <v>28/09/2026</v>
      </c>
      <c r="J260" t="str">
        <v>18:54:20</v>
      </c>
      <c r="K260">
        <v>-12.213053</v>
      </c>
      <c r="L260">
        <v>-76.958954</v>
      </c>
      <c r="M260">
        <f>HYPERLINK("https://www.google.com/maps/search/?api=1&amp;query=-12.213053,-76.958954","Villa El Salvador, Lima")</f>
      </c>
      <c r="N260">
        <v>0</v>
      </c>
      <c r="O260">
        <v>100</v>
      </c>
      <c r="P260">
        <v>556150.5</v>
      </c>
      <c r="Q260" t="str">
        <v>1,419.30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F6V-792</v>
      </c>
      <c r="D261" t="str">
        <v>F6V-792</v>
      </c>
      <c r="E261" t="str">
        <v/>
      </c>
      <c r="F261" t="str">
        <v>867162026042390</v>
      </c>
      <c r="G261" t="str">
        <v>Minivan</v>
      </c>
      <c r="H261" t="str">
        <v/>
      </c>
      <c r="I261" t="str">
        <v>28/09/2026</v>
      </c>
      <c r="J261" t="str">
        <v>19:24:24</v>
      </c>
      <c r="K261">
        <v>-12.213053</v>
      </c>
      <c r="L261">
        <v>-76.958954</v>
      </c>
      <c r="M261">
        <f>HYPERLINK("https://www.google.com/maps/search/?api=1&amp;query=-12.213053,-76.958954","Villa El Salvador, Lima")</f>
      </c>
      <c r="N261">
        <v>0</v>
      </c>
      <c r="O261">
        <v>100</v>
      </c>
      <c r="P261">
        <v>556150.5</v>
      </c>
      <c r="Q261" t="str">
        <v>1,419.30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F6V-792</v>
      </c>
      <c r="D262" t="str">
        <v>F6V-792</v>
      </c>
      <c r="E262" t="str">
        <v/>
      </c>
      <c r="F262" t="str">
        <v>867162026042390</v>
      </c>
      <c r="G262" t="str">
        <v>Minivan</v>
      </c>
      <c r="H262" t="str">
        <v/>
      </c>
      <c r="I262" t="str">
        <v>28/09/2026</v>
      </c>
      <c r="J262" t="str">
        <v>19:54:29</v>
      </c>
      <c r="K262">
        <v>-12.213053</v>
      </c>
      <c r="L262">
        <v>-76.958954</v>
      </c>
      <c r="M262">
        <f>HYPERLINK("https://www.google.com/maps/search/?api=1&amp;query=-12.213053,-76.958954","Villa El Salvador, Lima")</f>
      </c>
      <c r="N262">
        <v>0</v>
      </c>
      <c r="O262">
        <v>100</v>
      </c>
      <c r="P262">
        <v>556150.5</v>
      </c>
      <c r="Q262" t="str">
        <v>1,419.30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F6V-792</v>
      </c>
      <c r="D263" t="str">
        <v>F6V-792</v>
      </c>
      <c r="E263" t="str">
        <v/>
      </c>
      <c r="F263" t="str">
        <v>867162026042390</v>
      </c>
      <c r="G263" t="str">
        <v>Minivan</v>
      </c>
      <c r="H263" t="str">
        <v/>
      </c>
      <c r="I263" t="str">
        <v>28/09/2026</v>
      </c>
      <c r="J263" t="str">
        <v>20:24:34</v>
      </c>
      <c r="K263">
        <v>-12.213053</v>
      </c>
      <c r="L263">
        <v>-76.958954</v>
      </c>
      <c r="M263">
        <f>HYPERLINK("https://www.google.com/maps/search/?api=1&amp;query=-12.213053,-76.958954","Villa El Salvador, Lima")</f>
      </c>
      <c r="N263">
        <v>0</v>
      </c>
      <c r="O263">
        <v>100</v>
      </c>
      <c r="P263">
        <v>556150.5</v>
      </c>
      <c r="Q263" t="str">
        <v>1,419.30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F6V-792</v>
      </c>
      <c r="D264" t="str">
        <v>F6V-792</v>
      </c>
      <c r="E264" t="str">
        <v/>
      </c>
      <c r="F264" t="str">
        <v>867162026042390</v>
      </c>
      <c r="G264" t="str">
        <v>Minivan</v>
      </c>
      <c r="H264" t="str">
        <v/>
      </c>
      <c r="I264" t="str">
        <v>28/09/2026</v>
      </c>
      <c r="J264" t="str">
        <v>20:54:37</v>
      </c>
      <c r="K264">
        <v>-12.213053</v>
      </c>
      <c r="L264">
        <v>-76.958954</v>
      </c>
      <c r="M264">
        <f>HYPERLINK("https://www.google.com/maps/search/?api=1&amp;query=-12.213053,-76.958954","Villa El Salvador, Lima")</f>
      </c>
      <c r="N264">
        <v>0</v>
      </c>
      <c r="O264">
        <v>100</v>
      </c>
      <c r="P264">
        <v>556150.5</v>
      </c>
      <c r="Q264" t="str">
        <v>1,419.30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F6V-792</v>
      </c>
      <c r="D265" t="str">
        <v>F6V-792</v>
      </c>
      <c r="E265" t="str">
        <v/>
      </c>
      <c r="F265" t="str">
        <v>867162026042390</v>
      </c>
      <c r="G265" t="str">
        <v>Minivan</v>
      </c>
      <c r="H265" t="str">
        <v/>
      </c>
      <c r="I265" t="str">
        <v>28/09/2026</v>
      </c>
      <c r="J265" t="str">
        <v>21:01:01</v>
      </c>
      <c r="K265">
        <v>-12.213256</v>
      </c>
      <c r="L265">
        <v>-76.95885</v>
      </c>
      <c r="M265">
        <f>HYPERLINK("https://www.google.com/maps/search/?api=1&amp;query=-12.213256,-76.95885","Villa El Salvador, Lima")</f>
      </c>
      <c r="N265">
        <v>0.2</v>
      </c>
      <c r="O265">
        <v>100</v>
      </c>
      <c r="P265">
        <v>556150.5</v>
      </c>
      <c r="Q265" t="str">
        <v>1,419.30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F6V-792</v>
      </c>
      <c r="D266" t="str">
        <v>F6V-792</v>
      </c>
      <c r="E266" t="str">
        <v/>
      </c>
      <c r="F266" t="str">
        <v>867162026042390</v>
      </c>
      <c r="G266" t="str">
        <v>Minivan</v>
      </c>
      <c r="H266" t="str">
        <v/>
      </c>
      <c r="I266" t="str">
        <v>28/09/2026</v>
      </c>
      <c r="J266" t="str">
        <v>21:01:01</v>
      </c>
      <c r="K266">
        <v>-12.213256</v>
      </c>
      <c r="L266">
        <v>-76.95885</v>
      </c>
      <c r="M266">
        <f>HYPERLINK("https://www.google.com/maps/search/?api=1&amp;query=-12.213256,-76.95885","Villa El Salvador, Lima")</f>
      </c>
      <c r="N266">
        <v>0.2</v>
      </c>
      <c r="O266">
        <v>100</v>
      </c>
      <c r="P266">
        <v>556150.5</v>
      </c>
      <c r="Q266" t="str">
        <v>1,419.30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F6V-792</v>
      </c>
      <c r="D267" t="str">
        <v>F6V-792</v>
      </c>
      <c r="E267" t="str">
        <v/>
      </c>
      <c r="F267" t="str">
        <v>867162026042390</v>
      </c>
      <c r="G267" t="str">
        <v>Minivan</v>
      </c>
      <c r="H267" t="str">
        <v/>
      </c>
      <c r="I267" t="str">
        <v>28/09/2026</v>
      </c>
      <c r="J267" t="str">
        <v>21:31:05</v>
      </c>
      <c r="K267">
        <v>-12.213256</v>
      </c>
      <c r="L267">
        <v>-76.95885</v>
      </c>
      <c r="M267">
        <f>HYPERLINK("https://www.google.com/maps/search/?api=1&amp;query=-12.213256,-76.95885","Villa El Salvador, Lima")</f>
      </c>
      <c r="N267">
        <v>0</v>
      </c>
      <c r="O267">
        <v>100</v>
      </c>
      <c r="P267">
        <v>556150.5</v>
      </c>
      <c r="Q267" t="str">
        <v>1,419.30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F6V-792</v>
      </c>
      <c r="D268" t="str">
        <v>F6V-792</v>
      </c>
      <c r="E268" t="str">
        <v/>
      </c>
      <c r="F268" t="str">
        <v>867162026042390</v>
      </c>
      <c r="G268" t="str">
        <v>Minivan</v>
      </c>
      <c r="H268" t="str">
        <v/>
      </c>
      <c r="I268" t="str">
        <v>28/09/2026</v>
      </c>
      <c r="J268" t="str">
        <v>22:01:10</v>
      </c>
      <c r="K268">
        <v>-12.213256</v>
      </c>
      <c r="L268">
        <v>-76.95885</v>
      </c>
      <c r="M268">
        <f>HYPERLINK("https://www.google.com/maps/search/?api=1&amp;query=-12.213256,-76.95885","Villa El Salvador, Lima")</f>
      </c>
      <c r="N268">
        <v>0</v>
      </c>
      <c r="O268">
        <v>100</v>
      </c>
      <c r="P268">
        <v>556150.5</v>
      </c>
      <c r="Q268" t="str">
        <v>1,419.30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F6V-792</v>
      </c>
      <c r="D269" t="str">
        <v>F6V-792</v>
      </c>
      <c r="E269" t="str">
        <v/>
      </c>
      <c r="F269" t="str">
        <v>867162026042390</v>
      </c>
      <c r="G269" t="str">
        <v>Minivan</v>
      </c>
      <c r="H269" t="str">
        <v/>
      </c>
      <c r="I269" t="str">
        <v>28/09/2026</v>
      </c>
      <c r="J269" t="str">
        <v>22:31:11</v>
      </c>
      <c r="K269">
        <v>-12.213256</v>
      </c>
      <c r="L269">
        <v>-76.95885</v>
      </c>
      <c r="M269">
        <f>HYPERLINK("https://www.google.com/maps/search/?api=1&amp;query=-12.213256,-76.95885","Villa El Salvador, Lima")</f>
      </c>
      <c r="N269">
        <v>0</v>
      </c>
      <c r="O269">
        <v>100</v>
      </c>
      <c r="P269">
        <v>556150.5</v>
      </c>
      <c r="Q269" t="str">
        <v>1,419.30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F6V-792</v>
      </c>
      <c r="D270" t="str">
        <v>F6V-792</v>
      </c>
      <c r="E270" t="str">
        <v/>
      </c>
      <c r="F270" t="str">
        <v>867162026042390</v>
      </c>
      <c r="G270" t="str">
        <v>Minivan</v>
      </c>
      <c r="H270" t="str">
        <v/>
      </c>
      <c r="I270" t="str">
        <v>28/09/2026</v>
      </c>
      <c r="J270" t="str">
        <v>23:01:15</v>
      </c>
      <c r="K270">
        <v>-12.213256</v>
      </c>
      <c r="L270">
        <v>-76.95885</v>
      </c>
      <c r="M270">
        <f>HYPERLINK("https://www.google.com/maps/search/?api=1&amp;query=-12.213256,-76.95885","Villa El Salvador, Lima")</f>
      </c>
      <c r="N270">
        <v>0</v>
      </c>
      <c r="O270">
        <v>100</v>
      </c>
      <c r="P270">
        <v>556150.5</v>
      </c>
      <c r="Q270" t="str">
        <v>1,419.30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F6V-792</v>
      </c>
      <c r="D271" t="str">
        <v>F6V-792</v>
      </c>
      <c r="E271" t="str">
        <v/>
      </c>
      <c r="F271" t="str">
        <v>867162026042390</v>
      </c>
      <c r="G271" t="str">
        <v>Minivan</v>
      </c>
      <c r="H271" t="str">
        <v/>
      </c>
      <c r="I271" t="str">
        <v>28/09/2026</v>
      </c>
      <c r="J271" t="str">
        <v>23:31:19</v>
      </c>
      <c r="K271">
        <v>-12.213256</v>
      </c>
      <c r="L271">
        <v>-76.95885</v>
      </c>
      <c r="M271">
        <f>HYPERLINK("https://www.google.com/maps/search/?api=1&amp;query=-12.213256,-76.95885","Villa El Salvador, Lima")</f>
      </c>
      <c r="N271">
        <v>0</v>
      </c>
      <c r="O271">
        <v>100</v>
      </c>
      <c r="P271">
        <v>556150.5</v>
      </c>
      <c r="Q271" t="str">
        <v>1,419.30</v>
      </c>
      <c r="R271" t="str">
        <v/>
      </c>
      <c r="S271" t="str">
        <v/>
      </c>
      <c r="T271" t="str">
        <v/>
      </c>
      <c r="U271" t="str">
        <v/>
      </c>
    </row>
  </sheetData>
  <ignoredErrors>
    <ignoredError numberStoredAsText="1" sqref="A1:U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