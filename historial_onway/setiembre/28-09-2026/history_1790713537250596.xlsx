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F8R-810</v>
      </c>
      <c r="D2" t="str">
        <v>F8R-810</v>
      </c>
      <c r="E2" t="str">
        <v/>
      </c>
      <c r="F2" t="str">
        <v>867806078868827</v>
      </c>
      <c r="G2" t="str">
        <v>TBD</v>
      </c>
      <c r="H2" t="str">
        <v/>
      </c>
      <c r="I2" t="str">
        <v>28/09/2026</v>
      </c>
      <c r="J2" t="str">
        <v>00:05:07</v>
      </c>
      <c r="K2">
        <v>-12.21491</v>
      </c>
      <c r="L2">
        <v>-76.96779</v>
      </c>
      <c r="M2">
        <f>HYPERLINK("https://www.google.com/maps/search/?api=1&amp;query=-12.21491,-76.96779","Villa El Salvador, Lima")</f>
      </c>
      <c r="N2">
        <v>0</v>
      </c>
      <c r="O2">
        <v>90</v>
      </c>
      <c r="P2">
        <v>1723.52</v>
      </c>
      <c r="Q2" t="str">
        <v>68.60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F8R-810</v>
      </c>
      <c r="D3" t="str">
        <v>F8R-810</v>
      </c>
      <c r="E3" t="str">
        <v/>
      </c>
      <c r="F3" t="str">
        <v>867806078868827</v>
      </c>
      <c r="G3" t="str">
        <v>TBD</v>
      </c>
      <c r="H3" t="str">
        <v/>
      </c>
      <c r="I3" t="str">
        <v>28/09/2026</v>
      </c>
      <c r="J3" t="str">
        <v>00:15:07</v>
      </c>
      <c r="K3">
        <v>-12.21491</v>
      </c>
      <c r="L3">
        <v>-76.96779</v>
      </c>
      <c r="M3">
        <f>HYPERLINK("https://www.google.com/maps/search/?api=1&amp;query=-12.21491,-76.96779","Villa El Salvador, Lima")</f>
      </c>
      <c r="N3">
        <v>0</v>
      </c>
      <c r="O3">
        <v>88</v>
      </c>
      <c r="P3">
        <v>1723.52</v>
      </c>
      <c r="Q3" t="str">
        <v>68.60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F8R-810</v>
      </c>
      <c r="D4" t="str">
        <v>F8R-810</v>
      </c>
      <c r="E4" t="str">
        <v/>
      </c>
      <c r="F4" t="str">
        <v>867806078868827</v>
      </c>
      <c r="G4" t="str">
        <v>TBD</v>
      </c>
      <c r="H4" t="str">
        <v/>
      </c>
      <c r="I4" t="str">
        <v>28/09/2026</v>
      </c>
      <c r="J4" t="str">
        <v>00:25:07</v>
      </c>
      <c r="K4">
        <v>-12.21491</v>
      </c>
      <c r="L4">
        <v>-76.96779</v>
      </c>
      <c r="M4">
        <f>HYPERLINK("https://www.google.com/maps/search/?api=1&amp;query=-12.21491,-76.96779","Villa El Salvador, Lima")</f>
      </c>
      <c r="N4">
        <v>0</v>
      </c>
      <c r="O4">
        <v>93</v>
      </c>
      <c r="P4">
        <v>1723.52</v>
      </c>
      <c r="Q4" t="str">
        <v>68.60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F8R-810</v>
      </c>
      <c r="D5" t="str">
        <v>F8R-810</v>
      </c>
      <c r="E5" t="str">
        <v/>
      </c>
      <c r="F5" t="str">
        <v>867806078868827</v>
      </c>
      <c r="G5" t="str">
        <v>TBD</v>
      </c>
      <c r="H5" t="str">
        <v/>
      </c>
      <c r="I5" t="str">
        <v>28/09/2026</v>
      </c>
      <c r="J5" t="str">
        <v>00:35:07</v>
      </c>
      <c r="K5">
        <v>-12.21491</v>
      </c>
      <c r="L5">
        <v>-76.96779</v>
      </c>
      <c r="M5">
        <f>HYPERLINK("https://www.google.com/maps/search/?api=1&amp;query=-12.21491,-76.96779","Villa El Salvador, Lima")</f>
      </c>
      <c r="N5">
        <v>0</v>
      </c>
      <c r="O5">
        <v>93</v>
      </c>
      <c r="P5">
        <v>1723.52</v>
      </c>
      <c r="Q5" t="str">
        <v>68.60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F8R-810</v>
      </c>
      <c r="D6" t="str">
        <v>F8R-810</v>
      </c>
      <c r="E6" t="str">
        <v/>
      </c>
      <c r="F6" t="str">
        <v>867806078868827</v>
      </c>
      <c r="G6" t="str">
        <v>TBD</v>
      </c>
      <c r="H6" t="str">
        <v/>
      </c>
      <c r="I6" t="str">
        <v>28/09/2026</v>
      </c>
      <c r="J6" t="str">
        <v>00:45:07</v>
      </c>
      <c r="K6">
        <v>-12.21491</v>
      </c>
      <c r="L6">
        <v>-76.96779</v>
      </c>
      <c r="M6">
        <f>HYPERLINK("https://www.google.com/maps/search/?api=1&amp;query=-12.21491,-76.96779","Villa El Salvador, Lima")</f>
      </c>
      <c r="N6">
        <v>0</v>
      </c>
      <c r="O6">
        <v>93</v>
      </c>
      <c r="P6">
        <v>1723.52</v>
      </c>
      <c r="Q6" t="str">
        <v>68.60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F8R-810</v>
      </c>
      <c r="D7" t="str">
        <v>F8R-810</v>
      </c>
      <c r="E7" t="str">
        <v/>
      </c>
      <c r="F7" t="str">
        <v>867806078868827</v>
      </c>
      <c r="G7" t="str">
        <v>TBD</v>
      </c>
      <c r="H7" t="str">
        <v/>
      </c>
      <c r="I7" t="str">
        <v>28/09/2026</v>
      </c>
      <c r="J7" t="str">
        <v>00:55:07</v>
      </c>
      <c r="K7">
        <v>-12.21491</v>
      </c>
      <c r="L7">
        <v>-76.96779</v>
      </c>
      <c r="M7">
        <f>HYPERLINK("https://www.google.com/maps/search/?api=1&amp;query=-12.21491,-76.96779","Villa El Salvador, Lima")</f>
      </c>
      <c r="N7">
        <v>0</v>
      </c>
      <c r="O7">
        <v>93</v>
      </c>
      <c r="P7">
        <v>1723.52</v>
      </c>
      <c r="Q7" t="str">
        <v>68.60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F8R-810</v>
      </c>
      <c r="D8" t="str">
        <v>F8R-810</v>
      </c>
      <c r="E8" t="str">
        <v/>
      </c>
      <c r="F8" t="str">
        <v>867806078868827</v>
      </c>
      <c r="G8" t="str">
        <v>TBD</v>
      </c>
      <c r="H8" t="str">
        <v/>
      </c>
      <c r="I8" t="str">
        <v>28/09/2026</v>
      </c>
      <c r="J8" t="str">
        <v>01:05:07</v>
      </c>
      <c r="K8">
        <v>-12.21491</v>
      </c>
      <c r="L8">
        <v>-76.96779</v>
      </c>
      <c r="M8">
        <f>HYPERLINK("https://www.google.com/maps/search/?api=1&amp;query=-12.21491,-76.96779","Villa El Salvador, Lima")</f>
      </c>
      <c r="N8">
        <v>0</v>
      </c>
      <c r="O8">
        <v>93</v>
      </c>
      <c r="P8">
        <v>1723.52</v>
      </c>
      <c r="Q8" t="str">
        <v>68.60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F8R-810</v>
      </c>
      <c r="D9" t="str">
        <v>F8R-810</v>
      </c>
      <c r="E9" t="str">
        <v/>
      </c>
      <c r="F9" t="str">
        <v>867806078868827</v>
      </c>
      <c r="G9" t="str">
        <v>TBD</v>
      </c>
      <c r="H9" t="str">
        <v/>
      </c>
      <c r="I9" t="str">
        <v>28/09/2026</v>
      </c>
      <c r="J9" t="str">
        <v>01:15:07</v>
      </c>
      <c r="K9">
        <v>-12.21491</v>
      </c>
      <c r="L9">
        <v>-76.96779</v>
      </c>
      <c r="M9">
        <f>HYPERLINK("https://www.google.com/maps/search/?api=1&amp;query=-12.21491,-76.96779","Villa El Salvador, Lima")</f>
      </c>
      <c r="N9">
        <v>0</v>
      </c>
      <c r="O9">
        <v>93</v>
      </c>
      <c r="P9">
        <v>1723.52</v>
      </c>
      <c r="Q9" t="str">
        <v>68.60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F8R-810</v>
      </c>
      <c r="D10" t="str">
        <v>F8R-810</v>
      </c>
      <c r="E10" t="str">
        <v/>
      </c>
      <c r="F10" t="str">
        <v>867806078868827</v>
      </c>
      <c r="G10" t="str">
        <v>TBD</v>
      </c>
      <c r="H10" t="str">
        <v/>
      </c>
      <c r="I10" t="str">
        <v>28/09/2026</v>
      </c>
      <c r="J10" t="str">
        <v>01:25:07</v>
      </c>
      <c r="K10">
        <v>-12.21491</v>
      </c>
      <c r="L10">
        <v>-76.96779</v>
      </c>
      <c r="M10">
        <f>HYPERLINK("https://www.google.com/maps/search/?api=1&amp;query=-12.21491,-76.96779","Villa El Salvador, Lima")</f>
      </c>
      <c r="N10">
        <v>0</v>
      </c>
      <c r="O10">
        <v>93</v>
      </c>
      <c r="P10">
        <v>1723.52</v>
      </c>
      <c r="Q10" t="str">
        <v>68.60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F8R-810</v>
      </c>
      <c r="D11" t="str">
        <v>F8R-810</v>
      </c>
      <c r="E11" t="str">
        <v/>
      </c>
      <c r="F11" t="str">
        <v>867806078868827</v>
      </c>
      <c r="G11" t="str">
        <v>TBD</v>
      </c>
      <c r="H11" t="str">
        <v/>
      </c>
      <c r="I11" t="str">
        <v>28/09/2026</v>
      </c>
      <c r="J11" t="str">
        <v>01:35:07</v>
      </c>
      <c r="K11">
        <v>-12.21491</v>
      </c>
      <c r="L11">
        <v>-76.96779</v>
      </c>
      <c r="M11">
        <f>HYPERLINK("https://www.google.com/maps/search/?api=1&amp;query=-12.21491,-76.96779","Villa El Salvador, Lima")</f>
      </c>
      <c r="N11">
        <v>0</v>
      </c>
      <c r="O11">
        <v>93</v>
      </c>
      <c r="P11">
        <v>1723.52</v>
      </c>
      <c r="Q11" t="str">
        <v>68.60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F8R-810</v>
      </c>
      <c r="D12" t="str">
        <v>F8R-810</v>
      </c>
      <c r="E12" t="str">
        <v/>
      </c>
      <c r="F12" t="str">
        <v>867806078868827</v>
      </c>
      <c r="G12" t="str">
        <v>TBD</v>
      </c>
      <c r="H12" t="str">
        <v/>
      </c>
      <c r="I12" t="str">
        <v>28/09/2026</v>
      </c>
      <c r="J12" t="str">
        <v>01:45:07</v>
      </c>
      <c r="K12">
        <v>-12.21491</v>
      </c>
      <c r="L12">
        <v>-76.96779</v>
      </c>
      <c r="M12">
        <f>HYPERLINK("https://www.google.com/maps/search/?api=1&amp;query=-12.21491,-76.96779","Villa El Salvador, Lima")</f>
      </c>
      <c r="N12">
        <v>0</v>
      </c>
      <c r="O12">
        <v>93</v>
      </c>
      <c r="P12">
        <v>1723.52</v>
      </c>
      <c r="Q12" t="str">
        <v>68.60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F8R-810</v>
      </c>
      <c r="D13" t="str">
        <v>F8R-810</v>
      </c>
      <c r="E13" t="str">
        <v/>
      </c>
      <c r="F13" t="str">
        <v>867806078868827</v>
      </c>
      <c r="G13" t="str">
        <v>TBD</v>
      </c>
      <c r="H13" t="str">
        <v/>
      </c>
      <c r="I13" t="str">
        <v>28/09/2026</v>
      </c>
      <c r="J13" t="str">
        <v>01:55:07</v>
      </c>
      <c r="K13">
        <v>-12.21491</v>
      </c>
      <c r="L13">
        <v>-76.96779</v>
      </c>
      <c r="M13">
        <f>HYPERLINK("https://www.google.com/maps/search/?api=1&amp;query=-12.21491,-76.96779","Villa El Salvador, Lima")</f>
      </c>
      <c r="N13">
        <v>0</v>
      </c>
      <c r="O13">
        <v>93</v>
      </c>
      <c r="P13">
        <v>1723.52</v>
      </c>
      <c r="Q13" t="str">
        <v>68.60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F8R-810</v>
      </c>
      <c r="D14" t="str">
        <v>F8R-810</v>
      </c>
      <c r="E14" t="str">
        <v/>
      </c>
      <c r="F14" t="str">
        <v>867806078868827</v>
      </c>
      <c r="G14" t="str">
        <v>TBD</v>
      </c>
      <c r="H14" t="str">
        <v/>
      </c>
      <c r="I14" t="str">
        <v>28/09/2026</v>
      </c>
      <c r="J14" t="str">
        <v>02:05:07</v>
      </c>
      <c r="K14">
        <v>-12.21491</v>
      </c>
      <c r="L14">
        <v>-76.96779</v>
      </c>
      <c r="M14">
        <f>HYPERLINK("https://www.google.com/maps/search/?api=1&amp;query=-12.21491,-76.96779","Villa El Salvador, Lima")</f>
      </c>
      <c r="N14">
        <v>0</v>
      </c>
      <c r="O14">
        <v>93</v>
      </c>
      <c r="P14">
        <v>1723.52</v>
      </c>
      <c r="Q14" t="str">
        <v>68.60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F8R-810</v>
      </c>
      <c r="D15" t="str">
        <v>F8R-810</v>
      </c>
      <c r="E15" t="str">
        <v/>
      </c>
      <c r="F15" t="str">
        <v>867806078868827</v>
      </c>
      <c r="G15" t="str">
        <v>TBD</v>
      </c>
      <c r="H15" t="str">
        <v/>
      </c>
      <c r="I15" t="str">
        <v>28/09/2026</v>
      </c>
      <c r="J15" t="str">
        <v>02:15:07</v>
      </c>
      <c r="K15">
        <v>-12.21491</v>
      </c>
      <c r="L15">
        <v>-76.96779</v>
      </c>
      <c r="M15">
        <f>HYPERLINK("https://www.google.com/maps/search/?api=1&amp;query=-12.21491,-76.96779","Villa El Salvador, Lima")</f>
      </c>
      <c r="N15">
        <v>0</v>
      </c>
      <c r="O15">
        <v>93</v>
      </c>
      <c r="P15">
        <v>1723.52</v>
      </c>
      <c r="Q15" t="str">
        <v>68.60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F8R-810</v>
      </c>
      <c r="D16" t="str">
        <v>F8R-810</v>
      </c>
      <c r="E16" t="str">
        <v/>
      </c>
      <c r="F16" t="str">
        <v>867806078868827</v>
      </c>
      <c r="G16" t="str">
        <v>TBD</v>
      </c>
      <c r="H16" t="str">
        <v/>
      </c>
      <c r="I16" t="str">
        <v>28/09/2026</v>
      </c>
      <c r="J16" t="str">
        <v>02:25:07</v>
      </c>
      <c r="K16">
        <v>-12.21491</v>
      </c>
      <c r="L16">
        <v>-76.96779</v>
      </c>
      <c r="M16">
        <f>HYPERLINK("https://www.google.com/maps/search/?api=1&amp;query=-12.21491,-76.96779","Villa El Salvador, Lima")</f>
      </c>
      <c r="N16">
        <v>0</v>
      </c>
      <c r="O16">
        <v>93</v>
      </c>
      <c r="P16">
        <v>1723.52</v>
      </c>
      <c r="Q16" t="str">
        <v>68.60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F8R-810</v>
      </c>
      <c r="D17" t="str">
        <v>F8R-810</v>
      </c>
      <c r="E17" t="str">
        <v/>
      </c>
      <c r="F17" t="str">
        <v>867806078868827</v>
      </c>
      <c r="G17" t="str">
        <v>TBD</v>
      </c>
      <c r="H17" t="str">
        <v/>
      </c>
      <c r="I17" t="str">
        <v>28/09/2026</v>
      </c>
      <c r="J17" t="str">
        <v>02:35:07</v>
      </c>
      <c r="K17">
        <v>-12.21491</v>
      </c>
      <c r="L17">
        <v>-76.96779</v>
      </c>
      <c r="M17">
        <f>HYPERLINK("https://www.google.com/maps/search/?api=1&amp;query=-12.21491,-76.96779","Villa El Salvador, Lima")</f>
      </c>
      <c r="N17">
        <v>0</v>
      </c>
      <c r="O17">
        <v>93</v>
      </c>
      <c r="P17">
        <v>1723.52</v>
      </c>
      <c r="Q17" t="str">
        <v>68.60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F8R-810</v>
      </c>
      <c r="D18" t="str">
        <v>F8R-810</v>
      </c>
      <c r="E18" t="str">
        <v/>
      </c>
      <c r="F18" t="str">
        <v>867806078868827</v>
      </c>
      <c r="G18" t="str">
        <v>TBD</v>
      </c>
      <c r="H18" t="str">
        <v/>
      </c>
      <c r="I18" t="str">
        <v>28/09/2026</v>
      </c>
      <c r="J18" t="str">
        <v>02:45:07</v>
      </c>
      <c r="K18">
        <v>-12.21491</v>
      </c>
      <c r="L18">
        <v>-76.96779</v>
      </c>
      <c r="M18">
        <f>HYPERLINK("https://www.google.com/maps/search/?api=1&amp;query=-12.21491,-76.96779","Villa El Salvador, Lima")</f>
      </c>
      <c r="N18">
        <v>0</v>
      </c>
      <c r="O18">
        <v>93</v>
      </c>
      <c r="P18">
        <v>1723.52</v>
      </c>
      <c r="Q18" t="str">
        <v>68.60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F8R-810</v>
      </c>
      <c r="D19" t="str">
        <v>F8R-810</v>
      </c>
      <c r="E19" t="str">
        <v/>
      </c>
      <c r="F19" t="str">
        <v>867806078868827</v>
      </c>
      <c r="G19" t="str">
        <v>TBD</v>
      </c>
      <c r="H19" t="str">
        <v/>
      </c>
      <c r="I19" t="str">
        <v>28/09/2026</v>
      </c>
      <c r="J19" t="str">
        <v>02:55:07</v>
      </c>
      <c r="K19">
        <v>-12.21491</v>
      </c>
      <c r="L19">
        <v>-76.96779</v>
      </c>
      <c r="M19">
        <f>HYPERLINK("https://www.google.com/maps/search/?api=1&amp;query=-12.21491,-76.96779","Villa El Salvador, Lima")</f>
      </c>
      <c r="N19">
        <v>0</v>
      </c>
      <c r="O19">
        <v>92</v>
      </c>
      <c r="P19">
        <v>1723.52</v>
      </c>
      <c r="Q19" t="str">
        <v>68.60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F8R-810</v>
      </c>
      <c r="D20" t="str">
        <v>F8R-810</v>
      </c>
      <c r="E20" t="str">
        <v/>
      </c>
      <c r="F20" t="str">
        <v>867806078868827</v>
      </c>
      <c r="G20" t="str">
        <v>TBD</v>
      </c>
      <c r="H20" t="str">
        <v/>
      </c>
      <c r="I20" t="str">
        <v>28/09/2026</v>
      </c>
      <c r="J20" t="str">
        <v>03:05:07</v>
      </c>
      <c r="K20">
        <v>-12.21491</v>
      </c>
      <c r="L20">
        <v>-76.96779</v>
      </c>
      <c r="M20">
        <f>HYPERLINK("https://www.google.com/maps/search/?api=1&amp;query=-12.21491,-76.96779","Villa El Salvador, Lima")</f>
      </c>
      <c r="N20">
        <v>0</v>
      </c>
      <c r="O20">
        <v>82</v>
      </c>
      <c r="P20">
        <v>1723.52</v>
      </c>
      <c r="Q20" t="str">
        <v>68.60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F8R-810</v>
      </c>
      <c r="D21" t="str">
        <v>F8R-810</v>
      </c>
      <c r="E21" t="str">
        <v/>
      </c>
      <c r="F21" t="str">
        <v>867806078868827</v>
      </c>
      <c r="G21" t="str">
        <v>TBD</v>
      </c>
      <c r="H21" t="str">
        <v/>
      </c>
      <c r="I21" t="str">
        <v>28/09/2026</v>
      </c>
      <c r="J21" t="str">
        <v>03:15:07</v>
      </c>
      <c r="K21">
        <v>-12.21491</v>
      </c>
      <c r="L21">
        <v>-76.96779</v>
      </c>
      <c r="M21">
        <f>HYPERLINK("https://www.google.com/maps/search/?api=1&amp;query=-12.21491,-76.96779","Villa El Salvador, Lima")</f>
      </c>
      <c r="N21">
        <v>0</v>
      </c>
      <c r="O21">
        <v>82</v>
      </c>
      <c r="P21">
        <v>1723.52</v>
      </c>
      <c r="Q21" t="str">
        <v>68.60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F8R-810</v>
      </c>
      <c r="D22" t="str">
        <v>F8R-810</v>
      </c>
      <c r="E22" t="str">
        <v/>
      </c>
      <c r="F22" t="str">
        <v>867806078868827</v>
      </c>
      <c r="G22" t="str">
        <v>TBD</v>
      </c>
      <c r="H22" t="str">
        <v/>
      </c>
      <c r="I22" t="str">
        <v>28/09/2026</v>
      </c>
      <c r="J22" t="str">
        <v>03:25:07</v>
      </c>
      <c r="K22">
        <v>-12.21491</v>
      </c>
      <c r="L22">
        <v>-76.96779</v>
      </c>
      <c r="M22">
        <f>HYPERLINK("https://www.google.com/maps/search/?api=1&amp;query=-12.21491,-76.96779","Villa El Salvador, Lima")</f>
      </c>
      <c r="N22">
        <v>0</v>
      </c>
      <c r="O22">
        <v>95</v>
      </c>
      <c r="P22">
        <v>1723.52</v>
      </c>
      <c r="Q22" t="str">
        <v>68.60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F8R-810</v>
      </c>
      <c r="D23" t="str">
        <v>F8R-810</v>
      </c>
      <c r="E23" t="str">
        <v/>
      </c>
      <c r="F23" t="str">
        <v>867806078868827</v>
      </c>
      <c r="G23" t="str">
        <v>TBD</v>
      </c>
      <c r="H23" t="str">
        <v/>
      </c>
      <c r="I23" t="str">
        <v>28/09/2026</v>
      </c>
      <c r="J23" t="str">
        <v>03:35:07</v>
      </c>
      <c r="K23">
        <v>-12.21491</v>
      </c>
      <c r="L23">
        <v>-76.96779</v>
      </c>
      <c r="M23">
        <f>HYPERLINK("https://www.google.com/maps/search/?api=1&amp;query=-12.21491,-76.96779","Villa El Salvador, Lima")</f>
      </c>
      <c r="N23">
        <v>0</v>
      </c>
      <c r="O23">
        <v>95</v>
      </c>
      <c r="P23">
        <v>1723.52</v>
      </c>
      <c r="Q23" t="str">
        <v>68.60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F8R-810</v>
      </c>
      <c r="D24" t="str">
        <v>F8R-810</v>
      </c>
      <c r="E24" t="str">
        <v/>
      </c>
      <c r="F24" t="str">
        <v>867806078868827</v>
      </c>
      <c r="G24" t="str">
        <v>TBD</v>
      </c>
      <c r="H24" t="str">
        <v/>
      </c>
      <c r="I24" t="str">
        <v>28/09/2026</v>
      </c>
      <c r="J24" t="str">
        <v>03:45:07</v>
      </c>
      <c r="K24">
        <v>-12.21491</v>
      </c>
      <c r="L24">
        <v>-76.96779</v>
      </c>
      <c r="M24">
        <f>HYPERLINK("https://www.google.com/maps/search/?api=1&amp;query=-12.21491,-76.96779","Villa El Salvador, Lima")</f>
      </c>
      <c r="N24">
        <v>0</v>
      </c>
      <c r="O24">
        <v>95</v>
      </c>
      <c r="P24">
        <v>1723.52</v>
      </c>
      <c r="Q24" t="str">
        <v>68.60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F8R-810</v>
      </c>
      <c r="D25" t="str">
        <v>F8R-810</v>
      </c>
      <c r="E25" t="str">
        <v/>
      </c>
      <c r="F25" t="str">
        <v>867806078868827</v>
      </c>
      <c r="G25" t="str">
        <v>TBD</v>
      </c>
      <c r="H25" t="str">
        <v/>
      </c>
      <c r="I25" t="str">
        <v>28/09/2026</v>
      </c>
      <c r="J25" t="str">
        <v>03:55:07</v>
      </c>
      <c r="K25">
        <v>-12.21491</v>
      </c>
      <c r="L25">
        <v>-76.96779</v>
      </c>
      <c r="M25">
        <f>HYPERLINK("https://www.google.com/maps/search/?api=1&amp;query=-12.21491,-76.96779","Villa El Salvador, Lima")</f>
      </c>
      <c r="N25">
        <v>0</v>
      </c>
      <c r="O25">
        <v>95</v>
      </c>
      <c r="P25">
        <v>1723.52</v>
      </c>
      <c r="Q25" t="str">
        <v>68.60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F8R-810</v>
      </c>
      <c r="D26" t="str">
        <v>F8R-810</v>
      </c>
      <c r="E26" t="str">
        <v/>
      </c>
      <c r="F26" t="str">
        <v>867806078868827</v>
      </c>
      <c r="G26" t="str">
        <v>TBD</v>
      </c>
      <c r="H26" t="str">
        <v/>
      </c>
      <c r="I26" t="str">
        <v>28/09/2026</v>
      </c>
      <c r="J26" t="str">
        <v>04:05:02</v>
      </c>
      <c r="K26">
        <v>-12.21491</v>
      </c>
      <c r="L26">
        <v>-76.96779</v>
      </c>
      <c r="M26">
        <f>HYPERLINK("https://www.google.com/maps/search/?api=1&amp;query=-12.21491,-76.96779","Villa El Salvador, Lima")</f>
      </c>
      <c r="N26">
        <v>0</v>
      </c>
      <c r="O26">
        <v>95</v>
      </c>
      <c r="P26">
        <v>1723.52</v>
      </c>
      <c r="Q26" t="str">
        <v>68.60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F8R-810</v>
      </c>
      <c r="D27" t="str">
        <v>F8R-810</v>
      </c>
      <c r="E27" t="str">
        <v/>
      </c>
      <c r="F27" t="str">
        <v>867806078868827</v>
      </c>
      <c r="G27" t="str">
        <v>TBD</v>
      </c>
      <c r="H27" t="str">
        <v/>
      </c>
      <c r="I27" t="str">
        <v>28/09/2026</v>
      </c>
      <c r="J27" t="str">
        <v>04:15:02</v>
      </c>
      <c r="K27">
        <v>-12.21491</v>
      </c>
      <c r="L27">
        <v>-76.96779</v>
      </c>
      <c r="M27">
        <f>HYPERLINK("https://www.google.com/maps/search/?api=1&amp;query=-12.21491,-76.96779","Villa El Salvador, Lima")</f>
      </c>
      <c r="N27">
        <v>0</v>
      </c>
      <c r="O27">
        <v>83</v>
      </c>
      <c r="P27">
        <v>1723.52</v>
      </c>
      <c r="Q27" t="str">
        <v>68.60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F8R-810</v>
      </c>
      <c r="D28" t="str">
        <v>F8R-810</v>
      </c>
      <c r="E28" t="str">
        <v/>
      </c>
      <c r="F28" t="str">
        <v>867806078868827</v>
      </c>
      <c r="G28" t="str">
        <v>TBD</v>
      </c>
      <c r="H28" t="str">
        <v/>
      </c>
      <c r="I28" t="str">
        <v>28/09/2026</v>
      </c>
      <c r="J28" t="str">
        <v>04:25:02</v>
      </c>
      <c r="K28">
        <v>-12.21491</v>
      </c>
      <c r="L28">
        <v>-76.96779</v>
      </c>
      <c r="M28">
        <f>HYPERLINK("https://www.google.com/maps/search/?api=1&amp;query=-12.21491,-76.96779","Villa El Salvador, Lima")</f>
      </c>
      <c r="N28">
        <v>0</v>
      </c>
      <c r="O28">
        <v>83</v>
      </c>
      <c r="P28">
        <v>1723.52</v>
      </c>
      <c r="Q28" t="str">
        <v>68.60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F8R-810</v>
      </c>
      <c r="D29" t="str">
        <v>F8R-810</v>
      </c>
      <c r="E29" t="str">
        <v/>
      </c>
      <c r="F29" t="str">
        <v>867806078868827</v>
      </c>
      <c r="G29" t="str">
        <v>TBD</v>
      </c>
      <c r="H29" t="str">
        <v/>
      </c>
      <c r="I29" t="str">
        <v>28/09/2026</v>
      </c>
      <c r="J29" t="str">
        <v>04:35:02</v>
      </c>
      <c r="K29">
        <v>-12.21491</v>
      </c>
      <c r="L29">
        <v>-76.96779</v>
      </c>
      <c r="M29">
        <f>HYPERLINK("https://www.google.com/maps/search/?api=1&amp;query=-12.21491,-76.96779","Villa El Salvador, Lima")</f>
      </c>
      <c r="N29">
        <v>0</v>
      </c>
      <c r="O29">
        <v>83</v>
      </c>
      <c r="P29">
        <v>1723.52</v>
      </c>
      <c r="Q29" t="str">
        <v>68.60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F8R-810</v>
      </c>
      <c r="D30" t="str">
        <v>F8R-810</v>
      </c>
      <c r="E30" t="str">
        <v/>
      </c>
      <c r="F30" t="str">
        <v>867806078868827</v>
      </c>
      <c r="G30" t="str">
        <v>TBD</v>
      </c>
      <c r="H30" t="str">
        <v/>
      </c>
      <c r="I30" t="str">
        <v>28/09/2026</v>
      </c>
      <c r="J30" t="str">
        <v>04:45:02</v>
      </c>
      <c r="K30">
        <v>-12.21491</v>
      </c>
      <c r="L30">
        <v>-76.96779</v>
      </c>
      <c r="M30">
        <f>HYPERLINK("https://www.google.com/maps/search/?api=1&amp;query=-12.21491,-76.96779","Villa El Salvador, Lima")</f>
      </c>
      <c r="N30">
        <v>0</v>
      </c>
      <c r="O30">
        <v>89</v>
      </c>
      <c r="P30">
        <v>1723.52</v>
      </c>
      <c r="Q30" t="str">
        <v>68.60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F8R-810</v>
      </c>
      <c r="D31" t="str">
        <v>F8R-810</v>
      </c>
      <c r="E31" t="str">
        <v/>
      </c>
      <c r="F31" t="str">
        <v>867806078868827</v>
      </c>
      <c r="G31" t="str">
        <v>TBD</v>
      </c>
      <c r="H31" t="str">
        <v/>
      </c>
      <c r="I31" t="str">
        <v>28/09/2026</v>
      </c>
      <c r="J31" t="str">
        <v>04:55:02</v>
      </c>
      <c r="K31">
        <v>-12.21491</v>
      </c>
      <c r="L31">
        <v>-76.96779</v>
      </c>
      <c r="M31">
        <f>HYPERLINK("https://www.google.com/maps/search/?api=1&amp;query=-12.21491,-76.96779","Villa El Salvador, Lima")</f>
      </c>
      <c r="N31">
        <v>0</v>
      </c>
      <c r="O31">
        <v>89</v>
      </c>
      <c r="P31">
        <v>1723.52</v>
      </c>
      <c r="Q31" t="str">
        <v>68.60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F8R-810</v>
      </c>
      <c r="D32" t="str">
        <v>F8R-810</v>
      </c>
      <c r="E32" t="str">
        <v/>
      </c>
      <c r="F32" t="str">
        <v>867806078868827</v>
      </c>
      <c r="G32" t="str">
        <v>TBD</v>
      </c>
      <c r="H32" t="str">
        <v/>
      </c>
      <c r="I32" t="str">
        <v>28/09/2026</v>
      </c>
      <c r="J32" t="str">
        <v>05:05:02</v>
      </c>
      <c r="K32">
        <v>-12.21491</v>
      </c>
      <c r="L32">
        <v>-76.96779</v>
      </c>
      <c r="M32">
        <f>HYPERLINK("https://www.google.com/maps/search/?api=1&amp;query=-12.21491,-76.96779","Villa El Salvador, Lima")</f>
      </c>
      <c r="N32">
        <v>0</v>
      </c>
      <c r="O32">
        <v>89</v>
      </c>
      <c r="P32">
        <v>1723.52</v>
      </c>
      <c r="Q32" t="str">
        <v>68.60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F8R-810</v>
      </c>
      <c r="D33" t="str">
        <v>F8R-810</v>
      </c>
      <c r="E33" t="str">
        <v/>
      </c>
      <c r="F33" t="str">
        <v>867806078868827</v>
      </c>
      <c r="G33" t="str">
        <v>TBD</v>
      </c>
      <c r="H33" t="str">
        <v/>
      </c>
      <c r="I33" t="str">
        <v>28/09/2026</v>
      </c>
      <c r="J33" t="str">
        <v>05:15:02</v>
      </c>
      <c r="K33">
        <v>-12.21491</v>
      </c>
      <c r="L33">
        <v>-76.96779</v>
      </c>
      <c r="M33">
        <f>HYPERLINK("https://www.google.com/maps/search/?api=1&amp;query=-12.21491,-76.96779","Villa El Salvador, Lima")</f>
      </c>
      <c r="N33">
        <v>0</v>
      </c>
      <c r="O33">
        <v>89</v>
      </c>
      <c r="P33">
        <v>1723.52</v>
      </c>
      <c r="Q33" t="str">
        <v>68.60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F8R-810</v>
      </c>
      <c r="D34" t="str">
        <v>F8R-810</v>
      </c>
      <c r="E34" t="str">
        <v/>
      </c>
      <c r="F34" t="str">
        <v>867806078868827</v>
      </c>
      <c r="G34" t="str">
        <v>TBD</v>
      </c>
      <c r="H34" t="str">
        <v/>
      </c>
      <c r="I34" t="str">
        <v>28/09/2026</v>
      </c>
      <c r="J34" t="str">
        <v>05:21:08</v>
      </c>
      <c r="K34">
        <v>-12.21491</v>
      </c>
      <c r="L34">
        <v>-76.96779</v>
      </c>
      <c r="M34">
        <f>HYPERLINK("https://www.google.com/maps/search/?api=1&amp;query=-12.21491,-76.96779","Villa El Salvador, Lima")</f>
      </c>
      <c r="N34">
        <v>0</v>
      </c>
      <c r="O34">
        <v>87</v>
      </c>
      <c r="P34">
        <v>1723.52</v>
      </c>
      <c r="Q34" t="str">
        <v>68.60</v>
      </c>
      <c r="R34" t="str">
        <v>Vehículo encendido</v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F8R-810</v>
      </c>
      <c r="D35" t="str">
        <v>F8R-810</v>
      </c>
      <c r="E35" t="str">
        <v/>
      </c>
      <c r="F35" t="str">
        <v>867806078868827</v>
      </c>
      <c r="G35" t="str">
        <v>TBD</v>
      </c>
      <c r="H35" t="str">
        <v/>
      </c>
      <c r="I35" t="str">
        <v>28/09/2026</v>
      </c>
      <c r="J35" t="str">
        <v>05:21:35</v>
      </c>
      <c r="K35">
        <v>-12.21491</v>
      </c>
      <c r="L35">
        <v>-76.96779</v>
      </c>
      <c r="M35">
        <f>HYPERLINK("https://www.google.com/maps/search/?api=1&amp;query=-12.21491,-76.96779","Villa El Salvador, Lima")</f>
      </c>
      <c r="N35">
        <v>0</v>
      </c>
      <c r="O35">
        <v>87</v>
      </c>
      <c r="P35">
        <v>1723.52</v>
      </c>
      <c r="Q35" t="str">
        <v>68.60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F8R-810</v>
      </c>
      <c r="D36" t="str">
        <v>F8R-810</v>
      </c>
      <c r="E36" t="str">
        <v/>
      </c>
      <c r="F36" t="str">
        <v>867806078868827</v>
      </c>
      <c r="G36" t="str">
        <v>TBD</v>
      </c>
      <c r="H36" t="str">
        <v/>
      </c>
      <c r="I36" t="str">
        <v>28/09/2026</v>
      </c>
      <c r="J36" t="str">
        <v>05:22:08</v>
      </c>
      <c r="K36">
        <v>-12.21491</v>
      </c>
      <c r="L36">
        <v>-76.96779</v>
      </c>
      <c r="M36">
        <f>HYPERLINK("https://www.google.com/maps/search/?api=1&amp;query=-12.21491,-76.96779","Villa El Salvador, Lima")</f>
      </c>
      <c r="N36">
        <v>0</v>
      </c>
      <c r="O36">
        <v>87</v>
      </c>
      <c r="P36">
        <v>1723.52</v>
      </c>
      <c r="Q36" t="str">
        <v>68.60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F8R-810</v>
      </c>
      <c r="D37" t="str">
        <v>F8R-810</v>
      </c>
      <c r="E37" t="str">
        <v/>
      </c>
      <c r="F37" t="str">
        <v>867806078868827</v>
      </c>
      <c r="G37" t="str">
        <v>TBD</v>
      </c>
      <c r="H37" t="str">
        <v/>
      </c>
      <c r="I37" t="str">
        <v>28/09/2026</v>
      </c>
      <c r="J37" t="str">
        <v>05:23:08</v>
      </c>
      <c r="K37">
        <v>-12.21491</v>
      </c>
      <c r="L37">
        <v>-76.96779</v>
      </c>
      <c r="M37">
        <f>HYPERLINK("https://www.google.com/maps/search/?api=1&amp;query=-12.21491,-76.96779","Villa El Salvador, Lima")</f>
      </c>
      <c r="N37">
        <v>0</v>
      </c>
      <c r="O37">
        <v>87</v>
      </c>
      <c r="P37">
        <v>1723.52</v>
      </c>
      <c r="Q37" t="str">
        <v>68.60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F8R-810</v>
      </c>
      <c r="D38" t="str">
        <v>F8R-810</v>
      </c>
      <c r="E38" t="str">
        <v/>
      </c>
      <c r="F38" t="str">
        <v>867806078868827</v>
      </c>
      <c r="G38" t="str">
        <v>TBD</v>
      </c>
      <c r="H38" t="str">
        <v/>
      </c>
      <c r="I38" t="str">
        <v>28/09/2026</v>
      </c>
      <c r="J38" t="str">
        <v>05:23:27</v>
      </c>
      <c r="K38">
        <v>-12.21491</v>
      </c>
      <c r="L38">
        <v>-76.96764</v>
      </c>
      <c r="M38">
        <f>HYPERLINK("https://www.google.com/maps/search/?api=1&amp;query=-12.21491,-76.96764","Avenida El Sol, Villa El Salvador, Lima")</f>
      </c>
      <c r="N38">
        <v>0</v>
      </c>
      <c r="O38">
        <v>87</v>
      </c>
      <c r="P38">
        <v>1723.53</v>
      </c>
      <c r="Q38" t="str">
        <v>68.60</v>
      </c>
      <c r="R38" t="str">
        <v>Se movio</v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F8R-810</v>
      </c>
      <c r="D39" t="str">
        <v>F8R-810</v>
      </c>
      <c r="E39" t="str">
        <v/>
      </c>
      <c r="F39" t="str">
        <v>867806078868827</v>
      </c>
      <c r="G39" t="str">
        <v>TBD</v>
      </c>
      <c r="H39" t="str">
        <v/>
      </c>
      <c r="I39" t="str">
        <v>28/09/2026</v>
      </c>
      <c r="J39" t="str">
        <v>05:23:35</v>
      </c>
      <c r="K39">
        <v>-12.21491</v>
      </c>
      <c r="L39">
        <v>-76.96764</v>
      </c>
      <c r="M39">
        <f>HYPERLINK("https://www.google.com/maps/search/?api=1&amp;query=-12.21491,-76.96764","Avenida El Sol, Villa El Salvador, Lima")</f>
      </c>
      <c r="N39">
        <v>0</v>
      </c>
      <c r="O39">
        <v>87</v>
      </c>
      <c r="P39">
        <v>1723.53</v>
      </c>
      <c r="Q39" t="str">
        <v>68.60</v>
      </c>
      <c r="R39" t="str">
        <v>Acelerado y giro brusco</v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F8R-810</v>
      </c>
      <c r="D40" t="str">
        <v>F8R-810</v>
      </c>
      <c r="E40" t="str">
        <v/>
      </c>
      <c r="F40" t="str">
        <v>867806078868827</v>
      </c>
      <c r="G40" t="str">
        <v>TBD</v>
      </c>
      <c r="H40" t="str">
        <v/>
      </c>
      <c r="I40" t="str">
        <v>28/09/2026</v>
      </c>
      <c r="J40" t="str">
        <v>05:23:58</v>
      </c>
      <c r="K40">
        <v>-12.214855</v>
      </c>
      <c r="L40">
        <v>-76.96773</v>
      </c>
      <c r="M40">
        <f>HYPERLINK("https://www.google.com/maps/search/?api=1&amp;query=-12.214855,-76.96773","Villa El Salvador, Lima")</f>
      </c>
      <c r="N40">
        <v>0</v>
      </c>
      <c r="O40">
        <v>87</v>
      </c>
      <c r="P40">
        <v>1723.54</v>
      </c>
      <c r="Q40" t="str">
        <v>68.65</v>
      </c>
      <c r="R40" t="str">
        <v>Vehículo apagado</v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F8R-810</v>
      </c>
      <c r="D41" t="str">
        <v>F8R-810</v>
      </c>
      <c r="E41" t="str">
        <v/>
      </c>
      <c r="F41" t="str">
        <v>867806078868827</v>
      </c>
      <c r="G41" t="str">
        <v>TBD</v>
      </c>
      <c r="H41" t="str">
        <v/>
      </c>
      <c r="I41" t="str">
        <v>28/09/2026</v>
      </c>
      <c r="J41" t="str">
        <v>05:23:58</v>
      </c>
      <c r="K41">
        <v>-12.214855</v>
      </c>
      <c r="L41">
        <v>-76.96773</v>
      </c>
      <c r="M41">
        <f>HYPERLINK("https://www.google.com/maps/search/?api=1&amp;query=-12.214855,-76.96773","Villa El Salvador, Lima")</f>
      </c>
      <c r="N41">
        <v>0</v>
      </c>
      <c r="O41">
        <v>87</v>
      </c>
      <c r="P41">
        <v>1723.54</v>
      </c>
      <c r="Q41" t="str">
        <v>68.60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F8R-810</v>
      </c>
      <c r="D42" t="str">
        <v>F8R-810</v>
      </c>
      <c r="E42" t="str">
        <v/>
      </c>
      <c r="F42" t="str">
        <v>867806078868827</v>
      </c>
      <c r="G42" t="str">
        <v>TBD</v>
      </c>
      <c r="H42" t="str">
        <v/>
      </c>
      <c r="I42" t="str">
        <v>28/09/2026</v>
      </c>
      <c r="J42" t="str">
        <v>05:33:58</v>
      </c>
      <c r="K42">
        <v>-12.214855</v>
      </c>
      <c r="L42">
        <v>-76.96773</v>
      </c>
      <c r="M42">
        <f>HYPERLINK("https://www.google.com/maps/search/?api=1&amp;query=-12.214855,-76.96773","Villa El Salvador, Lima")</f>
      </c>
      <c r="N42">
        <v>0</v>
      </c>
      <c r="O42">
        <v>87</v>
      </c>
      <c r="P42">
        <v>1723.54</v>
      </c>
      <c r="Q42" t="str">
        <v>68.65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F8R-810</v>
      </c>
      <c r="D43" t="str">
        <v>F8R-810</v>
      </c>
      <c r="E43" t="str">
        <v/>
      </c>
      <c r="F43" t="str">
        <v>867806078868827</v>
      </c>
      <c r="G43" t="str">
        <v>TBD</v>
      </c>
      <c r="H43" t="str">
        <v/>
      </c>
      <c r="I43" t="str">
        <v>28/09/2026</v>
      </c>
      <c r="J43" t="str">
        <v>05:43:58</v>
      </c>
      <c r="K43">
        <v>-12.214855</v>
      </c>
      <c r="L43">
        <v>-76.96773</v>
      </c>
      <c r="M43">
        <f>HYPERLINK("https://www.google.com/maps/search/?api=1&amp;query=-12.214855,-76.96773","Villa El Salvador, Lima")</f>
      </c>
      <c r="N43">
        <v>0</v>
      </c>
      <c r="O43">
        <v>87</v>
      </c>
      <c r="P43">
        <v>1723.54</v>
      </c>
      <c r="Q43" t="str">
        <v>68.65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F8R-810</v>
      </c>
      <c r="D44" t="str">
        <v>F8R-810</v>
      </c>
      <c r="E44" t="str">
        <v/>
      </c>
      <c r="F44" t="str">
        <v>867806078868827</v>
      </c>
      <c r="G44" t="str">
        <v>TBD</v>
      </c>
      <c r="H44" t="str">
        <v/>
      </c>
      <c r="I44" t="str">
        <v>28/09/2026</v>
      </c>
      <c r="J44" t="str">
        <v>05:53:58</v>
      </c>
      <c r="K44">
        <v>-12.214855</v>
      </c>
      <c r="L44">
        <v>-76.96773</v>
      </c>
      <c r="M44">
        <f>HYPERLINK("https://www.google.com/maps/search/?api=1&amp;query=-12.214855,-76.96773","Villa El Salvador, Lima")</f>
      </c>
      <c r="N44">
        <v>0</v>
      </c>
      <c r="O44">
        <v>87</v>
      </c>
      <c r="P44">
        <v>1723.54</v>
      </c>
      <c r="Q44" t="str">
        <v>68.65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F8R-810</v>
      </c>
      <c r="D45" t="str">
        <v>F8R-810</v>
      </c>
      <c r="E45" t="str">
        <v/>
      </c>
      <c r="F45" t="str">
        <v>867806078868827</v>
      </c>
      <c r="G45" t="str">
        <v>TBD</v>
      </c>
      <c r="H45" t="str">
        <v/>
      </c>
      <c r="I45" t="str">
        <v>28/09/2026</v>
      </c>
      <c r="J45" t="str">
        <v>06:03:58</v>
      </c>
      <c r="K45">
        <v>-12.214855</v>
      </c>
      <c r="L45">
        <v>-76.96773</v>
      </c>
      <c r="M45">
        <f>HYPERLINK("https://www.google.com/maps/search/?api=1&amp;query=-12.214855,-76.96773","Villa El Salvador, Lima")</f>
      </c>
      <c r="N45">
        <v>0</v>
      </c>
      <c r="O45">
        <v>87</v>
      </c>
      <c r="P45">
        <v>1723.54</v>
      </c>
      <c r="Q45" t="str">
        <v>68.65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F8R-810</v>
      </c>
      <c r="D46" t="str">
        <v>F8R-810</v>
      </c>
      <c r="E46" t="str">
        <v/>
      </c>
      <c r="F46" t="str">
        <v>867806078868827</v>
      </c>
      <c r="G46" t="str">
        <v>TBD</v>
      </c>
      <c r="H46" t="str">
        <v/>
      </c>
      <c r="I46" t="str">
        <v>28/09/2026</v>
      </c>
      <c r="J46" t="str">
        <v>06:13:58</v>
      </c>
      <c r="K46">
        <v>-12.214855</v>
      </c>
      <c r="L46">
        <v>-76.96773</v>
      </c>
      <c r="M46">
        <f>HYPERLINK("https://www.google.com/maps/search/?api=1&amp;query=-12.214855,-76.96773","Villa El Salvador, Lima")</f>
      </c>
      <c r="N46">
        <v>0</v>
      </c>
      <c r="O46">
        <v>93</v>
      </c>
      <c r="P46">
        <v>1723.54</v>
      </c>
      <c r="Q46" t="str">
        <v>68.65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F8R-810</v>
      </c>
      <c r="D47" t="str">
        <v>F8R-810</v>
      </c>
      <c r="E47" t="str">
        <v/>
      </c>
      <c r="F47" t="str">
        <v>867806078868827</v>
      </c>
      <c r="G47" t="str">
        <v>TBD</v>
      </c>
      <c r="H47" t="str">
        <v/>
      </c>
      <c r="I47" t="str">
        <v>28/09/2026</v>
      </c>
      <c r="J47" t="str">
        <v>06:23:58</v>
      </c>
      <c r="K47">
        <v>-12.214855</v>
      </c>
      <c r="L47">
        <v>-76.96773</v>
      </c>
      <c r="M47">
        <f>HYPERLINK("https://www.google.com/maps/search/?api=1&amp;query=-12.214855,-76.96773","Villa El Salvador, Lima")</f>
      </c>
      <c r="N47">
        <v>0</v>
      </c>
      <c r="O47">
        <v>90</v>
      </c>
      <c r="P47">
        <v>1723.54</v>
      </c>
      <c r="Q47" t="str">
        <v>68.65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F8R-810</v>
      </c>
      <c r="D48" t="str">
        <v>F8R-810</v>
      </c>
      <c r="E48" t="str">
        <v/>
      </c>
      <c r="F48" t="str">
        <v>867806078868827</v>
      </c>
      <c r="G48" t="str">
        <v>TBD</v>
      </c>
      <c r="H48" t="str">
        <v/>
      </c>
      <c r="I48" t="str">
        <v>28/09/2026</v>
      </c>
      <c r="J48" t="str">
        <v>06:33:58</v>
      </c>
      <c r="K48">
        <v>-12.214855</v>
      </c>
      <c r="L48">
        <v>-76.96773</v>
      </c>
      <c r="M48">
        <f>HYPERLINK("https://www.google.com/maps/search/?api=1&amp;query=-12.214855,-76.96773","Villa El Salvador, Lima")</f>
      </c>
      <c r="N48">
        <v>0</v>
      </c>
      <c r="O48">
        <v>90</v>
      </c>
      <c r="P48">
        <v>1723.54</v>
      </c>
      <c r="Q48" t="str">
        <v>68.65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F8R-810</v>
      </c>
      <c r="D49" t="str">
        <v>F8R-810</v>
      </c>
      <c r="E49" t="str">
        <v/>
      </c>
      <c r="F49" t="str">
        <v>867806078868827</v>
      </c>
      <c r="G49" t="str">
        <v>TBD</v>
      </c>
      <c r="H49" t="str">
        <v/>
      </c>
      <c r="I49" t="str">
        <v>28/09/2026</v>
      </c>
      <c r="J49" t="str">
        <v>06:43:58</v>
      </c>
      <c r="K49">
        <v>-12.214855</v>
      </c>
      <c r="L49">
        <v>-76.96773</v>
      </c>
      <c r="M49">
        <f>HYPERLINK("https://www.google.com/maps/search/?api=1&amp;query=-12.214855,-76.96773","Villa El Salvador, Lima")</f>
      </c>
      <c r="N49">
        <v>0</v>
      </c>
      <c r="O49">
        <v>91</v>
      </c>
      <c r="P49">
        <v>1723.54</v>
      </c>
      <c r="Q49" t="str">
        <v>68.65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F8R-810</v>
      </c>
      <c r="D50" t="str">
        <v>F8R-810</v>
      </c>
      <c r="E50" t="str">
        <v/>
      </c>
      <c r="F50" t="str">
        <v>867806078868827</v>
      </c>
      <c r="G50" t="str">
        <v>TBD</v>
      </c>
      <c r="H50" t="str">
        <v/>
      </c>
      <c r="I50" t="str">
        <v>28/09/2026</v>
      </c>
      <c r="J50" t="str">
        <v>06:53:58</v>
      </c>
      <c r="K50">
        <v>-12.214855</v>
      </c>
      <c r="L50">
        <v>-76.96773</v>
      </c>
      <c r="M50">
        <f>HYPERLINK("https://www.google.com/maps/search/?api=1&amp;query=-12.214855,-76.96773","Villa El Salvador, Lima")</f>
      </c>
      <c r="N50">
        <v>0</v>
      </c>
      <c r="O50">
        <v>87</v>
      </c>
      <c r="P50">
        <v>1723.54</v>
      </c>
      <c r="Q50" t="str">
        <v>68.65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F8R-810</v>
      </c>
      <c r="D51" t="str">
        <v>F8R-810</v>
      </c>
      <c r="E51" t="str">
        <v/>
      </c>
      <c r="F51" t="str">
        <v>867806078868827</v>
      </c>
      <c r="G51" t="str">
        <v>TBD</v>
      </c>
      <c r="H51" t="str">
        <v/>
      </c>
      <c r="I51" t="str">
        <v>28/09/2026</v>
      </c>
      <c r="J51" t="str">
        <v>07:03:58</v>
      </c>
      <c r="K51">
        <v>-12.214855</v>
      </c>
      <c r="L51">
        <v>-76.96773</v>
      </c>
      <c r="M51">
        <f>HYPERLINK("https://www.google.com/maps/search/?api=1&amp;query=-12.214855,-76.96773","Villa El Salvador, Lima")</f>
      </c>
      <c r="N51">
        <v>0</v>
      </c>
      <c r="O51">
        <v>89</v>
      </c>
      <c r="P51">
        <v>1723.54</v>
      </c>
      <c r="Q51" t="str">
        <v>68.65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F8R-810</v>
      </c>
      <c r="D52" t="str">
        <v>F8R-810</v>
      </c>
      <c r="E52" t="str">
        <v/>
      </c>
      <c r="F52" t="str">
        <v>867806078868827</v>
      </c>
      <c r="G52" t="str">
        <v>TBD</v>
      </c>
      <c r="H52" t="str">
        <v/>
      </c>
      <c r="I52" t="str">
        <v>28/09/2026</v>
      </c>
      <c r="J52" t="str">
        <v>07:13:58</v>
      </c>
      <c r="K52">
        <v>-12.214855</v>
      </c>
      <c r="L52">
        <v>-76.96773</v>
      </c>
      <c r="M52">
        <f>HYPERLINK("https://www.google.com/maps/search/?api=1&amp;query=-12.214855,-76.96773","Villa El Salvador, Lima")</f>
      </c>
      <c r="N52">
        <v>0</v>
      </c>
      <c r="O52">
        <v>82</v>
      </c>
      <c r="P52">
        <v>1723.54</v>
      </c>
      <c r="Q52" t="str">
        <v>68.65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F8R-810</v>
      </c>
      <c r="D53" t="str">
        <v>F8R-810</v>
      </c>
      <c r="E53" t="str">
        <v/>
      </c>
      <c r="F53" t="str">
        <v>867806078868827</v>
      </c>
      <c r="G53" t="str">
        <v>TBD</v>
      </c>
      <c r="H53" t="str">
        <v/>
      </c>
      <c r="I53" t="str">
        <v>28/09/2026</v>
      </c>
      <c r="J53" t="str">
        <v>07:23:58</v>
      </c>
      <c r="K53">
        <v>-12.214855</v>
      </c>
      <c r="L53">
        <v>-76.96773</v>
      </c>
      <c r="M53">
        <f>HYPERLINK("https://www.google.com/maps/search/?api=1&amp;query=-12.214855,-76.96773","Villa El Salvador, Lima")</f>
      </c>
      <c r="N53">
        <v>0</v>
      </c>
      <c r="O53">
        <v>82</v>
      </c>
      <c r="P53">
        <v>1723.54</v>
      </c>
      <c r="Q53" t="str">
        <v>68.65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F8R-810</v>
      </c>
      <c r="D54" t="str">
        <v>F8R-810</v>
      </c>
      <c r="E54" t="str">
        <v/>
      </c>
      <c r="F54" t="str">
        <v>867806078868827</v>
      </c>
      <c r="G54" t="str">
        <v>TBD</v>
      </c>
      <c r="H54" t="str">
        <v/>
      </c>
      <c r="I54" t="str">
        <v>28/09/2026</v>
      </c>
      <c r="J54" t="str">
        <v>07:33:58</v>
      </c>
      <c r="K54">
        <v>-12.214855</v>
      </c>
      <c r="L54">
        <v>-76.96773</v>
      </c>
      <c r="M54">
        <f>HYPERLINK("https://www.google.com/maps/search/?api=1&amp;query=-12.214855,-76.96773","Villa El Salvador, Lima")</f>
      </c>
      <c r="N54">
        <v>0</v>
      </c>
      <c r="O54">
        <v>82</v>
      </c>
      <c r="P54">
        <v>1723.54</v>
      </c>
      <c r="Q54" t="str">
        <v>68.65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F8R-810</v>
      </c>
      <c r="D55" t="str">
        <v>F8R-810</v>
      </c>
      <c r="E55" t="str">
        <v/>
      </c>
      <c r="F55" t="str">
        <v>867806078868827</v>
      </c>
      <c r="G55" t="str">
        <v>TBD</v>
      </c>
      <c r="H55" t="str">
        <v/>
      </c>
      <c r="I55" t="str">
        <v>28/09/2026</v>
      </c>
      <c r="J55" t="str">
        <v>07:43:58</v>
      </c>
      <c r="K55">
        <v>-12.214855</v>
      </c>
      <c r="L55">
        <v>-76.96773</v>
      </c>
      <c r="M55">
        <f>HYPERLINK("https://www.google.com/maps/search/?api=1&amp;query=-12.214855,-76.96773","Villa El Salvador, Lima")</f>
      </c>
      <c r="N55">
        <v>0</v>
      </c>
      <c r="O55">
        <v>82</v>
      </c>
      <c r="P55">
        <v>1723.54</v>
      </c>
      <c r="Q55" t="str">
        <v>68.65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F8R-810</v>
      </c>
      <c r="D56" t="str">
        <v>F8R-810</v>
      </c>
      <c r="E56" t="str">
        <v/>
      </c>
      <c r="F56" t="str">
        <v>867806078868827</v>
      </c>
      <c r="G56" t="str">
        <v>TBD</v>
      </c>
      <c r="H56" t="str">
        <v/>
      </c>
      <c r="I56" t="str">
        <v>28/09/2026</v>
      </c>
      <c r="J56" t="str">
        <v>07:53:58</v>
      </c>
      <c r="K56">
        <v>-12.214855</v>
      </c>
      <c r="L56">
        <v>-76.96773</v>
      </c>
      <c r="M56">
        <f>HYPERLINK("https://www.google.com/maps/search/?api=1&amp;query=-12.214855,-76.96773","Villa El Salvador, Lima")</f>
      </c>
      <c r="N56">
        <v>0</v>
      </c>
      <c r="O56">
        <v>82</v>
      </c>
      <c r="P56">
        <v>1723.54</v>
      </c>
      <c r="Q56" t="str">
        <v>68.65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F8R-810</v>
      </c>
      <c r="D57" t="str">
        <v>F8R-810</v>
      </c>
      <c r="E57" t="str">
        <v/>
      </c>
      <c r="F57" t="str">
        <v>867806078868827</v>
      </c>
      <c r="G57" t="str">
        <v>TBD</v>
      </c>
      <c r="H57" t="str">
        <v/>
      </c>
      <c r="I57" t="str">
        <v>28/09/2026</v>
      </c>
      <c r="J57" t="str">
        <v>08:03:58</v>
      </c>
      <c r="K57">
        <v>-12.214855</v>
      </c>
      <c r="L57">
        <v>-76.96773</v>
      </c>
      <c r="M57">
        <f>HYPERLINK("https://www.google.com/maps/search/?api=1&amp;query=-12.214855,-76.96773","Villa El Salvador, Lima")</f>
      </c>
      <c r="N57">
        <v>0</v>
      </c>
      <c r="O57">
        <v>82</v>
      </c>
      <c r="P57">
        <v>1723.54</v>
      </c>
      <c r="Q57" t="str">
        <v>68.65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F8R-810</v>
      </c>
      <c r="D58" t="str">
        <v>F8R-810</v>
      </c>
      <c r="E58" t="str">
        <v/>
      </c>
      <c r="F58" t="str">
        <v>867806078868827</v>
      </c>
      <c r="G58" t="str">
        <v>TBD</v>
      </c>
      <c r="H58" t="str">
        <v/>
      </c>
      <c r="I58" t="str">
        <v>28/09/2026</v>
      </c>
      <c r="J58" t="str">
        <v>08:13:58</v>
      </c>
      <c r="K58">
        <v>-12.214855</v>
      </c>
      <c r="L58">
        <v>-76.96773</v>
      </c>
      <c r="M58">
        <f>HYPERLINK("https://www.google.com/maps/search/?api=1&amp;query=-12.214855,-76.96773","Villa El Salvador, Lima")</f>
      </c>
      <c r="N58">
        <v>0</v>
      </c>
      <c r="O58">
        <v>82</v>
      </c>
      <c r="P58">
        <v>1723.54</v>
      </c>
      <c r="Q58" t="str">
        <v>68.65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F8R-810</v>
      </c>
      <c r="D59" t="str">
        <v>F8R-810</v>
      </c>
      <c r="E59" t="str">
        <v/>
      </c>
      <c r="F59" t="str">
        <v>867806078868827</v>
      </c>
      <c r="G59" t="str">
        <v>TBD</v>
      </c>
      <c r="H59" t="str">
        <v/>
      </c>
      <c r="I59" t="str">
        <v>28/09/2026</v>
      </c>
      <c r="J59" t="str">
        <v>08:23:58</v>
      </c>
      <c r="K59">
        <v>-12.214855</v>
      </c>
      <c r="L59">
        <v>-76.96773</v>
      </c>
      <c r="M59">
        <f>HYPERLINK("https://www.google.com/maps/search/?api=1&amp;query=-12.214855,-76.96773","Villa El Salvador, Lima")</f>
      </c>
      <c r="N59">
        <v>0</v>
      </c>
      <c r="O59">
        <v>90</v>
      </c>
      <c r="P59">
        <v>1723.54</v>
      </c>
      <c r="Q59" t="str">
        <v>68.65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F8R-810</v>
      </c>
      <c r="D60" t="str">
        <v>F8R-810</v>
      </c>
      <c r="E60" t="str">
        <v/>
      </c>
      <c r="F60" t="str">
        <v>867806078868827</v>
      </c>
      <c r="G60" t="str">
        <v>TBD</v>
      </c>
      <c r="H60" t="str">
        <v/>
      </c>
      <c r="I60" t="str">
        <v>28/09/2026</v>
      </c>
      <c r="J60" t="str">
        <v>08:33:58</v>
      </c>
      <c r="K60">
        <v>-12.214855</v>
      </c>
      <c r="L60">
        <v>-76.96773</v>
      </c>
      <c r="M60">
        <f>HYPERLINK("https://www.google.com/maps/search/?api=1&amp;query=-12.214855,-76.96773","Villa El Salvador, Lima")</f>
      </c>
      <c r="N60">
        <v>0</v>
      </c>
      <c r="O60">
        <v>82</v>
      </c>
      <c r="P60">
        <v>1723.54</v>
      </c>
      <c r="Q60" t="str">
        <v>68.65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F8R-810</v>
      </c>
      <c r="D61" t="str">
        <v>F8R-810</v>
      </c>
      <c r="E61" t="str">
        <v/>
      </c>
      <c r="F61" t="str">
        <v>867806078868827</v>
      </c>
      <c r="G61" t="str">
        <v>TBD</v>
      </c>
      <c r="H61" t="str">
        <v/>
      </c>
      <c r="I61" t="str">
        <v>28/09/2026</v>
      </c>
      <c r="J61" t="str">
        <v>08:43:58</v>
      </c>
      <c r="K61">
        <v>-12.214855</v>
      </c>
      <c r="L61">
        <v>-76.96773</v>
      </c>
      <c r="M61">
        <f>HYPERLINK("https://www.google.com/maps/search/?api=1&amp;query=-12.214855,-76.96773","Villa El Salvador, Lima")</f>
      </c>
      <c r="N61">
        <v>0</v>
      </c>
      <c r="O61">
        <v>82</v>
      </c>
      <c r="P61">
        <v>1723.54</v>
      </c>
      <c r="Q61" t="str">
        <v>68.65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F8R-810</v>
      </c>
      <c r="D62" t="str">
        <v>F8R-810</v>
      </c>
      <c r="E62" t="str">
        <v/>
      </c>
      <c r="F62" t="str">
        <v>867806078868827</v>
      </c>
      <c r="G62" t="str">
        <v>TBD</v>
      </c>
      <c r="H62" t="str">
        <v/>
      </c>
      <c r="I62" t="str">
        <v>28/09/2026</v>
      </c>
      <c r="J62" t="str">
        <v>08:53:58</v>
      </c>
      <c r="K62">
        <v>-12.214855</v>
      </c>
      <c r="L62">
        <v>-76.96773</v>
      </c>
      <c r="M62">
        <f>HYPERLINK("https://www.google.com/maps/search/?api=1&amp;query=-12.214855,-76.96773","Villa El Salvador, Lima")</f>
      </c>
      <c r="N62">
        <v>0</v>
      </c>
      <c r="O62">
        <v>82</v>
      </c>
      <c r="P62">
        <v>1723.54</v>
      </c>
      <c r="Q62" t="str">
        <v>68.65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F8R-810</v>
      </c>
      <c r="D63" t="str">
        <v>F8R-810</v>
      </c>
      <c r="E63" t="str">
        <v/>
      </c>
      <c r="F63" t="str">
        <v>867806078868827</v>
      </c>
      <c r="G63" t="str">
        <v>TBD</v>
      </c>
      <c r="H63" t="str">
        <v/>
      </c>
      <c r="I63" t="str">
        <v>28/09/2026</v>
      </c>
      <c r="J63" t="str">
        <v>09:03:58</v>
      </c>
      <c r="K63">
        <v>-12.214855</v>
      </c>
      <c r="L63">
        <v>-76.96773</v>
      </c>
      <c r="M63">
        <f>HYPERLINK("https://www.google.com/maps/search/?api=1&amp;query=-12.214855,-76.96773","Villa El Salvador, Lima")</f>
      </c>
      <c r="N63">
        <v>0</v>
      </c>
      <c r="O63">
        <v>82</v>
      </c>
      <c r="P63">
        <v>1723.54</v>
      </c>
      <c r="Q63" t="str">
        <v>68.65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F8R-810</v>
      </c>
      <c r="D64" t="str">
        <v>F8R-810</v>
      </c>
      <c r="E64" t="str">
        <v/>
      </c>
      <c r="F64" t="str">
        <v>867806078868827</v>
      </c>
      <c r="G64" t="str">
        <v>TBD</v>
      </c>
      <c r="H64" t="str">
        <v/>
      </c>
      <c r="I64" t="str">
        <v>28/09/2026</v>
      </c>
      <c r="J64" t="str">
        <v>09:13:58</v>
      </c>
      <c r="K64">
        <v>-12.214855</v>
      </c>
      <c r="L64">
        <v>-76.96773</v>
      </c>
      <c r="M64">
        <f>HYPERLINK("https://www.google.com/maps/search/?api=1&amp;query=-12.214855,-76.96773","Villa El Salvador, Lima")</f>
      </c>
      <c r="N64">
        <v>0</v>
      </c>
      <c r="O64">
        <v>82</v>
      </c>
      <c r="P64">
        <v>1723.54</v>
      </c>
      <c r="Q64" t="str">
        <v>68.65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F8R-810</v>
      </c>
      <c r="D65" t="str">
        <v>F8R-810</v>
      </c>
      <c r="E65" t="str">
        <v/>
      </c>
      <c r="F65" t="str">
        <v>867806078868827</v>
      </c>
      <c r="G65" t="str">
        <v>TBD</v>
      </c>
      <c r="H65" t="str">
        <v/>
      </c>
      <c r="I65" t="str">
        <v>28/09/2026</v>
      </c>
      <c r="J65" t="str">
        <v>09:23:58</v>
      </c>
      <c r="K65">
        <v>-12.214855</v>
      </c>
      <c r="L65">
        <v>-76.96773</v>
      </c>
      <c r="M65">
        <f>HYPERLINK("https://www.google.com/maps/search/?api=1&amp;query=-12.214855,-76.96773","Villa El Salvador, Lima")</f>
      </c>
      <c r="N65">
        <v>0</v>
      </c>
      <c r="O65">
        <v>82</v>
      </c>
      <c r="P65">
        <v>1723.54</v>
      </c>
      <c r="Q65" t="str">
        <v>68.65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F8R-810</v>
      </c>
      <c r="D66" t="str">
        <v>F8R-810</v>
      </c>
      <c r="E66" t="str">
        <v/>
      </c>
      <c r="F66" t="str">
        <v>867806078868827</v>
      </c>
      <c r="G66" t="str">
        <v>TBD</v>
      </c>
      <c r="H66" t="str">
        <v/>
      </c>
      <c r="I66" t="str">
        <v>28/09/2026</v>
      </c>
      <c r="J66" t="str">
        <v>09:25:09</v>
      </c>
      <c r="K66">
        <v>-12.214855</v>
      </c>
      <c r="L66">
        <v>-76.96773</v>
      </c>
      <c r="M66">
        <f>HYPERLINK("https://www.google.com/maps/search/?api=1&amp;query=-12.214855,-76.96773","Villa El Salvador, Lima")</f>
      </c>
      <c r="N66">
        <v>0</v>
      </c>
      <c r="O66">
        <v>82</v>
      </c>
      <c r="P66">
        <v>1723.54</v>
      </c>
      <c r="Q66" t="str">
        <v>68.65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F8R-810</v>
      </c>
      <c r="D67" t="str">
        <v>F8R-810</v>
      </c>
      <c r="E67" t="str">
        <v/>
      </c>
      <c r="F67" t="str">
        <v>867806078868827</v>
      </c>
      <c r="G67" t="str">
        <v>TBD</v>
      </c>
      <c r="H67" t="str">
        <v/>
      </c>
      <c r="I67" t="str">
        <v>28/09/2026</v>
      </c>
      <c r="J67" t="str">
        <v>09:35:09</v>
      </c>
      <c r="K67">
        <v>-12.214855</v>
      </c>
      <c r="L67">
        <v>-76.96773</v>
      </c>
      <c r="M67">
        <f>HYPERLINK("https://www.google.com/maps/search/?api=1&amp;query=-12.214855,-76.96773","Villa El Salvador, Lima")</f>
      </c>
      <c r="N67">
        <v>0</v>
      </c>
      <c r="O67">
        <v>90</v>
      </c>
      <c r="P67">
        <v>1723.54</v>
      </c>
      <c r="Q67" t="str">
        <v>68.65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F8R-810</v>
      </c>
      <c r="D68" t="str">
        <v>F8R-810</v>
      </c>
      <c r="E68" t="str">
        <v/>
      </c>
      <c r="F68" t="str">
        <v>867806078868827</v>
      </c>
      <c r="G68" t="str">
        <v>TBD</v>
      </c>
      <c r="H68" t="str">
        <v/>
      </c>
      <c r="I68" t="str">
        <v>28/09/2026</v>
      </c>
      <c r="J68" t="str">
        <v>09:45:09</v>
      </c>
      <c r="K68">
        <v>-12.214855</v>
      </c>
      <c r="L68">
        <v>-76.96773</v>
      </c>
      <c r="M68">
        <f>HYPERLINK("https://www.google.com/maps/search/?api=1&amp;query=-12.214855,-76.96773","Villa El Salvador, Lima")</f>
      </c>
      <c r="N68">
        <v>0</v>
      </c>
      <c r="O68">
        <v>90</v>
      </c>
      <c r="P68">
        <v>1723.54</v>
      </c>
      <c r="Q68" t="str">
        <v>68.65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F8R-810</v>
      </c>
      <c r="D69" t="str">
        <v>F8R-810</v>
      </c>
      <c r="E69" t="str">
        <v/>
      </c>
      <c r="F69" t="str">
        <v>867806078868827</v>
      </c>
      <c r="G69" t="str">
        <v>TBD</v>
      </c>
      <c r="H69" t="str">
        <v/>
      </c>
      <c r="I69" t="str">
        <v>28/09/2026</v>
      </c>
      <c r="J69" t="str">
        <v>09:55:09</v>
      </c>
      <c r="K69">
        <v>-12.214855</v>
      </c>
      <c r="L69">
        <v>-76.96773</v>
      </c>
      <c r="M69">
        <f>HYPERLINK("https://www.google.com/maps/search/?api=1&amp;query=-12.214855,-76.96773","Villa El Salvador, Lima")</f>
      </c>
      <c r="N69">
        <v>0</v>
      </c>
      <c r="O69">
        <v>90</v>
      </c>
      <c r="P69">
        <v>1723.54</v>
      </c>
      <c r="Q69" t="str">
        <v>68.65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F8R-810</v>
      </c>
      <c r="D70" t="str">
        <v>F8R-810</v>
      </c>
      <c r="E70" t="str">
        <v/>
      </c>
      <c r="F70" t="str">
        <v>867806078868827</v>
      </c>
      <c r="G70" t="str">
        <v>TBD</v>
      </c>
      <c r="H70" t="str">
        <v/>
      </c>
      <c r="I70" t="str">
        <v>28/09/2026</v>
      </c>
      <c r="J70" t="str">
        <v>10:05:09</v>
      </c>
      <c r="K70">
        <v>-12.214855</v>
      </c>
      <c r="L70">
        <v>-76.96773</v>
      </c>
      <c r="M70">
        <f>HYPERLINK("https://www.google.com/maps/search/?api=1&amp;query=-12.214855,-76.96773","Villa El Salvador, Lima")</f>
      </c>
      <c r="N70">
        <v>0</v>
      </c>
      <c r="O70">
        <v>90</v>
      </c>
      <c r="P70">
        <v>1723.54</v>
      </c>
      <c r="Q70" t="str">
        <v>68.65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F8R-810</v>
      </c>
      <c r="D71" t="str">
        <v>F8R-810</v>
      </c>
      <c r="E71" t="str">
        <v/>
      </c>
      <c r="F71" t="str">
        <v>867806078868827</v>
      </c>
      <c r="G71" t="str">
        <v>TBD</v>
      </c>
      <c r="H71" t="str">
        <v/>
      </c>
      <c r="I71" t="str">
        <v>28/09/2026</v>
      </c>
      <c r="J71" t="str">
        <v>10:15:09</v>
      </c>
      <c r="K71">
        <v>-12.214855</v>
      </c>
      <c r="L71">
        <v>-76.96773</v>
      </c>
      <c r="M71">
        <f>HYPERLINK("https://www.google.com/maps/search/?api=1&amp;query=-12.214855,-76.96773","Villa El Salvador, Lima")</f>
      </c>
      <c r="N71">
        <v>0</v>
      </c>
      <c r="O71">
        <v>90</v>
      </c>
      <c r="P71">
        <v>1723.54</v>
      </c>
      <c r="Q71" t="str">
        <v>68.65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F8R-810</v>
      </c>
      <c r="D72" t="str">
        <v>F8R-810</v>
      </c>
      <c r="E72" t="str">
        <v/>
      </c>
      <c r="F72" t="str">
        <v>867806078868827</v>
      </c>
      <c r="G72" t="str">
        <v>TBD</v>
      </c>
      <c r="H72" t="str">
        <v/>
      </c>
      <c r="I72" t="str">
        <v>28/09/2026</v>
      </c>
      <c r="J72" t="str">
        <v>10:25:09</v>
      </c>
      <c r="K72">
        <v>-12.214855</v>
      </c>
      <c r="L72">
        <v>-76.96773</v>
      </c>
      <c r="M72">
        <f>HYPERLINK("https://www.google.com/maps/search/?api=1&amp;query=-12.214855,-76.96773","Villa El Salvador, Lima")</f>
      </c>
      <c r="N72">
        <v>0</v>
      </c>
      <c r="O72">
        <v>88</v>
      </c>
      <c r="P72">
        <v>1723.54</v>
      </c>
      <c r="Q72" t="str">
        <v>68.65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F8R-810</v>
      </c>
      <c r="D73" t="str">
        <v>F8R-810</v>
      </c>
      <c r="E73" t="str">
        <v/>
      </c>
      <c r="F73" t="str">
        <v>867806078868827</v>
      </c>
      <c r="G73" t="str">
        <v>TBD</v>
      </c>
      <c r="H73" t="str">
        <v/>
      </c>
      <c r="I73" t="str">
        <v>28/09/2026</v>
      </c>
      <c r="J73" t="str">
        <v>10:35:09</v>
      </c>
      <c r="K73">
        <v>-12.214855</v>
      </c>
      <c r="L73">
        <v>-76.96773</v>
      </c>
      <c r="M73">
        <f>HYPERLINK("https://www.google.com/maps/search/?api=1&amp;query=-12.214855,-76.96773","Villa El Salvador, Lima")</f>
      </c>
      <c r="N73">
        <v>0</v>
      </c>
      <c r="O73">
        <v>88</v>
      </c>
      <c r="P73">
        <v>1723.54</v>
      </c>
      <c r="Q73" t="str">
        <v>68.65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F8R-810</v>
      </c>
      <c r="D74" t="str">
        <v>F8R-810</v>
      </c>
      <c r="E74" t="str">
        <v/>
      </c>
      <c r="F74" t="str">
        <v>867806078868827</v>
      </c>
      <c r="G74" t="str">
        <v>TBD</v>
      </c>
      <c r="H74" t="str">
        <v/>
      </c>
      <c r="I74" t="str">
        <v>28/09/2026</v>
      </c>
      <c r="J74" t="str">
        <v>10:45:09</v>
      </c>
      <c r="K74">
        <v>-12.214855</v>
      </c>
      <c r="L74">
        <v>-76.96773</v>
      </c>
      <c r="M74">
        <f>HYPERLINK("https://www.google.com/maps/search/?api=1&amp;query=-12.214855,-76.96773","Villa El Salvador, Lima")</f>
      </c>
      <c r="N74">
        <v>0</v>
      </c>
      <c r="O74">
        <v>88</v>
      </c>
      <c r="P74">
        <v>1723.54</v>
      </c>
      <c r="Q74" t="str">
        <v>68.65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F8R-810</v>
      </c>
      <c r="D75" t="str">
        <v>F8R-810</v>
      </c>
      <c r="E75" t="str">
        <v/>
      </c>
      <c r="F75" t="str">
        <v>867806078868827</v>
      </c>
      <c r="G75" t="str">
        <v>TBD</v>
      </c>
      <c r="H75" t="str">
        <v/>
      </c>
      <c r="I75" t="str">
        <v>28/09/2026</v>
      </c>
      <c r="J75" t="str">
        <v>10:55:09</v>
      </c>
      <c r="K75">
        <v>-12.214855</v>
      </c>
      <c r="L75">
        <v>-76.96773</v>
      </c>
      <c r="M75">
        <f>HYPERLINK("https://www.google.com/maps/search/?api=1&amp;query=-12.214855,-76.96773","Villa El Salvador, Lima")</f>
      </c>
      <c r="N75">
        <v>0</v>
      </c>
      <c r="O75">
        <v>88</v>
      </c>
      <c r="P75">
        <v>1723.54</v>
      </c>
      <c r="Q75" t="str">
        <v>68.65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F8R-810</v>
      </c>
      <c r="D76" t="str">
        <v>F8R-810</v>
      </c>
      <c r="E76" t="str">
        <v/>
      </c>
      <c r="F76" t="str">
        <v>867806078868827</v>
      </c>
      <c r="G76" t="str">
        <v>TBD</v>
      </c>
      <c r="H76" t="str">
        <v/>
      </c>
      <c r="I76" t="str">
        <v>28/09/2026</v>
      </c>
      <c r="J76" t="str">
        <v>11:05:09</v>
      </c>
      <c r="K76">
        <v>-12.214855</v>
      </c>
      <c r="L76">
        <v>-76.96773</v>
      </c>
      <c r="M76">
        <f>HYPERLINK("https://www.google.com/maps/search/?api=1&amp;query=-12.214855,-76.96773","Villa El Salvador, Lima")</f>
      </c>
      <c r="N76">
        <v>0</v>
      </c>
      <c r="O76">
        <v>88</v>
      </c>
      <c r="P76">
        <v>1723.54</v>
      </c>
      <c r="Q76" t="str">
        <v>68.65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F8R-810</v>
      </c>
      <c r="D77" t="str">
        <v>F8R-810</v>
      </c>
      <c r="E77" t="str">
        <v/>
      </c>
      <c r="F77" t="str">
        <v>867806078868827</v>
      </c>
      <c r="G77" t="str">
        <v>TBD</v>
      </c>
      <c r="H77" t="str">
        <v/>
      </c>
      <c r="I77" t="str">
        <v>28/09/2026</v>
      </c>
      <c r="J77" t="str">
        <v>11:15:09</v>
      </c>
      <c r="K77">
        <v>-12.214855</v>
      </c>
      <c r="L77">
        <v>-76.96773</v>
      </c>
      <c r="M77">
        <f>HYPERLINK("https://www.google.com/maps/search/?api=1&amp;query=-12.214855,-76.96773","Villa El Salvador, Lima")</f>
      </c>
      <c r="N77">
        <v>0</v>
      </c>
      <c r="O77">
        <v>82</v>
      </c>
      <c r="P77">
        <v>1723.54</v>
      </c>
      <c r="Q77" t="str">
        <v>68.65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F8R-810</v>
      </c>
      <c r="D78" t="str">
        <v>F8R-810</v>
      </c>
      <c r="E78" t="str">
        <v/>
      </c>
      <c r="F78" t="str">
        <v>867806078868827</v>
      </c>
      <c r="G78" t="str">
        <v>TBD</v>
      </c>
      <c r="H78" t="str">
        <v/>
      </c>
      <c r="I78" t="str">
        <v>28/09/2026</v>
      </c>
      <c r="J78" t="str">
        <v>11:25:09</v>
      </c>
      <c r="K78">
        <v>-12.214855</v>
      </c>
      <c r="L78">
        <v>-76.96773</v>
      </c>
      <c r="M78">
        <f>HYPERLINK("https://www.google.com/maps/search/?api=1&amp;query=-12.214855,-76.96773","Villa El Salvador, Lima")</f>
      </c>
      <c r="N78">
        <v>0</v>
      </c>
      <c r="O78">
        <v>82</v>
      </c>
      <c r="P78">
        <v>1723.54</v>
      </c>
      <c r="Q78" t="str">
        <v>68.65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F8R-810</v>
      </c>
      <c r="D79" t="str">
        <v>F8R-810</v>
      </c>
      <c r="E79" t="str">
        <v/>
      </c>
      <c r="F79" t="str">
        <v>867806078868827</v>
      </c>
      <c r="G79" t="str">
        <v>TBD</v>
      </c>
      <c r="H79" t="str">
        <v/>
      </c>
      <c r="I79" t="str">
        <v>28/09/2026</v>
      </c>
      <c r="J79" t="str">
        <v>11:35:09</v>
      </c>
      <c r="K79">
        <v>-12.214855</v>
      </c>
      <c r="L79">
        <v>-76.96773</v>
      </c>
      <c r="M79">
        <f>HYPERLINK("https://www.google.com/maps/search/?api=1&amp;query=-12.214855,-76.96773","Villa El Salvador, Lima")</f>
      </c>
      <c r="N79">
        <v>0</v>
      </c>
      <c r="O79">
        <v>82</v>
      </c>
      <c r="P79">
        <v>1723.54</v>
      </c>
      <c r="Q79" t="str">
        <v>68.65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F8R-810</v>
      </c>
      <c r="D80" t="str">
        <v>F8R-810</v>
      </c>
      <c r="E80" t="str">
        <v/>
      </c>
      <c r="F80" t="str">
        <v>867806078868827</v>
      </c>
      <c r="G80" t="str">
        <v>TBD</v>
      </c>
      <c r="H80" t="str">
        <v/>
      </c>
      <c r="I80" t="str">
        <v>28/09/2026</v>
      </c>
      <c r="J80" t="str">
        <v>11:45:09</v>
      </c>
      <c r="K80">
        <v>-12.214855</v>
      </c>
      <c r="L80">
        <v>-76.96773</v>
      </c>
      <c r="M80">
        <f>HYPERLINK("https://www.google.com/maps/search/?api=1&amp;query=-12.214855,-76.96773","Villa El Salvador, Lima")</f>
      </c>
      <c r="N80">
        <v>0</v>
      </c>
      <c r="O80">
        <v>91</v>
      </c>
      <c r="P80">
        <v>1723.54</v>
      </c>
      <c r="Q80" t="str">
        <v>68.95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F8R-810</v>
      </c>
      <c r="D81" t="str">
        <v>F8R-810</v>
      </c>
      <c r="E81" t="str">
        <v/>
      </c>
      <c r="F81" t="str">
        <v>867806078868827</v>
      </c>
      <c r="G81" t="str">
        <v>TBD</v>
      </c>
      <c r="H81" t="str">
        <v/>
      </c>
      <c r="I81" t="str">
        <v>28/09/2026</v>
      </c>
      <c r="J81" t="str">
        <v>11:55:09</v>
      </c>
      <c r="K81">
        <v>-12.214855</v>
      </c>
      <c r="L81">
        <v>-76.96773</v>
      </c>
      <c r="M81">
        <f>HYPERLINK("https://www.google.com/maps/search/?api=1&amp;query=-12.214855,-76.96773","Villa El Salvador, Lima")</f>
      </c>
      <c r="N81">
        <v>0</v>
      </c>
      <c r="O81">
        <v>82</v>
      </c>
      <c r="P81">
        <v>1723.54</v>
      </c>
      <c r="Q81" t="str">
        <v>68.95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F8R-810</v>
      </c>
      <c r="D82" t="str">
        <v>F8R-810</v>
      </c>
      <c r="E82" t="str">
        <v/>
      </c>
      <c r="F82" t="str">
        <v>867806078868827</v>
      </c>
      <c r="G82" t="str">
        <v>TBD</v>
      </c>
      <c r="H82" t="str">
        <v/>
      </c>
      <c r="I82" t="str">
        <v>28/09/2026</v>
      </c>
      <c r="J82" t="str">
        <v>12:05:09</v>
      </c>
      <c r="K82">
        <v>-12.214855</v>
      </c>
      <c r="L82">
        <v>-76.96773</v>
      </c>
      <c r="M82">
        <f>HYPERLINK("https://www.google.com/maps/search/?api=1&amp;query=-12.214855,-76.96773","Villa El Salvador, Lima")</f>
      </c>
      <c r="N82">
        <v>0</v>
      </c>
      <c r="O82">
        <v>90</v>
      </c>
      <c r="P82">
        <v>1723.54</v>
      </c>
      <c r="Q82" t="str">
        <v>68.95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F8R-810</v>
      </c>
      <c r="D83" t="str">
        <v>F8R-810</v>
      </c>
      <c r="E83" t="str">
        <v/>
      </c>
      <c r="F83" t="str">
        <v>867806078868827</v>
      </c>
      <c r="G83" t="str">
        <v>TBD</v>
      </c>
      <c r="H83" t="str">
        <v/>
      </c>
      <c r="I83" t="str">
        <v>28/09/2026</v>
      </c>
      <c r="J83" t="str">
        <v>12:15:09</v>
      </c>
      <c r="K83">
        <v>-12.214855</v>
      </c>
      <c r="L83">
        <v>-76.96773</v>
      </c>
      <c r="M83">
        <f>HYPERLINK("https://www.google.com/maps/search/?api=1&amp;query=-12.214855,-76.96773","Villa El Salvador, Lima")</f>
      </c>
      <c r="N83">
        <v>0</v>
      </c>
      <c r="O83">
        <v>90</v>
      </c>
      <c r="P83">
        <v>1723.54</v>
      </c>
      <c r="Q83" t="str">
        <v>68.95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F8R-810</v>
      </c>
      <c r="D84" t="str">
        <v>F8R-810</v>
      </c>
      <c r="E84" t="str">
        <v/>
      </c>
      <c r="F84" t="str">
        <v>867806078868827</v>
      </c>
      <c r="G84" t="str">
        <v>TBD</v>
      </c>
      <c r="H84" t="str">
        <v/>
      </c>
      <c r="I84" t="str">
        <v>28/09/2026</v>
      </c>
      <c r="J84" t="str">
        <v>12:25:09</v>
      </c>
      <c r="K84">
        <v>-12.214855</v>
      </c>
      <c r="L84">
        <v>-76.96773</v>
      </c>
      <c r="M84">
        <f>HYPERLINK("https://www.google.com/maps/search/?api=1&amp;query=-12.214855,-76.96773","Villa El Salvador, Lima")</f>
      </c>
      <c r="N84">
        <v>0</v>
      </c>
      <c r="O84">
        <v>84</v>
      </c>
      <c r="P84">
        <v>1723.54</v>
      </c>
      <c r="Q84" t="str">
        <v>68.95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F8R-810</v>
      </c>
      <c r="D85" t="str">
        <v>F8R-810</v>
      </c>
      <c r="E85" t="str">
        <v/>
      </c>
      <c r="F85" t="str">
        <v>867806078868827</v>
      </c>
      <c r="G85" t="str">
        <v>TBD</v>
      </c>
      <c r="H85" t="str">
        <v/>
      </c>
      <c r="I85" t="str">
        <v>28/09/2026</v>
      </c>
      <c r="J85" t="str">
        <v>12:35:09</v>
      </c>
      <c r="K85">
        <v>-12.214855</v>
      </c>
      <c r="L85">
        <v>-76.96773</v>
      </c>
      <c r="M85">
        <f>HYPERLINK("https://www.google.com/maps/search/?api=1&amp;query=-12.214855,-76.96773","Villa El Salvador, Lima")</f>
      </c>
      <c r="N85">
        <v>0</v>
      </c>
      <c r="O85">
        <v>84</v>
      </c>
      <c r="P85">
        <v>1723.54</v>
      </c>
      <c r="Q85" t="str">
        <v>68.95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F8R-810</v>
      </c>
      <c r="D86" t="str">
        <v>F8R-810</v>
      </c>
      <c r="E86" t="str">
        <v/>
      </c>
      <c r="F86" t="str">
        <v>867806078868827</v>
      </c>
      <c r="G86" t="str">
        <v>TBD</v>
      </c>
      <c r="H86" t="str">
        <v/>
      </c>
      <c r="I86" t="str">
        <v>28/09/2026</v>
      </c>
      <c r="J86" t="str">
        <v>12:45:09</v>
      </c>
      <c r="K86">
        <v>-12.214855</v>
      </c>
      <c r="L86">
        <v>-76.96773</v>
      </c>
      <c r="M86">
        <f>HYPERLINK("https://www.google.com/maps/search/?api=1&amp;query=-12.214855,-76.96773","Villa El Salvador, Lima")</f>
      </c>
      <c r="N86">
        <v>0</v>
      </c>
      <c r="O86">
        <v>84</v>
      </c>
      <c r="P86">
        <v>1723.54</v>
      </c>
      <c r="Q86" t="str">
        <v>68.95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F8R-810</v>
      </c>
      <c r="D87" t="str">
        <v>F8R-810</v>
      </c>
      <c r="E87" t="str">
        <v/>
      </c>
      <c r="F87" t="str">
        <v>867806078868827</v>
      </c>
      <c r="G87" t="str">
        <v>TBD</v>
      </c>
      <c r="H87" t="str">
        <v/>
      </c>
      <c r="I87" t="str">
        <v>28/09/2026</v>
      </c>
      <c r="J87" t="str">
        <v>12:55:09</v>
      </c>
      <c r="K87">
        <v>-12.214855</v>
      </c>
      <c r="L87">
        <v>-76.96773</v>
      </c>
      <c r="M87">
        <f>HYPERLINK("https://www.google.com/maps/search/?api=1&amp;query=-12.214855,-76.96773","Villa El Salvador, Lima")</f>
      </c>
      <c r="N87">
        <v>0</v>
      </c>
      <c r="O87">
        <v>89</v>
      </c>
      <c r="P87">
        <v>1723.54</v>
      </c>
      <c r="Q87" t="str">
        <v>68.95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F8R-810</v>
      </c>
      <c r="D88" t="str">
        <v>F8R-810</v>
      </c>
      <c r="E88" t="str">
        <v/>
      </c>
      <c r="F88" t="str">
        <v>867806078868827</v>
      </c>
      <c r="G88" t="str">
        <v>TBD</v>
      </c>
      <c r="H88" t="str">
        <v/>
      </c>
      <c r="I88" t="str">
        <v>28/09/2026</v>
      </c>
      <c r="J88" t="str">
        <v>13:01:17</v>
      </c>
      <c r="K88">
        <v>-12.214855</v>
      </c>
      <c r="L88">
        <v>-76.96773</v>
      </c>
      <c r="M88">
        <f>HYPERLINK("https://www.google.com/maps/search/?api=1&amp;query=-12.214855,-76.96773","Villa El Salvador, Lima")</f>
      </c>
      <c r="N88">
        <v>0</v>
      </c>
      <c r="O88">
        <v>89</v>
      </c>
      <c r="P88">
        <v>1723.54</v>
      </c>
      <c r="Q88" t="str">
        <v>68.95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F8R-810</v>
      </c>
      <c r="D89" t="str">
        <v>F8R-810</v>
      </c>
      <c r="E89" t="str">
        <v/>
      </c>
      <c r="F89" t="str">
        <v>867806078868827</v>
      </c>
      <c r="G89" t="str">
        <v>TBD</v>
      </c>
      <c r="H89" t="str">
        <v/>
      </c>
      <c r="I89" t="str">
        <v>28/09/2026</v>
      </c>
      <c r="J89" t="str">
        <v>13:11:17</v>
      </c>
      <c r="K89">
        <v>-12.214855</v>
      </c>
      <c r="L89">
        <v>-76.96773</v>
      </c>
      <c r="M89">
        <f>HYPERLINK("https://www.google.com/maps/search/?api=1&amp;query=-12.214855,-76.96773","Villa El Salvador, Lima")</f>
      </c>
      <c r="N89">
        <v>0</v>
      </c>
      <c r="O89">
        <v>89</v>
      </c>
      <c r="P89">
        <v>1723.54</v>
      </c>
      <c r="Q89" t="str">
        <v>68.95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F8R-810</v>
      </c>
      <c r="D90" t="str">
        <v>F8R-810</v>
      </c>
      <c r="E90" t="str">
        <v/>
      </c>
      <c r="F90" t="str">
        <v>867806078868827</v>
      </c>
      <c r="G90" t="str">
        <v>TBD</v>
      </c>
      <c r="H90" t="str">
        <v/>
      </c>
      <c r="I90" t="str">
        <v>28/09/2026</v>
      </c>
      <c r="J90" t="str">
        <v>13:17:05</v>
      </c>
      <c r="K90">
        <v>-12.214855</v>
      </c>
      <c r="L90">
        <v>-76.96773</v>
      </c>
      <c r="M90">
        <f>HYPERLINK("https://www.google.com/maps/search/?api=1&amp;query=-12.214855,-76.96773","Villa El Salvador, Lima")</f>
      </c>
      <c r="N90">
        <v>0</v>
      </c>
      <c r="O90">
        <v>95</v>
      </c>
      <c r="P90">
        <v>1723.54</v>
      </c>
      <c r="Q90" t="str">
        <v>68.95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F8R-810</v>
      </c>
      <c r="D91" t="str">
        <v>F8R-810</v>
      </c>
      <c r="E91" t="str">
        <v/>
      </c>
      <c r="F91" t="str">
        <v>867806078868827</v>
      </c>
      <c r="G91" t="str">
        <v>TBD</v>
      </c>
      <c r="H91" t="str">
        <v/>
      </c>
      <c r="I91" t="str">
        <v>28/09/2026</v>
      </c>
      <c r="J91" t="str">
        <v>13:27:05</v>
      </c>
      <c r="K91">
        <v>-12.214855</v>
      </c>
      <c r="L91">
        <v>-76.96773</v>
      </c>
      <c r="M91">
        <f>HYPERLINK("https://www.google.com/maps/search/?api=1&amp;query=-12.214855,-76.96773","Villa El Salvador, Lima")</f>
      </c>
      <c r="N91">
        <v>0</v>
      </c>
      <c r="O91">
        <v>95</v>
      </c>
      <c r="P91">
        <v>1723.54</v>
      </c>
      <c r="Q91" t="str">
        <v>68.95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F8R-810</v>
      </c>
      <c r="D92" t="str">
        <v>F8R-810</v>
      </c>
      <c r="E92" t="str">
        <v/>
      </c>
      <c r="F92" t="str">
        <v>867806078868827</v>
      </c>
      <c r="G92" t="str">
        <v>TBD</v>
      </c>
      <c r="H92" t="str">
        <v/>
      </c>
      <c r="I92" t="str">
        <v>28/09/2026</v>
      </c>
      <c r="J92" t="str">
        <v>13:28:00</v>
      </c>
      <c r="K92">
        <v>-12.214855</v>
      </c>
      <c r="L92">
        <v>-76.96773</v>
      </c>
      <c r="M92">
        <f>HYPERLINK("https://www.google.com/maps/search/?api=1&amp;query=-12.214855,-76.96773","Villa El Salvador, Lima")</f>
      </c>
      <c r="N92">
        <v>0</v>
      </c>
      <c r="O92">
        <v>97</v>
      </c>
      <c r="P92">
        <v>1723.54</v>
      </c>
      <c r="Q92" t="str">
        <v>68.95</v>
      </c>
      <c r="R92" t="str">
        <v>Vehículo encendido</v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F8R-810</v>
      </c>
      <c r="D93" t="str">
        <v>F8R-810</v>
      </c>
      <c r="E93" t="str">
        <v/>
      </c>
      <c r="F93" t="str">
        <v>867806078868827</v>
      </c>
      <c r="G93" t="str">
        <v>TBD</v>
      </c>
      <c r="H93" t="str">
        <v/>
      </c>
      <c r="I93" t="str">
        <v>28/09/2026</v>
      </c>
      <c r="J93" t="str">
        <v>13:28:20</v>
      </c>
      <c r="K93">
        <v>-12.214855</v>
      </c>
      <c r="L93">
        <v>-76.96773</v>
      </c>
      <c r="M93">
        <f>HYPERLINK("https://www.google.com/maps/search/?api=1&amp;query=-12.214855,-76.96773","Villa El Salvador, Lima")</f>
      </c>
      <c r="N93">
        <v>0</v>
      </c>
      <c r="O93">
        <v>97</v>
      </c>
      <c r="P93">
        <v>1723.54</v>
      </c>
      <c r="Q93" t="str">
        <v>68.95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F8R-810</v>
      </c>
      <c r="D94" t="str">
        <v>F8R-810</v>
      </c>
      <c r="E94" t="str">
        <v/>
      </c>
      <c r="F94" t="str">
        <v>867806078868827</v>
      </c>
      <c r="G94" t="str">
        <v>TBD</v>
      </c>
      <c r="H94" t="str">
        <v/>
      </c>
      <c r="I94" t="str">
        <v>28/09/2026</v>
      </c>
      <c r="J94" t="str">
        <v>13:28:24</v>
      </c>
      <c r="K94">
        <v>-12.214855</v>
      </c>
      <c r="L94">
        <v>-76.96773</v>
      </c>
      <c r="M94">
        <f>HYPERLINK("https://www.google.com/maps/search/?api=1&amp;query=-12.214855,-76.96773","Villa El Salvador, Lima")</f>
      </c>
      <c r="N94">
        <v>0</v>
      </c>
      <c r="O94">
        <v>97</v>
      </c>
      <c r="P94">
        <v>1723.54</v>
      </c>
      <c r="Q94" t="str">
        <v>68.95</v>
      </c>
      <c r="R94" t="str">
        <v>Acelerado y giro brusco</v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F8R-810</v>
      </c>
      <c r="D95" t="str">
        <v>F8R-810</v>
      </c>
      <c r="E95" t="str">
        <v/>
      </c>
      <c r="F95" t="str">
        <v>867806078868827</v>
      </c>
      <c r="G95" t="str">
        <v>TBD</v>
      </c>
      <c r="H95" t="str">
        <v/>
      </c>
      <c r="I95" t="str">
        <v>28/09/2026</v>
      </c>
      <c r="J95" t="str">
        <v>13:28:30</v>
      </c>
      <c r="K95">
        <v>-12.214855</v>
      </c>
      <c r="L95">
        <v>-76.96773</v>
      </c>
      <c r="M95">
        <f>HYPERLINK("https://www.google.com/maps/search/?api=1&amp;query=-12.214855,-76.96773","Villa El Salvador, Lima")</f>
      </c>
      <c r="N95">
        <v>0</v>
      </c>
      <c r="O95">
        <v>97</v>
      </c>
      <c r="P95">
        <v>1723.54</v>
      </c>
      <c r="Q95" t="str">
        <v>68.95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F8R-810</v>
      </c>
      <c r="D96" t="str">
        <v>F8R-810</v>
      </c>
      <c r="E96" t="str">
        <v/>
      </c>
      <c r="F96" t="str">
        <v>867806078868827</v>
      </c>
      <c r="G96" t="str">
        <v>TBD</v>
      </c>
      <c r="H96" t="str">
        <v/>
      </c>
      <c r="I96" t="str">
        <v>28/09/2026</v>
      </c>
      <c r="J96" t="str">
        <v>13:28:33</v>
      </c>
      <c r="K96">
        <v>-12.214855</v>
      </c>
      <c r="L96">
        <v>-76.96773</v>
      </c>
      <c r="M96">
        <f>HYPERLINK("https://www.google.com/maps/search/?api=1&amp;query=-12.214855,-76.96773","Villa El Salvador, Lima")</f>
      </c>
      <c r="N96">
        <v>0</v>
      </c>
      <c r="O96">
        <v>97</v>
      </c>
      <c r="P96">
        <v>1723.54</v>
      </c>
      <c r="Q96" t="str">
        <v>68.95</v>
      </c>
      <c r="R96" t="str">
        <v>Acelerado y giro brusco</v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F8R-810</v>
      </c>
      <c r="D97" t="str">
        <v>F8R-810</v>
      </c>
      <c r="E97" t="str">
        <v/>
      </c>
      <c r="F97" t="str">
        <v>867806078868827</v>
      </c>
      <c r="G97" t="str">
        <v>TBD</v>
      </c>
      <c r="H97" t="str">
        <v/>
      </c>
      <c r="I97" t="str">
        <v>28/09/2026</v>
      </c>
      <c r="J97" t="str">
        <v>13:29:00</v>
      </c>
      <c r="K97">
        <v>-12.21492</v>
      </c>
      <c r="L97">
        <v>-76.96769</v>
      </c>
      <c r="M97">
        <f>HYPERLINK("https://www.google.com/maps/search/?api=1&amp;query=-12.21492,-76.96769","Villa El Salvador, Lima")</f>
      </c>
      <c r="N97">
        <v>0</v>
      </c>
      <c r="O97">
        <v>97</v>
      </c>
      <c r="P97">
        <v>1723.57</v>
      </c>
      <c r="Q97" t="str">
        <v>68.95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F8R-810</v>
      </c>
      <c r="D98" t="str">
        <v>F8R-810</v>
      </c>
      <c r="E98" t="str">
        <v/>
      </c>
      <c r="F98" t="str">
        <v>867806078868827</v>
      </c>
      <c r="G98" t="str">
        <v>TBD</v>
      </c>
      <c r="H98" t="str">
        <v/>
      </c>
      <c r="I98" t="str">
        <v>28/09/2026</v>
      </c>
      <c r="J98" t="str">
        <v>13:30:00</v>
      </c>
      <c r="K98">
        <v>-12.214922</v>
      </c>
      <c r="L98">
        <v>-76.96769</v>
      </c>
      <c r="M98">
        <f>HYPERLINK("https://www.google.com/maps/search/?api=1&amp;query=-12.214922,-76.96769","Villa El Salvador, Lima")</f>
      </c>
      <c r="N98">
        <v>0</v>
      </c>
      <c r="O98">
        <v>97</v>
      </c>
      <c r="P98">
        <v>1723.57</v>
      </c>
      <c r="Q98" t="str">
        <v>68.95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F8R-810</v>
      </c>
      <c r="D99" t="str">
        <v>F8R-810</v>
      </c>
      <c r="E99" t="str">
        <v/>
      </c>
      <c r="F99" t="str">
        <v>867806078868827</v>
      </c>
      <c r="G99" t="str">
        <v>TBD</v>
      </c>
      <c r="H99" t="str">
        <v/>
      </c>
      <c r="I99" t="str">
        <v>28/09/2026</v>
      </c>
      <c r="J99" t="str">
        <v>13:31:00</v>
      </c>
      <c r="K99">
        <v>-12.214922</v>
      </c>
      <c r="L99">
        <v>-76.96769</v>
      </c>
      <c r="M99">
        <f>HYPERLINK("https://www.google.com/maps/search/?api=1&amp;query=-12.214922,-76.96769","Villa El Salvador, Lima")</f>
      </c>
      <c r="N99">
        <v>0</v>
      </c>
      <c r="O99">
        <v>93</v>
      </c>
      <c r="P99">
        <v>1723.57</v>
      </c>
      <c r="Q99" t="str">
        <v>68.95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F8R-810</v>
      </c>
      <c r="D100" t="str">
        <v>F8R-810</v>
      </c>
      <c r="E100" t="str">
        <v/>
      </c>
      <c r="F100" t="str">
        <v>867806078868827</v>
      </c>
      <c r="G100" t="str">
        <v>TBD</v>
      </c>
      <c r="H100" t="str">
        <v/>
      </c>
      <c r="I100" t="str">
        <v>28/09/2026</v>
      </c>
      <c r="J100" t="str">
        <v>13:31:20</v>
      </c>
      <c r="K100">
        <v>-12.214922</v>
      </c>
      <c r="L100">
        <v>-76.96769</v>
      </c>
      <c r="M100">
        <f>HYPERLINK("https://www.google.com/maps/search/?api=1&amp;query=-12.214922,-76.96769","Villa El Salvador, Lima")</f>
      </c>
      <c r="N100">
        <v>0</v>
      </c>
      <c r="O100">
        <v>93</v>
      </c>
      <c r="P100">
        <v>1723.57</v>
      </c>
      <c r="Q100" t="str">
        <v>68.95</v>
      </c>
      <c r="R100" t="str">
        <v>Inicio de ralentí</v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F8R-810</v>
      </c>
      <c r="D101" t="str">
        <v>F8R-810</v>
      </c>
      <c r="E101" t="str">
        <v/>
      </c>
      <c r="F101" t="str">
        <v>867806078868827</v>
      </c>
      <c r="G101" t="str">
        <v>TBD</v>
      </c>
      <c r="H101" t="str">
        <v/>
      </c>
      <c r="I101" t="str">
        <v>28/09/2026</v>
      </c>
      <c r="J101" t="str">
        <v>13:31:22</v>
      </c>
      <c r="K101">
        <v>-12.214911</v>
      </c>
      <c r="L101">
        <v>-76.96762</v>
      </c>
      <c r="M101">
        <f>HYPERLINK("https://www.google.com/maps/search/?api=1&amp;query=-12.214911,-76.96762","Avenida El Sol, Villa El Salvador, Lima")</f>
      </c>
      <c r="N101">
        <v>3.5</v>
      </c>
      <c r="O101">
        <v>93</v>
      </c>
      <c r="P101">
        <v>1723.58</v>
      </c>
      <c r="Q101" t="str">
        <v>68.95</v>
      </c>
      <c r="R101" t="str">
        <v>Aceleración brusca</v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F8R-810</v>
      </c>
      <c r="D102" t="str">
        <v>F8R-810</v>
      </c>
      <c r="E102" t="str">
        <v/>
      </c>
      <c r="F102" t="str">
        <v>867806078868827</v>
      </c>
      <c r="G102" t="str">
        <v>TBD</v>
      </c>
      <c r="H102" t="str">
        <v/>
      </c>
      <c r="I102" t="str">
        <v>28/09/2026</v>
      </c>
      <c r="J102" t="str">
        <v>13:31:29</v>
      </c>
      <c r="K102">
        <v>-12.214913</v>
      </c>
      <c r="L102">
        <v>-76.96752</v>
      </c>
      <c r="M102">
        <f>HYPERLINK("https://www.google.com/maps/search/?api=1&amp;query=-12.214913,-76.96752","Avenida El Sol, Villa El Salvador, Lima")</f>
      </c>
      <c r="N102">
        <v>5.7</v>
      </c>
      <c r="O102">
        <v>93</v>
      </c>
      <c r="P102">
        <v>1723.59</v>
      </c>
      <c r="Q102" t="str">
        <v>68.95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F8R-810</v>
      </c>
      <c r="D103" t="str">
        <v>F8R-810</v>
      </c>
      <c r="E103" t="str">
        <v/>
      </c>
      <c r="F103" t="str">
        <v>867806078868827</v>
      </c>
      <c r="G103" t="str">
        <v>TBD</v>
      </c>
      <c r="H103" t="str">
        <v/>
      </c>
      <c r="I103" t="str">
        <v>28/09/2026</v>
      </c>
      <c r="J103" t="str">
        <v>13:31:29</v>
      </c>
      <c r="K103">
        <v>-12.214913</v>
      </c>
      <c r="L103">
        <v>-76.96752</v>
      </c>
      <c r="M103">
        <f>HYPERLINK("https://www.google.com/maps/search/?api=1&amp;query=-12.214913,-76.96752","Avenida El Sol, Villa El Salvador, Lima")</f>
      </c>
      <c r="N103">
        <v>5.7</v>
      </c>
      <c r="O103">
        <v>96</v>
      </c>
      <c r="P103">
        <v>1723.59</v>
      </c>
      <c r="Q103" t="str">
        <v>68.95</v>
      </c>
      <c r="R103" t="str">
        <v>Fin de ralentí</v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F8R-810</v>
      </c>
      <c r="D104" t="str">
        <v>F8R-810</v>
      </c>
      <c r="E104" t="str">
        <v/>
      </c>
      <c r="F104" t="str">
        <v>867806078868827</v>
      </c>
      <c r="G104" t="str">
        <v>TBD</v>
      </c>
      <c r="H104" t="str">
        <v/>
      </c>
      <c r="I104" t="str">
        <v>28/09/2026</v>
      </c>
      <c r="J104" t="str">
        <v>13:31:30</v>
      </c>
      <c r="K104">
        <v>-12.214913</v>
      </c>
      <c r="L104">
        <v>-76.96752</v>
      </c>
      <c r="M104">
        <f>HYPERLINK("https://www.google.com/maps/search/?api=1&amp;query=-12.214913,-76.96752","Avenida El Sol, Villa El Salvador, Lima")</f>
      </c>
      <c r="N104">
        <v>5.7</v>
      </c>
      <c r="O104">
        <v>96</v>
      </c>
      <c r="P104">
        <v>1723.59</v>
      </c>
      <c r="Q104" t="str">
        <v>68.95</v>
      </c>
      <c r="R104" t="str">
        <v>Acelerado y giro brusco</v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F8R-810</v>
      </c>
      <c r="D105" t="str">
        <v>F8R-810</v>
      </c>
      <c r="E105" t="str">
        <v/>
      </c>
      <c r="F105" t="str">
        <v>867806078868827</v>
      </c>
      <c r="G105" t="str">
        <v>TBD</v>
      </c>
      <c r="H105" t="str">
        <v/>
      </c>
      <c r="I105" t="str">
        <v>28/09/2026</v>
      </c>
      <c r="J105" t="str">
        <v>13:31:35</v>
      </c>
      <c r="K105">
        <v>-12.2149</v>
      </c>
      <c r="L105">
        <v>-76.9675</v>
      </c>
      <c r="M105">
        <f>HYPERLINK("https://www.google.com/maps/search/?api=1&amp;query=-12.2149,-76.9675","Avenida El Sol, Villa El Salvador, Lima")</f>
      </c>
      <c r="N105">
        <v>0</v>
      </c>
      <c r="O105">
        <v>96</v>
      </c>
      <c r="P105">
        <v>1723.59</v>
      </c>
      <c r="Q105" t="str">
        <v>68.95</v>
      </c>
      <c r="R105" t="str">
        <v>Acelerado y giro brusco</v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F8R-810</v>
      </c>
      <c r="D106" t="str">
        <v>F8R-810</v>
      </c>
      <c r="E106" t="str">
        <v/>
      </c>
      <c r="F106" t="str">
        <v>867806078868827</v>
      </c>
      <c r="G106" t="str">
        <v>TBD</v>
      </c>
      <c r="H106" t="str">
        <v/>
      </c>
      <c r="I106" t="str">
        <v>28/09/2026</v>
      </c>
      <c r="J106" t="str">
        <v>13:31:43</v>
      </c>
      <c r="K106">
        <v>-12.215009</v>
      </c>
      <c r="L106">
        <v>-76.967415</v>
      </c>
      <c r="M106">
        <f>HYPERLINK("https://www.google.com/maps/search/?api=1&amp;query=-12.215009,-76.967415","Avenida El Sol, Villa El Salvador, Lima")</f>
      </c>
      <c r="N106">
        <v>10.5</v>
      </c>
      <c r="O106">
        <v>96</v>
      </c>
      <c r="P106">
        <v>1723.61</v>
      </c>
      <c r="Q106" t="str">
        <v>68.95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F8R-810</v>
      </c>
      <c r="D107" t="str">
        <v>F8R-810</v>
      </c>
      <c r="E107" t="str">
        <v/>
      </c>
      <c r="F107" t="str">
        <v>867806078868827</v>
      </c>
      <c r="G107" t="str">
        <v>TBD</v>
      </c>
      <c r="H107" t="str">
        <v/>
      </c>
      <c r="I107" t="str">
        <v>28/09/2026</v>
      </c>
      <c r="J107" t="str">
        <v>13:31:48</v>
      </c>
      <c r="K107">
        <v>-12.215137</v>
      </c>
      <c r="L107">
        <v>-76.96748</v>
      </c>
      <c r="M107">
        <f>HYPERLINK("https://www.google.com/maps/search/?api=1&amp;query=-12.215137,-76.96748","Avenida El Sol, Villa El Salvador, Lima")</f>
      </c>
      <c r="N107">
        <v>11.1</v>
      </c>
      <c r="O107">
        <v>96</v>
      </c>
      <c r="P107">
        <v>1723.62</v>
      </c>
      <c r="Q107" t="str">
        <v>68.95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F8R-810</v>
      </c>
      <c r="D108" t="str">
        <v>F8R-810</v>
      </c>
      <c r="E108" t="str">
        <v/>
      </c>
      <c r="F108" t="str">
        <v>867806078868827</v>
      </c>
      <c r="G108" t="str">
        <v>TBD</v>
      </c>
      <c r="H108" t="str">
        <v/>
      </c>
      <c r="I108" t="str">
        <v>28/09/2026</v>
      </c>
      <c r="J108" t="str">
        <v>13:31:58</v>
      </c>
      <c r="K108">
        <v>-12.215498</v>
      </c>
      <c r="L108">
        <v>-76.96765</v>
      </c>
      <c r="M108">
        <f>HYPERLINK("https://www.google.com/maps/search/?api=1&amp;query=-12.215498,-76.96765","Avenida El Sol, Villa El Salvador, Lima")</f>
      </c>
      <c r="N108">
        <v>25.5</v>
      </c>
      <c r="O108">
        <v>95</v>
      </c>
      <c r="P108">
        <v>1723.67</v>
      </c>
      <c r="Q108" t="str">
        <v>68.95</v>
      </c>
      <c r="R108" t="str">
        <v>Acelerado y giro brusco</v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F8R-810</v>
      </c>
      <c r="D109" t="str">
        <v>F8R-810</v>
      </c>
      <c r="E109" t="str">
        <v/>
      </c>
      <c r="F109" t="str">
        <v>867806078868827</v>
      </c>
      <c r="G109" t="str">
        <v>TBD</v>
      </c>
      <c r="H109" t="str">
        <v/>
      </c>
      <c r="I109" t="str">
        <v>28/09/2026</v>
      </c>
      <c r="J109" t="str">
        <v>13:32:04</v>
      </c>
      <c r="K109">
        <v>-12.215946</v>
      </c>
      <c r="L109">
        <v>-76.96788</v>
      </c>
      <c r="M109">
        <f>HYPERLINK("https://www.google.com/maps/search/?api=1&amp;query=-12.215946,-76.96788","Avenida El Sol, Villa El Salvador, Lima")</f>
      </c>
      <c r="N109">
        <v>31.2</v>
      </c>
      <c r="O109">
        <v>95</v>
      </c>
      <c r="P109">
        <v>1723.72</v>
      </c>
      <c r="Q109" t="str">
        <v>68.95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F8R-810</v>
      </c>
      <c r="D110" t="str">
        <v>F8R-810</v>
      </c>
      <c r="E110" t="str">
        <v/>
      </c>
      <c r="F110" t="str">
        <v>867806078868827</v>
      </c>
      <c r="G110" t="str">
        <v>TBD</v>
      </c>
      <c r="H110" t="str">
        <v/>
      </c>
      <c r="I110" t="str">
        <v>28/09/2026</v>
      </c>
      <c r="J110" t="str">
        <v>13:32:08</v>
      </c>
      <c r="K110">
        <v>-12.216165</v>
      </c>
      <c r="L110">
        <v>-76.9681</v>
      </c>
      <c r="M110">
        <f>HYPERLINK("https://www.google.com/maps/search/?api=1&amp;query=-12.216165,-76.9681","Avenida El Sol, Villa El Salvador, Lima")</f>
      </c>
      <c r="N110">
        <v>30.1</v>
      </c>
      <c r="O110">
        <v>95</v>
      </c>
      <c r="P110">
        <v>1723.76</v>
      </c>
      <c r="Q110" t="str">
        <v>68.95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F8R-810</v>
      </c>
      <c r="D111" t="str">
        <v>F8R-810</v>
      </c>
      <c r="E111" t="str">
        <v/>
      </c>
      <c r="F111" t="str">
        <v>867806078868827</v>
      </c>
      <c r="G111" t="str">
        <v>TBD</v>
      </c>
      <c r="H111" t="str">
        <v/>
      </c>
      <c r="I111" t="str">
        <v>28/09/2026</v>
      </c>
      <c r="J111" t="str">
        <v>13:32:11</v>
      </c>
      <c r="K111">
        <v>-12.216305</v>
      </c>
      <c r="L111">
        <v>-76.96826</v>
      </c>
      <c r="M111">
        <f>HYPERLINK("https://www.google.com/maps/search/?api=1&amp;query=-12.216305,-76.96826","Avenida El Sol, Villa El Salvador, Lima")</f>
      </c>
      <c r="N111">
        <v>25.1</v>
      </c>
      <c r="O111">
        <v>95</v>
      </c>
      <c r="P111">
        <v>1723.78</v>
      </c>
      <c r="Q111" t="str">
        <v>68.95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F8R-810</v>
      </c>
      <c r="D112" t="str">
        <v>F8R-810</v>
      </c>
      <c r="E112" t="str">
        <v/>
      </c>
      <c r="F112" t="str">
        <v>867806078868827</v>
      </c>
      <c r="G112" t="str">
        <v>TBD</v>
      </c>
      <c r="H112" t="str">
        <v/>
      </c>
      <c r="I112" t="str">
        <v>28/09/2026</v>
      </c>
      <c r="J112" t="str">
        <v>13:32:17</v>
      </c>
      <c r="K112">
        <v>-12.216463</v>
      </c>
      <c r="L112">
        <v>-76.96844</v>
      </c>
      <c r="M112">
        <f>HYPERLINK("https://www.google.com/maps/search/?api=1&amp;query=-12.216463,-76.96844","Avenida El Sol, Villa El Salvador, Lima")</f>
      </c>
      <c r="N112">
        <v>8.7</v>
      </c>
      <c r="O112">
        <v>95</v>
      </c>
      <c r="P112">
        <v>1723.8</v>
      </c>
      <c r="Q112" t="str">
        <v>68.95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F8R-810</v>
      </c>
      <c r="D113" t="str">
        <v>F8R-810</v>
      </c>
      <c r="E113" t="str">
        <v/>
      </c>
      <c r="F113" t="str">
        <v>867806078868827</v>
      </c>
      <c r="G113" t="str">
        <v>TBD</v>
      </c>
      <c r="H113" t="str">
        <v/>
      </c>
      <c r="I113" t="str">
        <v>28/09/2026</v>
      </c>
      <c r="J113" t="str">
        <v>13:32:17</v>
      </c>
      <c r="K113">
        <v>-12.216463</v>
      </c>
      <c r="L113">
        <v>-76.96844</v>
      </c>
      <c r="M113">
        <f>HYPERLINK("https://www.google.com/maps/search/?api=1&amp;query=-12.216463,-76.96844","Avenida El Sol, Villa El Salvador, Lima")</f>
      </c>
      <c r="N113">
        <v>8.7</v>
      </c>
      <c r="O113">
        <v>95</v>
      </c>
      <c r="P113">
        <v>1723.8</v>
      </c>
      <c r="Q113" t="str">
        <v>68.95</v>
      </c>
      <c r="R113" t="str">
        <v>Acelerado y giro brusco</v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F8R-810</v>
      </c>
      <c r="D114" t="str">
        <v>F8R-810</v>
      </c>
      <c r="E114" t="str">
        <v/>
      </c>
      <c r="F114" t="str">
        <v>867806078868827</v>
      </c>
      <c r="G114" t="str">
        <v>TBD</v>
      </c>
      <c r="H114" t="str">
        <v/>
      </c>
      <c r="I114" t="str">
        <v>28/09/2026</v>
      </c>
      <c r="J114" t="str">
        <v>13:32:30</v>
      </c>
      <c r="K114">
        <v>-12.216955</v>
      </c>
      <c r="L114">
        <v>-76.96897</v>
      </c>
      <c r="M114">
        <f>HYPERLINK("https://www.google.com/maps/search/?api=1&amp;query=-12.216955,-76.96897","Avenida El Sol, Villa El Salvador, Lima")</f>
      </c>
      <c r="N114">
        <v>35.1</v>
      </c>
      <c r="O114">
        <v>95</v>
      </c>
      <c r="P114">
        <v>1723.88</v>
      </c>
      <c r="Q114" t="str">
        <v>68.95</v>
      </c>
      <c r="R114" t="str">
        <v>Acelerado y giro brusco</v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F8R-810</v>
      </c>
      <c r="D115" t="str">
        <v>F8R-810</v>
      </c>
      <c r="E115" t="str">
        <v/>
      </c>
      <c r="F115" t="str">
        <v>867806078868827</v>
      </c>
      <c r="G115" t="str">
        <v>TBD</v>
      </c>
      <c r="H115" t="str">
        <v/>
      </c>
      <c r="I115" t="str">
        <v>28/09/2026</v>
      </c>
      <c r="J115" t="str">
        <v>13:32:38</v>
      </c>
      <c r="K115">
        <v>-12.217452</v>
      </c>
      <c r="L115">
        <v>-76.969505</v>
      </c>
      <c r="M115">
        <f>HYPERLINK("https://www.google.com/maps/search/?api=1&amp;query=-12.217452,-76.969505","Avenida El Sol, Villa El Salvador, Lima")</f>
      </c>
      <c r="N115">
        <v>35.9</v>
      </c>
      <c r="O115">
        <v>95</v>
      </c>
      <c r="P115">
        <v>1723.96</v>
      </c>
      <c r="Q115" t="str">
        <v>68.95</v>
      </c>
      <c r="R115" t="str">
        <v>Acelerado y giro brusco</v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F8R-810</v>
      </c>
      <c r="D116" t="str">
        <v>F8R-810</v>
      </c>
      <c r="E116" t="str">
        <v/>
      </c>
      <c r="F116" t="str">
        <v>867806078868827</v>
      </c>
      <c r="G116" t="str">
        <v>TBD</v>
      </c>
      <c r="H116" t="str">
        <v/>
      </c>
      <c r="I116" t="str">
        <v>28/09/2026</v>
      </c>
      <c r="J116" t="str">
        <v>13:32:41</v>
      </c>
      <c r="K116">
        <v>-12.21765</v>
      </c>
      <c r="L116">
        <v>-76.96971</v>
      </c>
      <c r="M116">
        <f>HYPERLINK("https://www.google.com/maps/search/?api=1&amp;query=-12.21765,-76.96971","Avenida El Sol, Villa El Salvador, Lima")</f>
      </c>
      <c r="N116">
        <v>37</v>
      </c>
      <c r="O116">
        <v>95</v>
      </c>
      <c r="P116">
        <v>1723.99</v>
      </c>
      <c r="Q116" t="str">
        <v>68.95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F8R-810</v>
      </c>
      <c r="D117" t="str">
        <v>F8R-810</v>
      </c>
      <c r="E117" t="str">
        <v/>
      </c>
      <c r="F117" t="str">
        <v>867806078868827</v>
      </c>
      <c r="G117" t="str">
        <v>TBD</v>
      </c>
      <c r="H117" t="str">
        <v/>
      </c>
      <c r="I117" t="str">
        <v>28/09/2026</v>
      </c>
      <c r="J117" t="str">
        <v>13:32:46</v>
      </c>
      <c r="K117">
        <v>-12.217955</v>
      </c>
      <c r="L117">
        <v>-76.97003</v>
      </c>
      <c r="M117">
        <f>HYPERLINK("https://www.google.com/maps/search/?api=1&amp;query=-12.217955,-76.97003","Avenida El Sol, Villa El Salvador, Lima")</f>
      </c>
      <c r="N117">
        <v>21.2</v>
      </c>
      <c r="O117">
        <v>95</v>
      </c>
      <c r="P117">
        <v>1724.04</v>
      </c>
      <c r="Q117" t="str">
        <v>68.95</v>
      </c>
      <c r="R117" t="str">
        <v>Aceleración brusca</v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F8R-810</v>
      </c>
      <c r="D118" t="str">
        <v>F8R-810</v>
      </c>
      <c r="E118" t="str">
        <v/>
      </c>
      <c r="F118" t="str">
        <v>867806078868827</v>
      </c>
      <c r="G118" t="str">
        <v>TBD</v>
      </c>
      <c r="H118" t="str">
        <v/>
      </c>
      <c r="I118" t="str">
        <v>28/09/2026</v>
      </c>
      <c r="J118" t="str">
        <v>13:32:50</v>
      </c>
      <c r="K118">
        <v>-12.218015</v>
      </c>
      <c r="L118">
        <v>-76.9701</v>
      </c>
      <c r="M118">
        <f>HYPERLINK("https://www.google.com/maps/search/?api=1&amp;query=-12.218015,-76.9701","Avenida El Sol, Villa El Salvador, Lima")</f>
      </c>
      <c r="N118">
        <v>4.4</v>
      </c>
      <c r="O118">
        <v>95</v>
      </c>
      <c r="P118">
        <v>1724.05</v>
      </c>
      <c r="Q118" t="str">
        <v>68.95</v>
      </c>
      <c r="R118" t="str">
        <v>Bache</v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F8R-810</v>
      </c>
      <c r="D119" t="str">
        <v>F8R-810</v>
      </c>
      <c r="E119" t="str">
        <v/>
      </c>
      <c r="F119" t="str">
        <v>867806078868827</v>
      </c>
      <c r="G119" t="str">
        <v>TBD</v>
      </c>
      <c r="H119" t="str">
        <v/>
      </c>
      <c r="I119" t="str">
        <v>28/09/2026</v>
      </c>
      <c r="J119" t="str">
        <v>13:33:03</v>
      </c>
      <c r="K119">
        <v>-12.218761</v>
      </c>
      <c r="L119">
        <v>-76.97086</v>
      </c>
      <c r="M119">
        <f>HYPERLINK("https://www.google.com/maps/search/?api=1&amp;query=-12.218761,-76.97086","Avenida El Sol, Villa El Salvador, Lima")</f>
      </c>
      <c r="N119">
        <v>47.7</v>
      </c>
      <c r="O119">
        <v>95</v>
      </c>
      <c r="P119">
        <v>1724.17</v>
      </c>
      <c r="Q119" t="str">
        <v>68.95</v>
      </c>
      <c r="R119" t="str">
        <v>Acelerado y giro brusco</v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F8R-810</v>
      </c>
      <c r="D120" t="str">
        <v>F8R-810</v>
      </c>
      <c r="E120" t="str">
        <v/>
      </c>
      <c r="F120" t="str">
        <v>867806078868827</v>
      </c>
      <c r="G120" t="str">
        <v>TBD</v>
      </c>
      <c r="H120" t="str">
        <v/>
      </c>
      <c r="I120" t="str">
        <v>28/09/2026</v>
      </c>
      <c r="J120" t="str">
        <v>13:33:11</v>
      </c>
      <c r="K120">
        <v>-12.219388</v>
      </c>
      <c r="L120">
        <v>-76.97152</v>
      </c>
      <c r="M120">
        <f>HYPERLINK("https://www.google.com/maps/search/?api=1&amp;query=-12.219388,-76.97152","Avenida El Sol, Villa El Salvador, Lima")</f>
      </c>
      <c r="N120">
        <v>42</v>
      </c>
      <c r="O120">
        <v>95</v>
      </c>
      <c r="P120">
        <v>1724.26</v>
      </c>
      <c r="Q120" t="str">
        <v>68.95</v>
      </c>
      <c r="R120" t="str">
        <v>Acelerado y giro brusco</v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F8R-810</v>
      </c>
      <c r="D121" t="str">
        <v>F8R-810</v>
      </c>
      <c r="E121" t="str">
        <v/>
      </c>
      <c r="F121" t="str">
        <v>867806078868827</v>
      </c>
      <c r="G121" t="str">
        <v>TBD</v>
      </c>
      <c r="H121" t="str">
        <v/>
      </c>
      <c r="I121" t="str">
        <v>28/09/2026</v>
      </c>
      <c r="J121" t="str">
        <v>13:33:14</v>
      </c>
      <c r="K121">
        <v>-12.219602</v>
      </c>
      <c r="L121">
        <v>-76.97175</v>
      </c>
      <c r="M121">
        <f>HYPERLINK("https://www.google.com/maps/search/?api=1&amp;query=-12.219602,-76.97175","Avenida El Sol, Villa El Salvador, Lima")</f>
      </c>
      <c r="N121">
        <v>40.1</v>
      </c>
      <c r="O121">
        <v>95</v>
      </c>
      <c r="P121">
        <v>1724.3</v>
      </c>
      <c r="Q121" t="str">
        <v>68.95</v>
      </c>
      <c r="R121" t="str">
        <v>Bache</v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F8R-810</v>
      </c>
      <c r="D122" t="str">
        <v>F8R-810</v>
      </c>
      <c r="E122" t="str">
        <v/>
      </c>
      <c r="F122" t="str">
        <v>867806078868827</v>
      </c>
      <c r="G122" t="str">
        <v>TBD</v>
      </c>
      <c r="H122" t="str">
        <v/>
      </c>
      <c r="I122" t="str">
        <v>28/09/2026</v>
      </c>
      <c r="J122" t="str">
        <v>13:33:17</v>
      </c>
      <c r="K122">
        <v>-12.219815</v>
      </c>
      <c r="L122">
        <v>-76.97198</v>
      </c>
      <c r="M122">
        <f>HYPERLINK("https://www.google.com/maps/search/?api=1&amp;query=-12.219815,-76.97198","Avenida El Sol, Villa El Salvador, Lima")</f>
      </c>
      <c r="N122">
        <v>42.4</v>
      </c>
      <c r="O122">
        <v>95</v>
      </c>
      <c r="P122">
        <v>1724.33</v>
      </c>
      <c r="Q122" t="str">
        <v>68.95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F8R-810</v>
      </c>
      <c r="D123" t="str">
        <v>F8R-810</v>
      </c>
      <c r="E123" t="str">
        <v/>
      </c>
      <c r="F123" t="str">
        <v>867806078868827</v>
      </c>
      <c r="G123" t="str">
        <v>TBD</v>
      </c>
      <c r="H123" t="str">
        <v/>
      </c>
      <c r="I123" t="str">
        <v>28/09/2026</v>
      </c>
      <c r="J123" t="str">
        <v>13:33:23</v>
      </c>
      <c r="K123">
        <v>-12.220243</v>
      </c>
      <c r="L123">
        <v>-76.97243</v>
      </c>
      <c r="M123">
        <f>HYPERLINK("https://www.google.com/maps/search/?api=1&amp;query=-12.220243,-76.97243","Avenida El Sol, Villa El Salvador, Lima")</f>
      </c>
      <c r="N123">
        <v>38.5</v>
      </c>
      <c r="O123">
        <v>95</v>
      </c>
      <c r="P123">
        <v>1724.4</v>
      </c>
      <c r="Q123" t="str">
        <v>68.95</v>
      </c>
      <c r="R123" t="str">
        <v>Bache</v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F8R-810</v>
      </c>
      <c r="D124" t="str">
        <v>F8R-810</v>
      </c>
      <c r="E124" t="str">
        <v/>
      </c>
      <c r="F124" t="str">
        <v>867806078868827</v>
      </c>
      <c r="G124" t="str">
        <v>TBD</v>
      </c>
      <c r="H124" t="str">
        <v/>
      </c>
      <c r="I124" t="str">
        <v>28/09/2026</v>
      </c>
      <c r="J124" t="str">
        <v>13:33:50</v>
      </c>
      <c r="K124">
        <v>-12.221848</v>
      </c>
      <c r="L124">
        <v>-76.97411</v>
      </c>
      <c r="M124">
        <f>HYPERLINK("https://www.google.com/maps/search/?api=1&amp;query=-12.221848,-76.97411","Avenida El Sol, Villa El Salvador, Lima")</f>
      </c>
      <c r="N124">
        <v>12.5</v>
      </c>
      <c r="O124">
        <v>95</v>
      </c>
      <c r="P124">
        <v>1724.65</v>
      </c>
      <c r="Q124" t="str">
        <v>68.95</v>
      </c>
      <c r="R124" t="str">
        <v>Aceleración brusca</v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F8R-810</v>
      </c>
      <c r="D125" t="str">
        <v>F8R-810</v>
      </c>
      <c r="E125" t="str">
        <v/>
      </c>
      <c r="F125" t="str">
        <v>867806078868827</v>
      </c>
      <c r="G125" t="str">
        <v>TBD</v>
      </c>
      <c r="H125" t="str">
        <v/>
      </c>
      <c r="I125" t="str">
        <v>28/09/2026</v>
      </c>
      <c r="J125" t="str">
        <v>13:33:51</v>
      </c>
      <c r="K125">
        <v>-12.221868</v>
      </c>
      <c r="L125">
        <v>-76.97413</v>
      </c>
      <c r="M125">
        <f>HYPERLINK("https://www.google.com/maps/search/?api=1&amp;query=-12.221868,-76.97413","Avenida El Sol, Villa El Salvador, Lima")</f>
      </c>
      <c r="N125">
        <v>9.4</v>
      </c>
      <c r="O125">
        <v>95</v>
      </c>
      <c r="P125">
        <v>1724.65</v>
      </c>
      <c r="Q125" t="str">
        <v>68.95</v>
      </c>
      <c r="R125" t="str">
        <v>Ingreso a camino vecinal</v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F8R-810</v>
      </c>
      <c r="D126" t="str">
        <v>F8R-810</v>
      </c>
      <c r="E126" t="str">
        <v/>
      </c>
      <c r="F126" t="str">
        <v>867806078868827</v>
      </c>
      <c r="G126" t="str">
        <v>TBD</v>
      </c>
      <c r="H126" t="str">
        <v/>
      </c>
      <c r="I126" t="str">
        <v>28/09/2026</v>
      </c>
      <c r="J126" t="str">
        <v>13:34:13</v>
      </c>
      <c r="K126">
        <v>-12.222167</v>
      </c>
      <c r="L126">
        <v>-76.97445</v>
      </c>
      <c r="M126">
        <f>HYPERLINK("https://www.google.com/maps/search/?api=1&amp;query=-12.222167,-76.97445","Avenida El Sol, Villa El Salvador, Lima")</f>
      </c>
      <c r="N126">
        <v>6.8</v>
      </c>
      <c r="O126">
        <v>95</v>
      </c>
      <c r="P126">
        <v>1724.7</v>
      </c>
      <c r="Q126" t="str">
        <v>68.95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F8R-810</v>
      </c>
      <c r="D127" t="str">
        <v>F8R-810</v>
      </c>
      <c r="E127" t="str">
        <v/>
      </c>
      <c r="F127" t="str">
        <v>867806078868827</v>
      </c>
      <c r="G127" t="str">
        <v>TBD</v>
      </c>
      <c r="H127" t="str">
        <v/>
      </c>
      <c r="I127" t="str">
        <v>28/09/2026</v>
      </c>
      <c r="J127" t="str">
        <v>13:34:18</v>
      </c>
      <c r="K127">
        <v>-12.222123</v>
      </c>
      <c r="L127">
        <v>-76.974556</v>
      </c>
      <c r="M127">
        <f>HYPERLINK("https://www.google.com/maps/search/?api=1&amp;query=-12.222123,-76.974556","Antigua Panamericana Sur, Villa El Salvador, Lima")</f>
      </c>
      <c r="N127">
        <v>11.6</v>
      </c>
      <c r="O127">
        <v>95</v>
      </c>
      <c r="P127">
        <v>1724.71</v>
      </c>
      <c r="Q127" t="str">
        <v>68.95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F8R-810</v>
      </c>
      <c r="D128" t="str">
        <v>F8R-810</v>
      </c>
      <c r="E128" t="str">
        <v/>
      </c>
      <c r="F128" t="str">
        <v>867806078868827</v>
      </c>
      <c r="G128" t="str">
        <v>TBD</v>
      </c>
      <c r="H128" t="str">
        <v/>
      </c>
      <c r="I128" t="str">
        <v>28/09/2026</v>
      </c>
      <c r="J128" t="str">
        <v>13:34:41</v>
      </c>
      <c r="K128">
        <v>-12.220903</v>
      </c>
      <c r="L128">
        <v>-76.97567</v>
      </c>
      <c r="M128">
        <f>HYPERLINK("https://www.google.com/maps/search/?api=1&amp;query=-12.220903,-76.97567","Antigua Panamericana Sur, Villa El Salvador, Lima")</f>
      </c>
      <c r="N128">
        <v>40.7</v>
      </c>
      <c r="O128">
        <v>95</v>
      </c>
      <c r="P128">
        <v>1724.89</v>
      </c>
      <c r="Q128" t="str">
        <v>68.95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F8R-810</v>
      </c>
      <c r="D129" t="str">
        <v>F8R-810</v>
      </c>
      <c r="E129" t="str">
        <v/>
      </c>
      <c r="F129" t="str">
        <v>867806078868827</v>
      </c>
      <c r="G129" t="str">
        <v>TBD</v>
      </c>
      <c r="H129" t="str">
        <v/>
      </c>
      <c r="I129" t="str">
        <v>28/09/2026</v>
      </c>
      <c r="J129" t="str">
        <v>13:34:46</v>
      </c>
      <c r="K129">
        <v>-12.220413</v>
      </c>
      <c r="L129">
        <v>-76.97577</v>
      </c>
      <c r="M129">
        <f>HYPERLINK("https://www.google.com/maps/search/?api=1&amp;query=-12.220413,-76.97577","Antigua Panamericana Sur, Villa El Salvador, Lima")</f>
      </c>
      <c r="N129">
        <v>37</v>
      </c>
      <c r="O129">
        <v>95</v>
      </c>
      <c r="P129">
        <v>1724.95</v>
      </c>
      <c r="Q129" t="str">
        <v>68.95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F8R-810</v>
      </c>
      <c r="D130" t="str">
        <v>F8R-810</v>
      </c>
      <c r="E130" t="str">
        <v/>
      </c>
      <c r="F130" t="str">
        <v>867806078868827</v>
      </c>
      <c r="G130" t="str">
        <v>TBD</v>
      </c>
      <c r="H130" t="str">
        <v/>
      </c>
      <c r="I130" t="str">
        <v>28/09/2026</v>
      </c>
      <c r="J130" t="str">
        <v>13:34:51</v>
      </c>
      <c r="K130">
        <v>-12.220047</v>
      </c>
      <c r="L130">
        <v>-76.9757</v>
      </c>
      <c r="M130">
        <f>HYPERLINK("https://www.google.com/maps/search/?api=1&amp;query=-12.220047,-76.9757","Antigua Panamericana Sur, Villa El Salvador, Lima")</f>
      </c>
      <c r="N130">
        <v>34.6</v>
      </c>
      <c r="O130">
        <v>95</v>
      </c>
      <c r="P130">
        <v>1724.99</v>
      </c>
      <c r="Q130" t="str">
        <v>68.95</v>
      </c>
      <c r="R130" t="str">
        <v>Salida de camino vecinal</v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F8R-810</v>
      </c>
      <c r="D131" t="str">
        <v>F8R-810</v>
      </c>
      <c r="E131" t="str">
        <v/>
      </c>
      <c r="F131" t="str">
        <v>867806078868827</v>
      </c>
      <c r="G131" t="str">
        <v>TBD</v>
      </c>
      <c r="H131" t="str">
        <v/>
      </c>
      <c r="I131" t="str">
        <v>28/09/2026</v>
      </c>
      <c r="J131" t="str">
        <v>13:34:52</v>
      </c>
      <c r="K131">
        <v>-12.219889</v>
      </c>
      <c r="L131">
        <v>-76.97569</v>
      </c>
      <c r="M131">
        <f>HYPERLINK("https://www.google.com/maps/search/?api=1&amp;query=-12.219889,-76.97569","Antigua Panamericana Sur, Villa El Salvador, Lima")</f>
      </c>
      <c r="N131">
        <v>29.8</v>
      </c>
      <c r="O131">
        <v>95</v>
      </c>
      <c r="P131">
        <v>1725.01</v>
      </c>
      <c r="Q131" t="str">
        <v>68.95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F8R-810</v>
      </c>
      <c r="D132" t="str">
        <v>F8R-810</v>
      </c>
      <c r="E132" t="str">
        <v/>
      </c>
      <c r="F132" t="str">
        <v>867806078868827</v>
      </c>
      <c r="G132" t="str">
        <v>TBD</v>
      </c>
      <c r="H132" t="str">
        <v/>
      </c>
      <c r="I132" t="str">
        <v>28/09/2026</v>
      </c>
      <c r="J132" t="str">
        <v>13:34:53</v>
      </c>
      <c r="K132">
        <v>-12.219889</v>
      </c>
      <c r="L132">
        <v>-76.97569</v>
      </c>
      <c r="M132">
        <f>HYPERLINK("https://www.google.com/maps/search/?api=1&amp;query=-12.219889,-76.97569","Antigua Panamericana Sur, Villa El Salvador, Lima")</f>
      </c>
      <c r="N132">
        <v>29.8</v>
      </c>
      <c r="O132">
        <v>95</v>
      </c>
      <c r="P132">
        <v>1725.01</v>
      </c>
      <c r="Q132" t="str">
        <v>68.95</v>
      </c>
      <c r="R132" t="str">
        <v>Giro brusco</v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F8R-810</v>
      </c>
      <c r="D133" t="str">
        <v>F8R-810</v>
      </c>
      <c r="E133" t="str">
        <v/>
      </c>
      <c r="F133" t="str">
        <v>867806078868827</v>
      </c>
      <c r="G133" t="str">
        <v>TBD</v>
      </c>
      <c r="H133" t="str">
        <v/>
      </c>
      <c r="I133" t="str">
        <v>28/09/2026</v>
      </c>
      <c r="J133" t="str">
        <v>13:34:59</v>
      </c>
      <c r="K133">
        <v>-12.219392</v>
      </c>
      <c r="L133">
        <v>-76.97582</v>
      </c>
      <c r="M133">
        <f>HYPERLINK("https://www.google.com/maps/search/?api=1&amp;query=-12.219392,-76.97582","Villa El Salvador, Lima")</f>
      </c>
      <c r="N133">
        <v>32</v>
      </c>
      <c r="O133">
        <v>95</v>
      </c>
      <c r="P133">
        <v>1725.06</v>
      </c>
      <c r="Q133" t="str">
        <v>68.95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F8R-810</v>
      </c>
      <c r="D134" t="str">
        <v>F8R-810</v>
      </c>
      <c r="E134" t="str">
        <v/>
      </c>
      <c r="F134" t="str">
        <v>867806078868827</v>
      </c>
      <c r="G134" t="str">
        <v>TBD</v>
      </c>
      <c r="H134" t="str">
        <v/>
      </c>
      <c r="I134" t="str">
        <v>28/09/2026</v>
      </c>
      <c r="J134" t="str">
        <v>13:35:05</v>
      </c>
      <c r="K134">
        <v>-12.21884</v>
      </c>
      <c r="L134">
        <v>-76.975784</v>
      </c>
      <c r="M134">
        <f>HYPERLINK("https://www.google.com/maps/search/?api=1&amp;query=-12.21884,-76.975784","Villa El Salvador, Lima")</f>
      </c>
      <c r="N134">
        <v>37</v>
      </c>
      <c r="O134">
        <v>95</v>
      </c>
      <c r="P134">
        <v>1725.12</v>
      </c>
      <c r="Q134" t="str">
        <v>68.95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F8R-810</v>
      </c>
      <c r="D135" t="str">
        <v>F8R-810</v>
      </c>
      <c r="E135" t="str">
        <v/>
      </c>
      <c r="F135" t="str">
        <v>867806078868827</v>
      </c>
      <c r="G135" t="str">
        <v>TBD</v>
      </c>
      <c r="H135" t="str">
        <v/>
      </c>
      <c r="I135" t="str">
        <v>28/09/2026</v>
      </c>
      <c r="J135" t="str">
        <v>13:35:10</v>
      </c>
      <c r="K135">
        <v>-12.218462</v>
      </c>
      <c r="L135">
        <v>-76.97591</v>
      </c>
      <c r="M135">
        <f>HYPERLINK("https://www.google.com/maps/search/?api=1&amp;query=-12.218462,-76.97591","Villa El Salvador, Lima")</f>
      </c>
      <c r="N135">
        <v>29.6</v>
      </c>
      <c r="O135">
        <v>90</v>
      </c>
      <c r="P135">
        <v>1725.17</v>
      </c>
      <c r="Q135" t="str">
        <v>68.95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F8R-810</v>
      </c>
      <c r="D136" t="str">
        <v>F8R-810</v>
      </c>
      <c r="E136" t="str">
        <v/>
      </c>
      <c r="F136" t="str">
        <v>867806078868827</v>
      </c>
      <c r="G136" t="str">
        <v>TBD</v>
      </c>
      <c r="H136" t="str">
        <v/>
      </c>
      <c r="I136" t="str">
        <v>28/09/2026</v>
      </c>
      <c r="J136" t="str">
        <v>13:35:15</v>
      </c>
      <c r="K136">
        <v>-12.21816</v>
      </c>
      <c r="L136">
        <v>-76.97618</v>
      </c>
      <c r="M136">
        <f>HYPERLINK("https://www.google.com/maps/search/?api=1&amp;query=-12.21816,-76.97618","Villa El Salvador, Lima")</f>
      </c>
      <c r="N136">
        <v>33.1</v>
      </c>
      <c r="O136">
        <v>90</v>
      </c>
      <c r="P136">
        <v>1725.21</v>
      </c>
      <c r="Q136" t="str">
        <v>68.95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F8R-810</v>
      </c>
      <c r="D137" t="str">
        <v>F8R-810</v>
      </c>
      <c r="E137" t="str">
        <v/>
      </c>
      <c r="F137" t="str">
        <v>867806078868827</v>
      </c>
      <c r="G137" t="str">
        <v>TBD</v>
      </c>
      <c r="H137" t="str">
        <v/>
      </c>
      <c r="I137" t="str">
        <v>28/09/2026</v>
      </c>
      <c r="J137" t="str">
        <v>13:35:20</v>
      </c>
      <c r="K137">
        <v>-12.217981</v>
      </c>
      <c r="L137">
        <v>-76.97658</v>
      </c>
      <c r="M137">
        <f>HYPERLINK("https://www.google.com/maps/search/?api=1&amp;query=-12.217981,-76.97658","Avenida Caminos del Inca, Villa El Salvador, Lima")</f>
      </c>
      <c r="N137">
        <v>33.5</v>
      </c>
      <c r="O137">
        <v>90</v>
      </c>
      <c r="P137">
        <v>1725.26</v>
      </c>
      <c r="Q137" t="str">
        <v>68.95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F8R-810</v>
      </c>
      <c r="D138" t="str">
        <v>F8R-810</v>
      </c>
      <c r="E138" t="str">
        <v/>
      </c>
      <c r="F138" t="str">
        <v>867806078868827</v>
      </c>
      <c r="G138" t="str">
        <v>TBD</v>
      </c>
      <c r="H138" t="str">
        <v/>
      </c>
      <c r="I138" t="str">
        <v>28/09/2026</v>
      </c>
      <c r="J138" t="str">
        <v>13:35:26</v>
      </c>
      <c r="K138">
        <v>-12.217941</v>
      </c>
      <c r="L138">
        <v>-76.97703</v>
      </c>
      <c r="M138">
        <f>HYPERLINK("https://www.google.com/maps/search/?api=1&amp;query=-12.217941,-76.97703","Avenida Caminos del Inca, Chorrillos, Lima")</f>
      </c>
      <c r="N138">
        <v>36.4</v>
      </c>
      <c r="O138">
        <v>90</v>
      </c>
      <c r="P138">
        <v>1725.31</v>
      </c>
      <c r="Q138" t="str">
        <v>68.95</v>
      </c>
      <c r="R138" t="str">
        <v>Acelerado y giro brusco</v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F8R-810</v>
      </c>
      <c r="D139" t="str">
        <v>F8R-810</v>
      </c>
      <c r="E139" t="str">
        <v/>
      </c>
      <c r="F139" t="str">
        <v>867806078868827</v>
      </c>
      <c r="G139" t="str">
        <v>TBD</v>
      </c>
      <c r="H139" t="str">
        <v/>
      </c>
      <c r="I139" t="str">
        <v>28/09/2026</v>
      </c>
      <c r="J139" t="str">
        <v>13:35:26</v>
      </c>
      <c r="K139">
        <v>-12.217936</v>
      </c>
      <c r="L139">
        <v>-76.97712</v>
      </c>
      <c r="M139">
        <f>HYPERLINK("https://www.google.com/maps/search/?api=1&amp;query=-12.217936,-76.97712","Avenida Caminos del Inca, Chorrillos, Lima")</f>
      </c>
      <c r="N139">
        <v>36.4</v>
      </c>
      <c r="O139">
        <v>90</v>
      </c>
      <c r="P139">
        <v>1725.32</v>
      </c>
      <c r="Q139" t="str">
        <v>68.95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F8R-810</v>
      </c>
      <c r="D140" t="str">
        <v>F8R-810</v>
      </c>
      <c r="E140" t="str">
        <v/>
      </c>
      <c r="F140" t="str">
        <v>867806078868827</v>
      </c>
      <c r="G140" t="str">
        <v>TBD</v>
      </c>
      <c r="H140" t="str">
        <v/>
      </c>
      <c r="I140" t="str">
        <v>28/09/2026</v>
      </c>
      <c r="J140" t="str">
        <v>13:35:33</v>
      </c>
      <c r="K140">
        <v>-12.217914</v>
      </c>
      <c r="L140">
        <v>-76.977615</v>
      </c>
      <c r="M140">
        <f>HYPERLINK("https://www.google.com/maps/search/?api=1&amp;query=-12.217914,-76.977615","Avenida Caminos del Inca, Chorrillos, Lima")</f>
      </c>
      <c r="N140">
        <v>26.2</v>
      </c>
      <c r="O140">
        <v>90</v>
      </c>
      <c r="P140">
        <v>1725.37</v>
      </c>
      <c r="Q140" t="str">
        <v>68.95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F8R-810</v>
      </c>
      <c r="D141" t="str">
        <v>F8R-810</v>
      </c>
      <c r="E141" t="str">
        <v/>
      </c>
      <c r="F141" t="str">
        <v>867806078868827</v>
      </c>
      <c r="G141" t="str">
        <v>TBD</v>
      </c>
      <c r="H141" t="str">
        <v/>
      </c>
      <c r="I141" t="str">
        <v>28/09/2026</v>
      </c>
      <c r="J141" t="str">
        <v>13:35:41</v>
      </c>
      <c r="K141">
        <v>-12.217901</v>
      </c>
      <c r="L141">
        <v>-76.97792</v>
      </c>
      <c r="M141">
        <f>HYPERLINK("https://www.google.com/maps/search/?api=1&amp;query=-12.217901,-76.97792","Avenida Caminos del Inca, Chorrillos, Lima")</f>
      </c>
      <c r="N141">
        <v>12</v>
      </c>
      <c r="O141">
        <v>90</v>
      </c>
      <c r="P141">
        <v>1725.4</v>
      </c>
      <c r="Q141" t="str">
        <v>68.95</v>
      </c>
      <c r="R141" t="str">
        <v>Acelerado y giro brusco</v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F8R-810</v>
      </c>
      <c r="D142" t="str">
        <v>F8R-810</v>
      </c>
      <c r="E142" t="str">
        <v/>
      </c>
      <c r="F142" t="str">
        <v>867806078868827</v>
      </c>
      <c r="G142" t="str">
        <v>TBD</v>
      </c>
      <c r="H142" t="str">
        <v/>
      </c>
      <c r="I142" t="str">
        <v>28/09/2026</v>
      </c>
      <c r="J142" t="str">
        <v>13:35:43</v>
      </c>
      <c r="K142">
        <v>-12.217896</v>
      </c>
      <c r="L142">
        <v>-76.97801</v>
      </c>
      <c r="M142">
        <f>HYPERLINK("https://www.google.com/maps/search/?api=1&amp;query=-12.217896,-76.97801","Avenida Caminos del Inca, Chorrillos, Lima")</f>
      </c>
      <c r="N142">
        <v>13.1</v>
      </c>
      <c r="O142">
        <v>90</v>
      </c>
      <c r="P142">
        <v>1725.41</v>
      </c>
      <c r="Q142" t="str">
        <v>68.95</v>
      </c>
      <c r="R142" t="str">
        <v>Bache</v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F8R-810</v>
      </c>
      <c r="D143" t="str">
        <v>F8R-810</v>
      </c>
      <c r="E143" t="str">
        <v/>
      </c>
      <c r="F143" t="str">
        <v>867806078868827</v>
      </c>
      <c r="G143" t="str">
        <v>TBD</v>
      </c>
      <c r="H143" t="str">
        <v/>
      </c>
      <c r="I143" t="str">
        <v>28/09/2026</v>
      </c>
      <c r="J143" t="str">
        <v>13:35:51</v>
      </c>
      <c r="K143">
        <v>-12.21785</v>
      </c>
      <c r="L143">
        <v>-76.97853</v>
      </c>
      <c r="M143">
        <f>HYPERLINK("https://www.google.com/maps/search/?api=1&amp;query=-12.21785,-76.97853","Avenida Caminos del Inca, Chorrillos, Lima")</f>
      </c>
      <c r="N143">
        <v>34.8</v>
      </c>
      <c r="O143">
        <v>90</v>
      </c>
      <c r="P143">
        <v>1725.47</v>
      </c>
      <c r="Q143" t="str">
        <v>68.95</v>
      </c>
      <c r="R143" t="str">
        <v>Acelerado y giro brusco</v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F8R-810</v>
      </c>
      <c r="D144" t="str">
        <v>F8R-810</v>
      </c>
      <c r="E144" t="str">
        <v/>
      </c>
      <c r="F144" t="str">
        <v>867806078868827</v>
      </c>
      <c r="G144" t="str">
        <v>TBD</v>
      </c>
      <c r="H144" t="str">
        <v/>
      </c>
      <c r="I144" t="str">
        <v>28/09/2026</v>
      </c>
      <c r="J144" t="str">
        <v>13:35:52</v>
      </c>
      <c r="K144">
        <v>-12.217829</v>
      </c>
      <c r="L144">
        <v>-76.97862</v>
      </c>
      <c r="M144">
        <f>HYPERLINK("https://www.google.com/maps/search/?api=1&amp;query=-12.217829,-76.97862","Avenida Caminos del Inca, Chorrillos, Lima")</f>
      </c>
      <c r="N144">
        <v>36.8</v>
      </c>
      <c r="O144">
        <v>92</v>
      </c>
      <c r="P144">
        <v>1725.48</v>
      </c>
      <c r="Q144" t="str">
        <v>68.95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F8R-810</v>
      </c>
      <c r="D145" t="str">
        <v>F8R-810</v>
      </c>
      <c r="E145" t="str">
        <v/>
      </c>
      <c r="F145" t="str">
        <v>867806078868827</v>
      </c>
      <c r="G145" t="str">
        <v>TBD</v>
      </c>
      <c r="H145" t="str">
        <v/>
      </c>
      <c r="I145" t="str">
        <v>28/09/2026</v>
      </c>
      <c r="J145" t="str">
        <v>13:35:57</v>
      </c>
      <c r="K145">
        <v>-12.217631</v>
      </c>
      <c r="L145">
        <v>-76.979095</v>
      </c>
      <c r="M145">
        <f>HYPERLINK("https://www.google.com/maps/search/?api=1&amp;query=-12.217631,-76.979095","Avenida Caminos del Inca, Chorrillos, Lima")</f>
      </c>
      <c r="N145">
        <v>42.7</v>
      </c>
      <c r="O145">
        <v>90</v>
      </c>
      <c r="P145">
        <v>1725.54</v>
      </c>
      <c r="Q145" t="str">
        <v>68.95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F8R-810</v>
      </c>
      <c r="D146" t="str">
        <v>F8R-810</v>
      </c>
      <c r="E146" t="str">
        <v/>
      </c>
      <c r="F146" t="str">
        <v>867806078868827</v>
      </c>
      <c r="G146" t="str">
        <v>TBD</v>
      </c>
      <c r="H146" t="str">
        <v/>
      </c>
      <c r="I146" t="str">
        <v>28/09/2026</v>
      </c>
      <c r="J146" t="str">
        <v>13:35:59</v>
      </c>
      <c r="K146">
        <v>-12.217573</v>
      </c>
      <c r="L146">
        <v>-76.97919</v>
      </c>
      <c r="M146">
        <f>HYPERLINK("https://www.google.com/maps/search/?api=1&amp;query=-12.217573,-76.97919","Avenida Caminos del Inca, Chorrillos, Lima")</f>
      </c>
      <c r="N146">
        <v>44.2</v>
      </c>
      <c r="O146">
        <v>87</v>
      </c>
      <c r="P146">
        <v>1725.55</v>
      </c>
      <c r="Q146" t="str">
        <v>68.95</v>
      </c>
      <c r="R146" t="str">
        <v>Acelerado y giro brusco</v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F8R-810</v>
      </c>
      <c r="D147" t="str">
        <v>F8R-810</v>
      </c>
      <c r="E147" t="str">
        <v/>
      </c>
      <c r="F147" t="str">
        <v>867806078868827</v>
      </c>
      <c r="G147" t="str">
        <v>TBD</v>
      </c>
      <c r="H147" t="str">
        <v/>
      </c>
      <c r="I147" t="str">
        <v>28/09/2026</v>
      </c>
      <c r="J147" t="str">
        <v>13:36:02</v>
      </c>
      <c r="K147">
        <v>-12.217285</v>
      </c>
      <c r="L147">
        <v>-76.97953</v>
      </c>
      <c r="M147">
        <f>HYPERLINK("https://www.google.com/maps/search/?api=1&amp;query=-12.217285,-76.97953","Avenida Caminos del Inca, Chorrillos, Lima")</f>
      </c>
      <c r="N147">
        <v>43.8</v>
      </c>
      <c r="O147">
        <v>87</v>
      </c>
      <c r="P147">
        <v>1725.6</v>
      </c>
      <c r="Q147" t="str">
        <v>68.95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F8R-810</v>
      </c>
      <c r="D148" t="str">
        <v>F8R-810</v>
      </c>
      <c r="E148" t="str">
        <v/>
      </c>
      <c r="F148" t="str">
        <v>867806078868827</v>
      </c>
      <c r="G148" t="str">
        <v>TBD</v>
      </c>
      <c r="H148" t="str">
        <v/>
      </c>
      <c r="I148" t="str">
        <v>28/09/2026</v>
      </c>
      <c r="J148" t="str">
        <v>13:36:02</v>
      </c>
      <c r="K148">
        <v>-12.217285</v>
      </c>
      <c r="L148">
        <v>-76.97953</v>
      </c>
      <c r="M148">
        <f>HYPERLINK("https://www.google.com/maps/search/?api=1&amp;query=-12.217285,-76.97953","Avenida Caminos del Inca, Chorrillos, Lima")</f>
      </c>
      <c r="N148">
        <v>43.8</v>
      </c>
      <c r="O148">
        <v>87</v>
      </c>
      <c r="P148">
        <v>1725.6</v>
      </c>
      <c r="Q148" t="str">
        <v>68.95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F8R-810</v>
      </c>
      <c r="D149" t="str">
        <v>F8R-810</v>
      </c>
      <c r="E149" t="str">
        <v/>
      </c>
      <c r="F149" t="str">
        <v>867806078868827</v>
      </c>
      <c r="G149" t="str">
        <v>TBD</v>
      </c>
      <c r="H149" t="str">
        <v/>
      </c>
      <c r="I149" t="str">
        <v>28/09/2026</v>
      </c>
      <c r="J149" t="str">
        <v>13:36:28</v>
      </c>
      <c r="K149">
        <v>-12.216022</v>
      </c>
      <c r="L149">
        <v>-76.98073</v>
      </c>
      <c r="M149">
        <f>HYPERLINK("https://www.google.com/maps/search/?api=1&amp;query=-12.216022,-76.98073","Avenida Caminos del Inca, Chorrillos, Lima")</f>
      </c>
      <c r="N149">
        <v>10</v>
      </c>
      <c r="O149">
        <v>87</v>
      </c>
      <c r="P149">
        <v>1725.79</v>
      </c>
      <c r="Q149" t="str">
        <v>68.95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F8R-810</v>
      </c>
      <c r="D150" t="str">
        <v>F8R-810</v>
      </c>
      <c r="E150" t="str">
        <v/>
      </c>
      <c r="F150" t="str">
        <v>867806078868827</v>
      </c>
      <c r="G150" t="str">
        <v>TBD</v>
      </c>
      <c r="H150" t="str">
        <v/>
      </c>
      <c r="I150" t="str">
        <v>28/09/2026</v>
      </c>
      <c r="J150" t="str">
        <v>13:36:45</v>
      </c>
      <c r="K150">
        <v>-12.215689</v>
      </c>
      <c r="L150">
        <v>-76.98099</v>
      </c>
      <c r="M150">
        <f>HYPERLINK("https://www.google.com/maps/search/?api=1&amp;query=-12.215689,-76.98099","Avenida Caminos del Inca, Chorrillos, Lima")</f>
      </c>
      <c r="N150">
        <v>5.9</v>
      </c>
      <c r="O150">
        <v>87</v>
      </c>
      <c r="P150">
        <v>1725.83</v>
      </c>
      <c r="Q150" t="str">
        <v>68.95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F8R-810</v>
      </c>
      <c r="D151" t="str">
        <v>F8R-810</v>
      </c>
      <c r="E151" t="str">
        <v/>
      </c>
      <c r="F151" t="str">
        <v>867806078868827</v>
      </c>
      <c r="G151" t="str">
        <v>TBD</v>
      </c>
      <c r="H151" t="str">
        <v/>
      </c>
      <c r="I151" t="str">
        <v>28/09/2026</v>
      </c>
      <c r="J151" t="str">
        <v>13:36:46</v>
      </c>
      <c r="K151">
        <v>-12.215689</v>
      </c>
      <c r="L151">
        <v>-76.98099</v>
      </c>
      <c r="M151">
        <f>HYPERLINK("https://www.google.com/maps/search/?api=1&amp;query=-12.215689,-76.98099","Avenida Caminos del Inca, Chorrillos, Lima")</f>
      </c>
      <c r="N151">
        <v>5.9</v>
      </c>
      <c r="O151">
        <v>96</v>
      </c>
      <c r="P151">
        <v>1725.83</v>
      </c>
      <c r="Q151" t="str">
        <v>68.95</v>
      </c>
      <c r="R151" t="str">
        <v>Acelerado y giro brusco</v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F8R-810</v>
      </c>
      <c r="D152" t="str">
        <v>F8R-810</v>
      </c>
      <c r="E152" t="str">
        <v/>
      </c>
      <c r="F152" t="str">
        <v>867806078868827</v>
      </c>
      <c r="G152" t="str">
        <v>TBD</v>
      </c>
      <c r="H152" t="str">
        <v/>
      </c>
      <c r="I152" t="str">
        <v>28/09/2026</v>
      </c>
      <c r="J152" t="str">
        <v>13:36:49</v>
      </c>
      <c r="K152">
        <v>-12.215673</v>
      </c>
      <c r="L152">
        <v>-76.98105</v>
      </c>
      <c r="M152">
        <f>HYPERLINK("https://www.google.com/maps/search/?api=1&amp;query=-12.215673,-76.98105","Avenida Caminos del Inca, Chorrillos, Lima")</f>
      </c>
      <c r="N152">
        <v>9.6</v>
      </c>
      <c r="O152">
        <v>96</v>
      </c>
      <c r="P152">
        <v>1725.84</v>
      </c>
      <c r="Q152" t="str">
        <v>68.95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F8R-810</v>
      </c>
      <c r="D153" t="str">
        <v>F8R-810</v>
      </c>
      <c r="E153" t="str">
        <v/>
      </c>
      <c r="F153" t="str">
        <v>867806078868827</v>
      </c>
      <c r="G153" t="str">
        <v>TBD</v>
      </c>
      <c r="H153" t="str">
        <v/>
      </c>
      <c r="I153" t="str">
        <v>28/09/2026</v>
      </c>
      <c r="J153" t="str">
        <v>13:36:50</v>
      </c>
      <c r="K153">
        <v>-12.215675</v>
      </c>
      <c r="L153">
        <v>-76.98107</v>
      </c>
      <c r="M153">
        <f>HYPERLINK("https://www.google.com/maps/search/?api=1&amp;query=-12.215675,-76.98107","Avenida Caminos del Inca, Chorrillos, Lima")</f>
      </c>
      <c r="N153">
        <v>10.1</v>
      </c>
      <c r="O153">
        <v>96</v>
      </c>
      <c r="P153">
        <v>1725.84</v>
      </c>
      <c r="Q153" t="str">
        <v>68.95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F8R-810</v>
      </c>
      <c r="D154" t="str">
        <v>F8R-810</v>
      </c>
      <c r="E154" t="str">
        <v/>
      </c>
      <c r="F154" t="str">
        <v>867806078868827</v>
      </c>
      <c r="G154" t="str">
        <v>TBD</v>
      </c>
      <c r="H154" t="str">
        <v/>
      </c>
      <c r="I154" t="str">
        <v>28/09/2026</v>
      </c>
      <c r="J154" t="str">
        <v>13:36:50</v>
      </c>
      <c r="K154">
        <v>-12.215675</v>
      </c>
      <c r="L154">
        <v>-76.98107</v>
      </c>
      <c r="M154">
        <f>HYPERLINK("https://www.google.com/maps/search/?api=1&amp;query=-12.215675,-76.98107","Avenida Caminos del Inca, Chorrillos, Lima")</f>
      </c>
      <c r="N154">
        <v>10.1</v>
      </c>
      <c r="O154">
        <v>96</v>
      </c>
      <c r="P154">
        <v>1725.84</v>
      </c>
      <c r="Q154" t="str">
        <v>68.95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F8R-810</v>
      </c>
      <c r="D155" t="str">
        <v>F8R-810</v>
      </c>
      <c r="E155" t="str">
        <v/>
      </c>
      <c r="F155" t="str">
        <v>867806078868827</v>
      </c>
      <c r="G155" t="str">
        <v>TBD</v>
      </c>
      <c r="H155" t="str">
        <v/>
      </c>
      <c r="I155" t="str">
        <v>28/09/2026</v>
      </c>
      <c r="J155" t="str">
        <v>13:36:55</v>
      </c>
      <c r="K155">
        <v>-12.215752</v>
      </c>
      <c r="L155">
        <v>-76.98116</v>
      </c>
      <c r="M155">
        <f>HYPERLINK("https://www.google.com/maps/search/?api=1&amp;query=-12.215752,-76.98116","Avenida Caminos del Inca, Chorrillos, Lima")</f>
      </c>
      <c r="N155">
        <v>10.3</v>
      </c>
      <c r="O155">
        <v>96</v>
      </c>
      <c r="P155">
        <v>1725.85</v>
      </c>
      <c r="Q155" t="str">
        <v>68.95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F8R-810</v>
      </c>
      <c r="D156" t="str">
        <v>F8R-810</v>
      </c>
      <c r="E156" t="str">
        <v/>
      </c>
      <c r="F156" t="str">
        <v>867806078868827</v>
      </c>
      <c r="G156" t="str">
        <v>TBD</v>
      </c>
      <c r="H156" t="str">
        <v/>
      </c>
      <c r="I156" t="str">
        <v>28/09/2026</v>
      </c>
      <c r="J156" t="str">
        <v>13:36:55</v>
      </c>
      <c r="K156">
        <v>-12.215752</v>
      </c>
      <c r="L156">
        <v>-76.98116</v>
      </c>
      <c r="M156">
        <f>HYPERLINK("https://www.google.com/maps/search/?api=1&amp;query=-12.215752,-76.98116","Avenida Caminos del Inca, Chorrillos, Lima")</f>
      </c>
      <c r="N156">
        <v>10.3</v>
      </c>
      <c r="O156">
        <v>96</v>
      </c>
      <c r="P156">
        <v>1725.85</v>
      </c>
      <c r="Q156" t="str">
        <v>68.95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F8R-810</v>
      </c>
      <c r="D157" t="str">
        <v>F8R-810</v>
      </c>
      <c r="E157" t="str">
        <v/>
      </c>
      <c r="F157" t="str">
        <v>867806078868827</v>
      </c>
      <c r="G157" t="str">
        <v>TBD</v>
      </c>
      <c r="H157" t="str">
        <v/>
      </c>
      <c r="I157" t="str">
        <v>28/09/2026</v>
      </c>
      <c r="J157" t="str">
        <v>13:37:05</v>
      </c>
      <c r="K157">
        <v>-12.215867</v>
      </c>
      <c r="L157">
        <v>-76.98116</v>
      </c>
      <c r="M157">
        <f>HYPERLINK("https://www.google.com/maps/search/?api=1&amp;query=-12.215867,-76.98116","Avenida Caminos del Inca, Chorrillos, Lima")</f>
      </c>
      <c r="N157">
        <v>8.8</v>
      </c>
      <c r="O157">
        <v>96</v>
      </c>
      <c r="P157">
        <v>1725.86</v>
      </c>
      <c r="Q157" t="str">
        <v>68.95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F8R-810</v>
      </c>
      <c r="D158" t="str">
        <v>F8R-810</v>
      </c>
      <c r="E158" t="str">
        <v/>
      </c>
      <c r="F158" t="str">
        <v>867806078868827</v>
      </c>
      <c r="G158" t="str">
        <v>TBD</v>
      </c>
      <c r="H158" t="str">
        <v/>
      </c>
      <c r="I158" t="str">
        <v>28/09/2026</v>
      </c>
      <c r="J158" t="str">
        <v>13:37:08</v>
      </c>
      <c r="K158">
        <v>-12.21592</v>
      </c>
      <c r="L158">
        <v>-76.98113</v>
      </c>
      <c r="M158">
        <f>HYPERLINK("https://www.google.com/maps/search/?api=1&amp;query=-12.21592,-76.98113","Prolongación Huaylas, Chorrillos, Lima")</f>
      </c>
      <c r="N158">
        <v>14.4</v>
      </c>
      <c r="O158">
        <v>96</v>
      </c>
      <c r="P158">
        <v>1725.87</v>
      </c>
      <c r="Q158" t="str">
        <v>68.95</v>
      </c>
      <c r="R158" t="str">
        <v>Acelerado y giro brusco</v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F8R-810</v>
      </c>
      <c r="D159" t="str">
        <v>F8R-810</v>
      </c>
      <c r="E159" t="str">
        <v/>
      </c>
      <c r="F159" t="str">
        <v>867806078868827</v>
      </c>
      <c r="G159" t="str">
        <v>TBD</v>
      </c>
      <c r="H159" t="str">
        <v/>
      </c>
      <c r="I159" t="str">
        <v>28/09/2026</v>
      </c>
      <c r="J159" t="str">
        <v>13:37:10</v>
      </c>
      <c r="K159">
        <v>-12.215979</v>
      </c>
      <c r="L159">
        <v>-76.98101</v>
      </c>
      <c r="M159">
        <f>HYPERLINK("https://www.google.com/maps/search/?api=1&amp;query=-12.215979,-76.98101","Prolongación Huaylas, Chorrillos, Lima")</f>
      </c>
      <c r="N159">
        <v>19</v>
      </c>
      <c r="O159">
        <v>96</v>
      </c>
      <c r="P159">
        <v>1725.89</v>
      </c>
      <c r="Q159" t="str">
        <v>68.95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F8R-810</v>
      </c>
      <c r="D160" t="str">
        <v>F8R-810</v>
      </c>
      <c r="E160" t="str">
        <v/>
      </c>
      <c r="F160" t="str">
        <v>867806078868827</v>
      </c>
      <c r="G160" t="str">
        <v>TBD</v>
      </c>
      <c r="H160" t="str">
        <v/>
      </c>
      <c r="I160" t="str">
        <v>28/09/2026</v>
      </c>
      <c r="J160" t="str">
        <v>13:37:15</v>
      </c>
      <c r="K160">
        <v>-12.21613</v>
      </c>
      <c r="L160">
        <v>-76.98073</v>
      </c>
      <c r="M160">
        <f>HYPERLINK("https://www.google.com/maps/search/?api=1&amp;query=-12.21613,-76.98073","Avenida Caminos del Inca, Chorrillos, Lima")</f>
      </c>
      <c r="N160">
        <v>31.2</v>
      </c>
      <c r="O160">
        <v>91</v>
      </c>
      <c r="P160">
        <v>1725.92</v>
      </c>
      <c r="Q160" t="str">
        <v>68.95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F8R-810</v>
      </c>
      <c r="D161" t="str">
        <v>F8R-810</v>
      </c>
      <c r="E161" t="str">
        <v/>
      </c>
      <c r="F161" t="str">
        <v>867806078868827</v>
      </c>
      <c r="G161" t="str">
        <v>TBD</v>
      </c>
      <c r="H161" t="str">
        <v/>
      </c>
      <c r="I161" t="str">
        <v>28/09/2026</v>
      </c>
      <c r="J161" t="str">
        <v>13:37:37</v>
      </c>
      <c r="K161">
        <v>-12.217575</v>
      </c>
      <c r="L161">
        <v>-76.97929</v>
      </c>
      <c r="M161">
        <f>HYPERLINK("https://www.google.com/maps/search/?api=1&amp;query=-12.217575,-76.97929","Avenida Caminos del Inca, Chorrillos, Lima")</f>
      </c>
      <c r="N161">
        <v>38.1</v>
      </c>
      <c r="O161">
        <v>91</v>
      </c>
      <c r="P161">
        <v>1726.14</v>
      </c>
      <c r="Q161" t="str">
        <v>68.95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F8R-810</v>
      </c>
      <c r="D162" t="str">
        <v>F8R-810</v>
      </c>
      <c r="E162" t="str">
        <v/>
      </c>
      <c r="F162" t="str">
        <v>867806078868827</v>
      </c>
      <c r="G162" t="str">
        <v>TBD</v>
      </c>
      <c r="H162" t="str">
        <v/>
      </c>
      <c r="I162" t="str">
        <v>28/09/2026</v>
      </c>
      <c r="J162" t="str">
        <v>13:37:38</v>
      </c>
      <c r="K162">
        <v>-12.217633</v>
      </c>
      <c r="L162">
        <v>-76.97921</v>
      </c>
      <c r="M162">
        <f>HYPERLINK("https://www.google.com/maps/search/?api=1&amp;query=-12.217633,-76.97921","Avenida Caminos del Inca, Chorrillos, Lima")</f>
      </c>
      <c r="N162">
        <v>39.2</v>
      </c>
      <c r="O162">
        <v>87</v>
      </c>
      <c r="P162">
        <v>1726.15</v>
      </c>
      <c r="Q162" t="str">
        <v>68.95</v>
      </c>
      <c r="R162" t="str">
        <v>Acelerado y giro brusco</v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F8R-810</v>
      </c>
      <c r="D163" t="str">
        <v>F8R-810</v>
      </c>
      <c r="E163" t="str">
        <v/>
      </c>
      <c r="F163" t="str">
        <v>867806078868827</v>
      </c>
      <c r="G163" t="str">
        <v>TBD</v>
      </c>
      <c r="H163" t="str">
        <v/>
      </c>
      <c r="I163" t="str">
        <v>28/09/2026</v>
      </c>
      <c r="J163" t="str">
        <v>13:37:46</v>
      </c>
      <c r="K163">
        <v>-12.218073</v>
      </c>
      <c r="L163">
        <v>-76.9786</v>
      </c>
      <c r="M163">
        <f>HYPERLINK("https://www.google.com/maps/search/?api=1&amp;query=-12.218073,-76.9786","Avenida Caminos del Inca, Chorrillos, Lima")</f>
      </c>
      <c r="N163">
        <v>45.9</v>
      </c>
      <c r="O163">
        <v>87</v>
      </c>
      <c r="P163">
        <v>1726.23</v>
      </c>
      <c r="Q163" t="str">
        <v>68.95</v>
      </c>
      <c r="R163" t="str">
        <v>Acelerado y giro brusco</v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F8R-810</v>
      </c>
      <c r="D164" t="str">
        <v>F8R-810</v>
      </c>
      <c r="E164" t="str">
        <v/>
      </c>
      <c r="F164" t="str">
        <v>867806078868827</v>
      </c>
      <c r="G164" t="str">
        <v>TBD</v>
      </c>
      <c r="H164" t="str">
        <v/>
      </c>
      <c r="I164" t="str">
        <v>28/09/2026</v>
      </c>
      <c r="J164" t="str">
        <v>13:37:49</v>
      </c>
      <c r="K164">
        <v>-12.218407</v>
      </c>
      <c r="L164">
        <v>-76.97826</v>
      </c>
      <c r="M164">
        <f>HYPERLINK("https://www.google.com/maps/search/?api=1&amp;query=-12.218407,-76.97826","Chorrillos, Lima")</f>
      </c>
      <c r="N164">
        <v>47.7</v>
      </c>
      <c r="O164">
        <v>87</v>
      </c>
      <c r="P164">
        <v>1726.29</v>
      </c>
      <c r="Q164" t="str">
        <v>68.95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F8R-810</v>
      </c>
      <c r="D165" t="str">
        <v>F8R-810</v>
      </c>
      <c r="E165" t="str">
        <v/>
      </c>
      <c r="F165" t="str">
        <v>867806078868827</v>
      </c>
      <c r="G165" t="str">
        <v>TBD</v>
      </c>
      <c r="H165" t="str">
        <v/>
      </c>
      <c r="I165" t="str">
        <v>28/09/2026</v>
      </c>
      <c r="J165" t="str">
        <v>13:37:56</v>
      </c>
      <c r="K165">
        <v>-12.219042</v>
      </c>
      <c r="L165">
        <v>-76.97776</v>
      </c>
      <c r="M165">
        <f>HYPERLINK("https://www.google.com/maps/search/?api=1&amp;query=-12.219042,-76.97776","Chorrillos, Lima")</f>
      </c>
      <c r="N165">
        <v>59.6</v>
      </c>
      <c r="O165">
        <v>87</v>
      </c>
      <c r="P165">
        <v>1726.38</v>
      </c>
      <c r="Q165" t="str">
        <v>68.95</v>
      </c>
      <c r="R165" t="str">
        <v>Acelerado y giro brusco</v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F8R-810</v>
      </c>
      <c r="D166" t="str">
        <v>F8R-810</v>
      </c>
      <c r="E166" t="str">
        <v/>
      </c>
      <c r="F166" t="str">
        <v>867806078868827</v>
      </c>
      <c r="G166" t="str">
        <v>TBD</v>
      </c>
      <c r="H166" t="str">
        <v/>
      </c>
      <c r="I166" t="str">
        <v>28/09/2026</v>
      </c>
      <c r="J166" t="str">
        <v>13:38:00</v>
      </c>
      <c r="K166">
        <v>-12.21955</v>
      </c>
      <c r="L166">
        <v>-76.97737</v>
      </c>
      <c r="M166">
        <f>HYPERLINK("https://www.google.com/maps/search/?api=1&amp;query=-12.21955,-76.97737","Chorrillos, Lima")</f>
      </c>
      <c r="N166">
        <v>64.6</v>
      </c>
      <c r="O166">
        <v>87</v>
      </c>
      <c r="P166">
        <v>1726.44</v>
      </c>
      <c r="Q166" t="str">
        <v>68.95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F8R-810</v>
      </c>
      <c r="D167" t="str">
        <v>F8R-810</v>
      </c>
      <c r="E167" t="str">
        <v/>
      </c>
      <c r="F167" t="str">
        <v>867806078868827</v>
      </c>
      <c r="G167" t="str">
        <v>TBD</v>
      </c>
      <c r="H167" t="str">
        <v/>
      </c>
      <c r="I167" t="str">
        <v>28/09/2026</v>
      </c>
      <c r="J167" t="str">
        <v>13:38:03</v>
      </c>
      <c r="K167">
        <v>-12.219947</v>
      </c>
      <c r="L167">
        <v>-76.97708</v>
      </c>
      <c r="M167">
        <f>HYPERLINK("https://www.google.com/maps/search/?api=1&amp;query=-12.219947,-76.97708","Chorrillos, Lima")</f>
      </c>
      <c r="N167">
        <v>65.3</v>
      </c>
      <c r="O167">
        <v>87</v>
      </c>
      <c r="P167">
        <v>1726.5</v>
      </c>
      <c r="Q167" t="str">
        <v>68.95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F8R-810</v>
      </c>
      <c r="D168" t="str">
        <v>F8R-810</v>
      </c>
      <c r="E168" t="str">
        <v/>
      </c>
      <c r="F168" t="str">
        <v>867806078868827</v>
      </c>
      <c r="G168" t="str">
        <v>TBD</v>
      </c>
      <c r="H168" t="str">
        <v/>
      </c>
      <c r="I168" t="str">
        <v>28/09/2026</v>
      </c>
      <c r="J168" t="str">
        <v>13:38:07</v>
      </c>
      <c r="K168">
        <v>-12.220595</v>
      </c>
      <c r="L168">
        <v>-76.9766</v>
      </c>
      <c r="M168">
        <f>HYPERLINK("https://www.google.com/maps/search/?api=1&amp;query=-12.220595,-76.9766","Carretera Panamericana Sur, Chorrillos, Lima")</f>
      </c>
      <c r="N168">
        <v>63.7</v>
      </c>
      <c r="O168">
        <v>87</v>
      </c>
      <c r="P168">
        <v>1726.59</v>
      </c>
      <c r="Q168" t="str">
        <v>68.95</v>
      </c>
      <c r="R168" t="str">
        <v>Acelerado y giro brusco</v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F8R-810</v>
      </c>
      <c r="D169" t="str">
        <v>F8R-810</v>
      </c>
      <c r="E169" t="str">
        <v/>
      </c>
      <c r="F169" t="str">
        <v>867806078868827</v>
      </c>
      <c r="G169" t="str">
        <v>TBD</v>
      </c>
      <c r="H169" t="str">
        <v/>
      </c>
      <c r="I169" t="str">
        <v>28/09/2026</v>
      </c>
      <c r="J169" t="str">
        <v>13:38:09</v>
      </c>
      <c r="K169">
        <v>-12.220716</v>
      </c>
      <c r="L169">
        <v>-76.976494</v>
      </c>
      <c r="M169">
        <f>HYPERLINK("https://www.google.com/maps/search/?api=1&amp;query=-12.220716,-76.976494","Carretera Panamericana Sur, Chorrillos, Lima")</f>
      </c>
      <c r="N169">
        <v>63.7</v>
      </c>
      <c r="O169">
        <v>87</v>
      </c>
      <c r="P169">
        <v>1726.61</v>
      </c>
      <c r="Q169" t="str">
        <v>68.95</v>
      </c>
      <c r="R169" t="str">
        <v>Bache</v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F8R-810</v>
      </c>
      <c r="D170" t="str">
        <v>F8R-810</v>
      </c>
      <c r="E170" t="str">
        <v/>
      </c>
      <c r="F170" t="str">
        <v>867806078868827</v>
      </c>
      <c r="G170" t="str">
        <v>TBD</v>
      </c>
      <c r="H170" t="str">
        <v/>
      </c>
      <c r="I170" t="str">
        <v>28/09/2026</v>
      </c>
      <c r="J170" t="str">
        <v>13:38:14</v>
      </c>
      <c r="K170">
        <v>-12.221414</v>
      </c>
      <c r="L170">
        <v>-76.975815</v>
      </c>
      <c r="M170">
        <f>HYPERLINK("https://www.google.com/maps/search/?api=1&amp;query=-12.221414,-76.975815","Carretera Panamericana Sur, Chorrillos, Lima")</f>
      </c>
      <c r="N170">
        <v>63.3</v>
      </c>
      <c r="O170">
        <v>87</v>
      </c>
      <c r="P170">
        <v>1726.71</v>
      </c>
      <c r="Q170" t="str">
        <v>68.95</v>
      </c>
      <c r="R170" t="str">
        <v>Acelerado y giro brusco</v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F8R-810</v>
      </c>
      <c r="D171" t="str">
        <v>F8R-810</v>
      </c>
      <c r="E171" t="str">
        <v/>
      </c>
      <c r="F171" t="str">
        <v>867806078868827</v>
      </c>
      <c r="G171" t="str">
        <v>TBD</v>
      </c>
      <c r="H171" t="str">
        <v/>
      </c>
      <c r="I171" t="str">
        <v>28/09/2026</v>
      </c>
      <c r="J171" t="str">
        <v>13:38:22</v>
      </c>
      <c r="K171">
        <v>-12.222078</v>
      </c>
      <c r="L171">
        <v>-76.97513</v>
      </c>
      <c r="M171">
        <f>HYPERLINK("https://www.google.com/maps/search/?api=1&amp;query=-12.222078,-76.97513","Carretera Panamericana Sur, Chorrillos, Lima")</f>
      </c>
      <c r="N171">
        <v>44.8</v>
      </c>
      <c r="O171">
        <v>87</v>
      </c>
      <c r="P171">
        <v>1726.82</v>
      </c>
      <c r="Q171" t="str">
        <v>68.95</v>
      </c>
      <c r="R171" t="str">
        <v>Aceleración brusca</v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F8R-810</v>
      </c>
      <c r="D172" t="str">
        <v>F8R-810</v>
      </c>
      <c r="E172" t="str">
        <v/>
      </c>
      <c r="F172" t="str">
        <v>867806078868827</v>
      </c>
      <c r="G172" t="str">
        <v>TBD</v>
      </c>
      <c r="H172" t="str">
        <v/>
      </c>
      <c r="I172" t="str">
        <v>28/09/2026</v>
      </c>
      <c r="J172" t="str">
        <v>13:38:23</v>
      </c>
      <c r="K172">
        <v>-12.222155</v>
      </c>
      <c r="L172">
        <v>-76.97505</v>
      </c>
      <c r="M172">
        <f>HYPERLINK("https://www.google.com/maps/search/?api=1&amp;query=-12.222155,-76.97505","Carretera Panamericana Sur, Chorrillos, Lima")</f>
      </c>
      <c r="N172">
        <v>43.5</v>
      </c>
      <c r="O172">
        <v>87</v>
      </c>
      <c r="P172">
        <v>1726.83</v>
      </c>
      <c r="Q172" t="str">
        <v>68.95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F8R-810</v>
      </c>
      <c r="D173" t="str">
        <v>F8R-810</v>
      </c>
      <c r="E173" t="str">
        <v/>
      </c>
      <c r="F173" t="str">
        <v>867806078868827</v>
      </c>
      <c r="G173" t="str">
        <v>TBD</v>
      </c>
      <c r="H173" t="str">
        <v/>
      </c>
      <c r="I173" t="str">
        <v>28/09/2026</v>
      </c>
      <c r="J173" t="str">
        <v>13:38:38</v>
      </c>
      <c r="K173">
        <v>-12.22367</v>
      </c>
      <c r="L173">
        <v>-76.973526</v>
      </c>
      <c r="M173">
        <f>HYPERLINK("https://www.google.com/maps/search/?api=1&amp;query=-12.22367,-76.973526","Carretera Panamericana Sur, Chorrillos, Lima")</f>
      </c>
      <c r="N173">
        <v>63.3</v>
      </c>
      <c r="O173">
        <v>87</v>
      </c>
      <c r="P173">
        <v>1727.06</v>
      </c>
      <c r="Q173" t="str">
        <v>68.95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F8R-810</v>
      </c>
      <c r="D174" t="str">
        <v>F8R-810</v>
      </c>
      <c r="E174" t="str">
        <v/>
      </c>
      <c r="F174" t="str">
        <v>867806078868827</v>
      </c>
      <c r="G174" t="str">
        <v>TBD</v>
      </c>
      <c r="H174" t="str">
        <v/>
      </c>
      <c r="I174" t="str">
        <v>28/09/2026</v>
      </c>
      <c r="J174" t="str">
        <v>13:38:59</v>
      </c>
      <c r="K174">
        <v>-12.225988</v>
      </c>
      <c r="L174">
        <v>-76.97125</v>
      </c>
      <c r="M174">
        <f>HYPERLINK("https://www.google.com/maps/search/?api=1&amp;query=-12.225988,-76.97125","Carretera Panamericana Sur, Villa El Salvador, Lima")</f>
      </c>
      <c r="N174">
        <v>41.6</v>
      </c>
      <c r="O174">
        <v>87</v>
      </c>
      <c r="P174">
        <v>1727.42</v>
      </c>
      <c r="Q174" t="str">
        <v>68.95</v>
      </c>
      <c r="R174" t="str">
        <v>Bache</v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F8R-810</v>
      </c>
      <c r="D175" t="str">
        <v>F8R-810</v>
      </c>
      <c r="E175" t="str">
        <v/>
      </c>
      <c r="F175" t="str">
        <v>867806078868827</v>
      </c>
      <c r="G175" t="str">
        <v>TBD</v>
      </c>
      <c r="H175" t="str">
        <v/>
      </c>
      <c r="I175" t="str">
        <v>28/09/2026</v>
      </c>
      <c r="J175" t="str">
        <v>13:39:01</v>
      </c>
      <c r="K175">
        <v>-12.226133</v>
      </c>
      <c r="L175">
        <v>-76.97109</v>
      </c>
      <c r="M175">
        <f>HYPERLINK("https://www.google.com/maps/search/?api=1&amp;query=-12.226133,-76.97109","Carretera Panamericana Sur, Villa El Salvador, Lima")</f>
      </c>
      <c r="N175">
        <v>44</v>
      </c>
      <c r="O175">
        <v>87</v>
      </c>
      <c r="P175">
        <v>1727.44</v>
      </c>
      <c r="Q175" t="str">
        <v>68.95</v>
      </c>
      <c r="R175" t="str">
        <v>Acelerado y giro brusco</v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F8R-810</v>
      </c>
      <c r="D176" t="str">
        <v>F8R-810</v>
      </c>
      <c r="E176" t="str">
        <v/>
      </c>
      <c r="F176" t="str">
        <v>867806078868827</v>
      </c>
      <c r="G176" t="str">
        <v>TBD</v>
      </c>
      <c r="H176" t="str">
        <v/>
      </c>
      <c r="I176" t="str">
        <v>28/09/2026</v>
      </c>
      <c r="J176" t="str">
        <v>13:39:08</v>
      </c>
      <c r="K176">
        <v>-12.226517</v>
      </c>
      <c r="L176">
        <v>-76.970665</v>
      </c>
      <c r="M176">
        <f>HYPERLINK("https://www.google.com/maps/search/?api=1&amp;query=-12.226517,-76.970665","Carretera Panamericana Sur, Villa El Salvador, Lima")</f>
      </c>
      <c r="N176">
        <v>34.6</v>
      </c>
      <c r="O176">
        <v>87</v>
      </c>
      <c r="P176">
        <v>1727.5</v>
      </c>
      <c r="Q176" t="str">
        <v>68.95</v>
      </c>
      <c r="R176" t="str">
        <v>Bache</v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F8R-810</v>
      </c>
      <c r="D177" t="str">
        <v>F8R-810</v>
      </c>
      <c r="E177" t="str">
        <v/>
      </c>
      <c r="F177" t="str">
        <v>867806078868827</v>
      </c>
      <c r="G177" t="str">
        <v>TBD</v>
      </c>
      <c r="H177" t="str">
        <v/>
      </c>
      <c r="I177" t="str">
        <v>28/09/2026</v>
      </c>
      <c r="J177" t="str">
        <v>13:39:31</v>
      </c>
      <c r="K177">
        <v>-12.228726</v>
      </c>
      <c r="L177">
        <v>-76.96851</v>
      </c>
      <c r="M177">
        <f>HYPERLINK("https://www.google.com/maps/search/?api=1&amp;query=-12.228726,-76.96851","Carretera Panamericana Sur, Villa El Salvador, Lima")</f>
      </c>
      <c r="N177">
        <v>62</v>
      </c>
      <c r="O177">
        <v>87</v>
      </c>
      <c r="P177">
        <v>1727.84</v>
      </c>
      <c r="Q177" t="str">
        <v>68.95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F8R-810</v>
      </c>
      <c r="D178" t="str">
        <v>F8R-810</v>
      </c>
      <c r="E178" t="str">
        <v/>
      </c>
      <c r="F178" t="str">
        <v>867806078868827</v>
      </c>
      <c r="G178" t="str">
        <v>TBD</v>
      </c>
      <c r="H178" t="str">
        <v/>
      </c>
      <c r="I178" t="str">
        <v>28/09/2026</v>
      </c>
      <c r="J178" t="str">
        <v>13:39:34</v>
      </c>
      <c r="K178">
        <v>-12.229076</v>
      </c>
      <c r="L178">
        <v>-76.96817</v>
      </c>
      <c r="M178">
        <f>HYPERLINK("https://www.google.com/maps/search/?api=1&amp;query=-12.229076,-76.96817","Carretera Panamericana Sur, Villa El Salvador, Lima")</f>
      </c>
      <c r="N178">
        <v>65.9</v>
      </c>
      <c r="O178">
        <v>87</v>
      </c>
      <c r="P178">
        <v>1727.89</v>
      </c>
      <c r="Q178" t="str">
        <v>68.95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F8R-810</v>
      </c>
      <c r="D179" t="str">
        <v>F8R-810</v>
      </c>
      <c r="E179" t="str">
        <v/>
      </c>
      <c r="F179" t="str">
        <v>867806078868827</v>
      </c>
      <c r="G179" t="str">
        <v>TBD</v>
      </c>
      <c r="H179" t="str">
        <v/>
      </c>
      <c r="I179" t="str">
        <v>28/09/2026</v>
      </c>
      <c r="J179" t="str">
        <v>13:39:48</v>
      </c>
      <c r="K179">
        <v>-12.230759</v>
      </c>
      <c r="L179">
        <v>-76.966324</v>
      </c>
      <c r="M179">
        <f>HYPERLINK("https://www.google.com/maps/search/?api=1&amp;query=-12.230759,-76.966324","Carretera Panamericana Sur, Villa El Salvador, Lima")</f>
      </c>
      <c r="N179">
        <v>73.7</v>
      </c>
      <c r="O179">
        <v>90</v>
      </c>
      <c r="P179">
        <v>1728.16</v>
      </c>
      <c r="Q179" t="str">
        <v>68.95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F8R-810</v>
      </c>
      <c r="D180" t="str">
        <v>F8R-810</v>
      </c>
      <c r="E180" t="str">
        <v/>
      </c>
      <c r="F180" t="str">
        <v>867806078868827</v>
      </c>
      <c r="G180" t="str">
        <v>TBD</v>
      </c>
      <c r="H180" t="str">
        <v/>
      </c>
      <c r="I180" t="str">
        <v>28/09/2026</v>
      </c>
      <c r="J180" t="str">
        <v>13:40:26</v>
      </c>
      <c r="K180">
        <v>-12.23441</v>
      </c>
      <c r="L180">
        <v>-76.95949</v>
      </c>
      <c r="M180">
        <f>HYPERLINK("https://www.google.com/maps/search/?api=1&amp;query=-12.23441,-76.95949","Carretera Panamericana Sur, Villa El Salvador, Lima")</f>
      </c>
      <c r="N180">
        <v>85</v>
      </c>
      <c r="O180">
        <v>90</v>
      </c>
      <c r="P180">
        <v>1729.01</v>
      </c>
      <c r="Q180" t="str">
        <v>68.95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F8R-810</v>
      </c>
      <c r="D181" t="str">
        <v>F8R-810</v>
      </c>
      <c r="E181" t="str">
        <v/>
      </c>
      <c r="F181" t="str">
        <v>867806078868827</v>
      </c>
      <c r="G181" t="str">
        <v>TBD</v>
      </c>
      <c r="H181" t="str">
        <v/>
      </c>
      <c r="I181" t="str">
        <v>28/09/2026</v>
      </c>
      <c r="J181" t="str">
        <v>13:41:02</v>
      </c>
      <c r="K181">
        <v>-12.238058</v>
      </c>
      <c r="L181">
        <v>-76.95252</v>
      </c>
      <c r="M181">
        <f>HYPERLINK("https://www.google.com/maps/search/?api=1&amp;query=-12.238058,-76.95252","Carretera Panamericana Sur, Villa El Salvador, Lima")</f>
      </c>
      <c r="N181">
        <v>82.2</v>
      </c>
      <c r="O181">
        <v>93</v>
      </c>
      <c r="P181">
        <v>1729.86</v>
      </c>
      <c r="Q181" t="str">
        <v>68.95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F8R-810</v>
      </c>
      <c r="D182" t="str">
        <v>F8R-810</v>
      </c>
      <c r="E182" t="str">
        <v/>
      </c>
      <c r="F182" t="str">
        <v>867806078868827</v>
      </c>
      <c r="G182" t="str">
        <v>TBD</v>
      </c>
      <c r="H182" t="str">
        <v/>
      </c>
      <c r="I182" t="str">
        <v>28/09/2026</v>
      </c>
      <c r="J182" t="str">
        <v>13:41:09</v>
      </c>
      <c r="K182">
        <v>-12.23863</v>
      </c>
      <c r="L182">
        <v>-76.95142</v>
      </c>
      <c r="M182">
        <f>HYPERLINK("https://www.google.com/maps/search/?api=1&amp;query=-12.23863,-76.95142","Carretera Panamericana Sur, Villa El Salvador, Lima")</f>
      </c>
      <c r="N182">
        <v>78.5</v>
      </c>
      <c r="O182">
        <v>85</v>
      </c>
      <c r="P182">
        <v>1730</v>
      </c>
      <c r="Q182" t="str">
        <v>68.95</v>
      </c>
      <c r="R182" t="str">
        <v>Aceleración brusca</v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F8R-810</v>
      </c>
      <c r="D183" t="str">
        <v>F8R-810</v>
      </c>
      <c r="E183" t="str">
        <v/>
      </c>
      <c r="F183" t="str">
        <v>867806078868827</v>
      </c>
      <c r="G183" t="str">
        <v>TBD</v>
      </c>
      <c r="H183" t="str">
        <v/>
      </c>
      <c r="I183" t="str">
        <v>28/09/2026</v>
      </c>
      <c r="J183" t="str">
        <v>13:41:43</v>
      </c>
      <c r="K183">
        <v>-12.24162</v>
      </c>
      <c r="L183">
        <v>-76.94559</v>
      </c>
      <c r="M183">
        <f>HYPERLINK("https://www.google.com/maps/search/?api=1&amp;query=-12.24162,-76.94559","Carretera Panamericana Sur, Villa El Salvador, Lima")</f>
      </c>
      <c r="N183">
        <v>76.6</v>
      </c>
      <c r="O183">
        <v>85</v>
      </c>
      <c r="P183">
        <v>1730.71</v>
      </c>
      <c r="Q183" t="str">
        <v>68.95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F8R-810</v>
      </c>
      <c r="D184" t="str">
        <v>F8R-810</v>
      </c>
      <c r="E184" t="str">
        <v/>
      </c>
      <c r="F184" t="str">
        <v>867806078868827</v>
      </c>
      <c r="G184" t="str">
        <v>TBD</v>
      </c>
      <c r="H184" t="str">
        <v/>
      </c>
      <c r="I184" t="str">
        <v>28/09/2026</v>
      </c>
      <c r="J184" t="str">
        <v>13:42:21</v>
      </c>
      <c r="K184">
        <v>-12.245229</v>
      </c>
      <c r="L184">
        <v>-76.938705</v>
      </c>
      <c r="M184">
        <f>HYPERLINK("https://www.google.com/maps/search/?api=1&amp;query=-12.245229,-76.938705","Carretera Panamericana Sur, Villa El Salvador, Lima")</f>
      </c>
      <c r="N184">
        <v>77.4</v>
      </c>
      <c r="O184">
        <v>93</v>
      </c>
      <c r="P184">
        <v>1731.55</v>
      </c>
      <c r="Q184" t="str">
        <v>68.95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F8R-810</v>
      </c>
      <c r="D185" t="str">
        <v>F8R-810</v>
      </c>
      <c r="E185" t="str">
        <v/>
      </c>
      <c r="F185" t="str">
        <v>867806078868827</v>
      </c>
      <c r="G185" t="str">
        <v>TBD</v>
      </c>
      <c r="H185" t="str">
        <v/>
      </c>
      <c r="I185" t="str">
        <v>28/09/2026</v>
      </c>
      <c r="J185" t="str">
        <v>13:42:51</v>
      </c>
      <c r="K185">
        <v>-12.248038</v>
      </c>
      <c r="L185">
        <v>-76.93374</v>
      </c>
      <c r="M185">
        <f>HYPERLINK("https://www.google.com/maps/search/?api=1&amp;query=-12.248038,-76.93374","Carretera Panamericana Sur, Lurín, Lima")</f>
      </c>
      <c r="N185">
        <v>72.4</v>
      </c>
      <c r="O185">
        <v>93</v>
      </c>
      <c r="P185">
        <v>1732.17</v>
      </c>
      <c r="Q185" t="str">
        <v>68.95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F8R-810</v>
      </c>
      <c r="D186" t="str">
        <v>F8R-810</v>
      </c>
      <c r="E186" t="str">
        <v/>
      </c>
      <c r="F186" t="str">
        <v>867806078868827</v>
      </c>
      <c r="G186" t="str">
        <v>TBD</v>
      </c>
      <c r="H186" t="str">
        <v/>
      </c>
      <c r="I186" t="str">
        <v>28/09/2026</v>
      </c>
      <c r="J186" t="str">
        <v>13:42:57</v>
      </c>
      <c r="K186">
        <v>-12.248587</v>
      </c>
      <c r="L186">
        <v>-76.933014</v>
      </c>
      <c r="M186">
        <f>HYPERLINK("https://www.google.com/maps/search/?api=1&amp;query=-12.248587,-76.933014","Carretera Panamericana Sur, Lurín, Lima")</f>
      </c>
      <c r="N186">
        <v>72.7</v>
      </c>
      <c r="O186">
        <v>93</v>
      </c>
      <c r="P186">
        <v>1732.27</v>
      </c>
      <c r="Q186" t="str">
        <v>68.95</v>
      </c>
      <c r="R186" t="str">
        <v>Aceleración brusca</v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F8R-810</v>
      </c>
      <c r="D187" t="str">
        <v>F8R-810</v>
      </c>
      <c r="E187" t="str">
        <v/>
      </c>
      <c r="F187" t="str">
        <v>867806078868827</v>
      </c>
      <c r="G187" t="str">
        <v>TBD</v>
      </c>
      <c r="H187" t="str">
        <v/>
      </c>
      <c r="I187" t="str">
        <v>28/09/2026</v>
      </c>
      <c r="J187" t="str">
        <v>13:43:03</v>
      </c>
      <c r="K187">
        <v>-12.24936</v>
      </c>
      <c r="L187">
        <v>-76.93201</v>
      </c>
      <c r="M187">
        <f>HYPERLINK("https://www.google.com/maps/search/?api=1&amp;query=-12.24936,-76.93201","Carretera Panamericana Sur, Lurín, Lima")</f>
      </c>
      <c r="N187">
        <v>66.8</v>
      </c>
      <c r="O187">
        <v>93</v>
      </c>
      <c r="P187">
        <v>1732.41</v>
      </c>
      <c r="Q187" t="str">
        <v>68.95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F8R-810</v>
      </c>
      <c r="D188" t="str">
        <v>F8R-810</v>
      </c>
      <c r="E188" t="str">
        <v/>
      </c>
      <c r="F188" t="str">
        <v>867806078868827</v>
      </c>
      <c r="G188" t="str">
        <v>TBD</v>
      </c>
      <c r="H188" t="str">
        <v/>
      </c>
      <c r="I188" t="str">
        <v>28/09/2026</v>
      </c>
      <c r="J188" t="str">
        <v>13:43:11</v>
      </c>
      <c r="K188">
        <v>-12.250031</v>
      </c>
      <c r="L188">
        <v>-76.93113</v>
      </c>
      <c r="M188">
        <f>HYPERLINK("https://www.google.com/maps/search/?api=1&amp;query=-12.250031,-76.93113","Carretera Panamericana Sur, Lurín, Lima")</f>
      </c>
      <c r="N188">
        <v>59</v>
      </c>
      <c r="O188">
        <v>93</v>
      </c>
      <c r="P188">
        <v>1732.53</v>
      </c>
      <c r="Q188" t="str">
        <v>68.95</v>
      </c>
      <c r="R188" t="str">
        <v>Acelerado y giro brusco</v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F8R-810</v>
      </c>
      <c r="D189" t="str">
        <v>F8R-810</v>
      </c>
      <c r="E189" t="str">
        <v/>
      </c>
      <c r="F189" t="str">
        <v>867806078868827</v>
      </c>
      <c r="G189" t="str">
        <v>TBD</v>
      </c>
      <c r="H189" t="str">
        <v/>
      </c>
      <c r="I189" t="str">
        <v>28/09/2026</v>
      </c>
      <c r="J189" t="str">
        <v>13:43:14</v>
      </c>
      <c r="K189">
        <v>-12.250314</v>
      </c>
      <c r="L189">
        <v>-76.93077</v>
      </c>
      <c r="M189">
        <f>HYPERLINK("https://www.google.com/maps/search/?api=1&amp;query=-12.250314,-76.93077","Carretera Panamericana Sur, Lurín, Lima")</f>
      </c>
      <c r="N189">
        <v>61.8</v>
      </c>
      <c r="O189">
        <v>93</v>
      </c>
      <c r="P189">
        <v>1732.58</v>
      </c>
      <c r="Q189" t="str">
        <v>68.95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F8R-810</v>
      </c>
      <c r="D190" t="str">
        <v>F8R-810</v>
      </c>
      <c r="E190" t="str">
        <v/>
      </c>
      <c r="F190" t="str">
        <v>867806078868827</v>
      </c>
      <c r="G190" t="str">
        <v>TBD</v>
      </c>
      <c r="H190" t="str">
        <v/>
      </c>
      <c r="I190" t="str">
        <v>28/09/2026</v>
      </c>
      <c r="J190" t="str">
        <v>13:43:17</v>
      </c>
      <c r="K190">
        <v>-12.250696</v>
      </c>
      <c r="L190">
        <v>-76.93027</v>
      </c>
      <c r="M190">
        <f>HYPERLINK("https://www.google.com/maps/search/?api=1&amp;query=-12.250696,-76.93027","Carretera Panamericana Sur, Lurín, Lima")</f>
      </c>
      <c r="N190">
        <v>62.4</v>
      </c>
      <c r="O190">
        <v>86</v>
      </c>
      <c r="P190">
        <v>1732.65</v>
      </c>
      <c r="Q190" t="str">
        <v>68.95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F8R-810</v>
      </c>
      <c r="D191" t="str">
        <v>F8R-810</v>
      </c>
      <c r="E191" t="str">
        <v/>
      </c>
      <c r="F191" t="str">
        <v>867806078868827</v>
      </c>
      <c r="G191" t="str">
        <v>TBD</v>
      </c>
      <c r="H191" t="str">
        <v/>
      </c>
      <c r="I191" t="str">
        <v>28/09/2026</v>
      </c>
      <c r="J191" t="str">
        <v>13:43:32</v>
      </c>
      <c r="K191">
        <v>-12.25196</v>
      </c>
      <c r="L191">
        <v>-76.92862</v>
      </c>
      <c r="M191">
        <f>HYPERLINK("https://www.google.com/maps/search/?api=1&amp;query=-12.25196,-76.92862","Carretera Panamericana Sur, Lurín, Lima")</f>
      </c>
      <c r="N191">
        <v>57.2</v>
      </c>
      <c r="O191">
        <v>86</v>
      </c>
      <c r="P191">
        <v>1732.88</v>
      </c>
      <c r="Q191" t="str">
        <v>68.95</v>
      </c>
      <c r="R191" t="str">
        <v>Acelerado y giro brusco</v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F8R-810</v>
      </c>
      <c r="D192" t="str">
        <v>F8R-810</v>
      </c>
      <c r="E192" t="str">
        <v/>
      </c>
      <c r="F192" t="str">
        <v>867806078868827</v>
      </c>
      <c r="G192" t="str">
        <v>TBD</v>
      </c>
      <c r="H192" t="str">
        <v/>
      </c>
      <c r="I192" t="str">
        <v>28/09/2026</v>
      </c>
      <c r="J192" t="str">
        <v>13:43:38</v>
      </c>
      <c r="K192">
        <v>-12.252503</v>
      </c>
      <c r="L192">
        <v>-76.927895</v>
      </c>
      <c r="M192">
        <f>HYPERLINK("https://www.google.com/maps/search/?api=1&amp;query=-12.252503,-76.927895","Carretera Panamericana Sur, Lurín, Lima")</f>
      </c>
      <c r="N192">
        <v>62.2</v>
      </c>
      <c r="O192">
        <v>86</v>
      </c>
      <c r="P192">
        <v>1732.97</v>
      </c>
      <c r="Q192" t="str">
        <v>68.95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F8R-810</v>
      </c>
      <c r="D193" t="str">
        <v>F8R-810</v>
      </c>
      <c r="E193" t="str">
        <v/>
      </c>
      <c r="F193" t="str">
        <v>867806078868827</v>
      </c>
      <c r="G193" t="str">
        <v>TBD</v>
      </c>
      <c r="H193" t="str">
        <v/>
      </c>
      <c r="I193" t="str">
        <v>28/09/2026</v>
      </c>
      <c r="J193" t="str">
        <v>13:43:53</v>
      </c>
      <c r="K193">
        <v>-12.25376</v>
      </c>
      <c r="L193">
        <v>-76.92589</v>
      </c>
      <c r="M193">
        <f>HYPERLINK("https://www.google.com/maps/search/?api=1&amp;query=-12.25376,-76.92589","Carretera Panamericana Sur, Lurín, Lima")</f>
      </c>
      <c r="N193">
        <v>71.4</v>
      </c>
      <c r="O193">
        <v>85</v>
      </c>
      <c r="P193">
        <v>1733.23</v>
      </c>
      <c r="Q193" t="str">
        <v>68.95</v>
      </c>
      <c r="R193" t="str">
        <v>Aceleración brusca</v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F8R-810</v>
      </c>
      <c r="D194" t="str">
        <v>F8R-810</v>
      </c>
      <c r="E194" t="str">
        <v/>
      </c>
      <c r="F194" t="str">
        <v>867806078868827</v>
      </c>
      <c r="G194" t="str">
        <v>TBD</v>
      </c>
      <c r="H194" t="str">
        <v/>
      </c>
      <c r="I194" t="str">
        <v>28/09/2026</v>
      </c>
      <c r="J194" t="str">
        <v>13:44:19</v>
      </c>
      <c r="K194">
        <v>-12.256365</v>
      </c>
      <c r="L194">
        <v>-76.92133</v>
      </c>
      <c r="M194">
        <f>HYPERLINK("https://www.google.com/maps/search/?api=1&amp;query=-12.256365,-76.92133","Carretera Panamericana Sur, Lurín, Lima")</f>
      </c>
      <c r="N194">
        <v>79</v>
      </c>
      <c r="O194">
        <v>85</v>
      </c>
      <c r="P194">
        <v>1733.8</v>
      </c>
      <c r="Q194" t="str">
        <v>68.95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F8R-810</v>
      </c>
      <c r="D195" t="str">
        <v>F8R-810</v>
      </c>
      <c r="E195" t="str">
        <v/>
      </c>
      <c r="F195" t="str">
        <v>867806078868827</v>
      </c>
      <c r="G195" t="str">
        <v>TBD</v>
      </c>
      <c r="H195" t="str">
        <v/>
      </c>
      <c r="I195" t="str">
        <v>28/09/2026</v>
      </c>
      <c r="J195" t="str">
        <v>13:44:56</v>
      </c>
      <c r="K195">
        <v>-12.260467</v>
      </c>
      <c r="L195">
        <v>-76.91484</v>
      </c>
      <c r="M195">
        <f>HYPERLINK("https://www.google.com/maps/search/?api=1&amp;query=-12.260467,-76.91484","Carretera Panamericana Sur, Lurín, Lima")</f>
      </c>
      <c r="N195">
        <v>82.5</v>
      </c>
      <c r="O195">
        <v>85</v>
      </c>
      <c r="P195">
        <v>1734.64</v>
      </c>
      <c r="Q195" t="str">
        <v>68.95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F8R-810</v>
      </c>
      <c r="D196" t="str">
        <v>F8R-810</v>
      </c>
      <c r="E196" t="str">
        <v/>
      </c>
      <c r="F196" t="str">
        <v>867806078868827</v>
      </c>
      <c r="G196" t="str">
        <v>TBD</v>
      </c>
      <c r="H196" t="str">
        <v/>
      </c>
      <c r="I196" t="str">
        <v>28/09/2026</v>
      </c>
      <c r="J196" t="str">
        <v>13:45:34</v>
      </c>
      <c r="K196">
        <v>-12.264318</v>
      </c>
      <c r="L196">
        <v>-76.908714</v>
      </c>
      <c r="M196">
        <f>HYPERLINK("https://www.google.com/maps/search/?api=1&amp;query=-12.264318,-76.908714","Carretera Panamericana Sur, Lurín, Lima")</f>
      </c>
      <c r="N196">
        <v>68.5</v>
      </c>
      <c r="O196">
        <v>85</v>
      </c>
      <c r="P196">
        <v>1735.43</v>
      </c>
      <c r="Q196" t="str">
        <v>68.95</v>
      </c>
      <c r="R196" t="str">
        <v>Acelerado y giro brusco</v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F8R-810</v>
      </c>
      <c r="D197" t="str">
        <v>F8R-810</v>
      </c>
      <c r="E197" t="str">
        <v/>
      </c>
      <c r="F197" t="str">
        <v>867806078868827</v>
      </c>
      <c r="G197" t="str">
        <v>TBD</v>
      </c>
      <c r="H197" t="str">
        <v/>
      </c>
      <c r="I197" t="str">
        <v>28/09/2026</v>
      </c>
      <c r="J197" t="str">
        <v>13:45:35</v>
      </c>
      <c r="K197">
        <v>-12.264503</v>
      </c>
      <c r="L197">
        <v>-76.90842</v>
      </c>
      <c r="M197">
        <f>HYPERLINK("https://www.google.com/maps/search/?api=1&amp;query=-12.264503,-76.90842","Carretera Panamericana Sur, Lurín, Lima")</f>
      </c>
      <c r="N197">
        <v>68.5</v>
      </c>
      <c r="O197">
        <v>85</v>
      </c>
      <c r="P197">
        <v>1735.46</v>
      </c>
      <c r="Q197" t="str">
        <v>68.95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F8R-810</v>
      </c>
      <c r="D198" t="str">
        <v>F8R-810</v>
      </c>
      <c r="E198" t="str">
        <v/>
      </c>
      <c r="F198" t="str">
        <v>867806078868827</v>
      </c>
      <c r="G198" t="str">
        <v>TBD</v>
      </c>
      <c r="H198" t="str">
        <v/>
      </c>
      <c r="I198" t="str">
        <v>28/09/2026</v>
      </c>
      <c r="J198" t="str">
        <v>13:45:36</v>
      </c>
      <c r="K198">
        <v>-12.264597</v>
      </c>
      <c r="L198">
        <v>-76.90827</v>
      </c>
      <c r="M198">
        <f>HYPERLINK("https://www.google.com/maps/search/?api=1&amp;query=-12.264597,-76.90827","Carretera Panamericana Sur, Lurín, Lima")</f>
      </c>
      <c r="N198">
        <v>68.8</v>
      </c>
      <c r="O198">
        <v>85</v>
      </c>
      <c r="P198">
        <v>1735.48</v>
      </c>
      <c r="Q198" t="str">
        <v>68.95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F8R-810</v>
      </c>
      <c r="D199" t="str">
        <v>F8R-810</v>
      </c>
      <c r="E199" t="str">
        <v/>
      </c>
      <c r="F199" t="str">
        <v>867806078868827</v>
      </c>
      <c r="G199" t="str">
        <v>TBD</v>
      </c>
      <c r="H199" t="str">
        <v/>
      </c>
      <c r="I199" t="str">
        <v>28/09/2026</v>
      </c>
      <c r="J199" t="str">
        <v>13:46:16</v>
      </c>
      <c r="K199">
        <v>-12.268525</v>
      </c>
      <c r="L199">
        <v>-76.90208</v>
      </c>
      <c r="M199">
        <f>HYPERLINK("https://www.google.com/maps/search/?api=1&amp;query=-12.268525,-76.90208","Carretera Panamericana Sur, Lurín, Lima")</f>
      </c>
      <c r="N199">
        <v>69</v>
      </c>
      <c r="O199">
        <v>85</v>
      </c>
      <c r="P199">
        <v>1736.28</v>
      </c>
      <c r="Q199" t="str">
        <v>68.95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F8R-810</v>
      </c>
      <c r="D200" t="str">
        <v>F8R-810</v>
      </c>
      <c r="E200" t="str">
        <v/>
      </c>
      <c r="F200" t="str">
        <v>867806078868827</v>
      </c>
      <c r="G200" t="str">
        <v>TBD</v>
      </c>
      <c r="H200" t="str">
        <v/>
      </c>
      <c r="I200" t="str">
        <v>28/09/2026</v>
      </c>
      <c r="J200" t="str">
        <v>13:46:56</v>
      </c>
      <c r="K200">
        <v>-12.27198</v>
      </c>
      <c r="L200">
        <v>-76.896515</v>
      </c>
      <c r="M200">
        <f>HYPERLINK("https://www.google.com/maps/search/?api=1&amp;query=-12.27198,-76.896515","Carretera Panamericana Sur, Lurín, Lima")</f>
      </c>
      <c r="N200">
        <v>69</v>
      </c>
      <c r="O200">
        <v>85</v>
      </c>
      <c r="P200">
        <v>1736.99</v>
      </c>
      <c r="Q200" t="str">
        <v>68.95</v>
      </c>
      <c r="R200" t="str">
        <v>Acelerado y giro brusco</v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F8R-810</v>
      </c>
      <c r="D201" t="str">
        <v>F8R-810</v>
      </c>
      <c r="E201" t="str">
        <v/>
      </c>
      <c r="F201" t="str">
        <v>867806078868827</v>
      </c>
      <c r="G201" t="str">
        <v>TBD</v>
      </c>
      <c r="H201" t="str">
        <v/>
      </c>
      <c r="I201" t="str">
        <v>28/09/2026</v>
      </c>
      <c r="J201" t="str">
        <v>13:47:01</v>
      </c>
      <c r="K201">
        <v>-12.27254</v>
      </c>
      <c r="L201">
        <v>-76.89563</v>
      </c>
      <c r="M201">
        <f>HYPERLINK("https://www.google.com/maps/search/?api=1&amp;query=-12.27254,-76.89563","Carretera Panamericana Sur, Lurín, Lima")</f>
      </c>
      <c r="N201">
        <v>67.9</v>
      </c>
      <c r="O201">
        <v>85</v>
      </c>
      <c r="P201">
        <v>1737.1</v>
      </c>
      <c r="Q201" t="str">
        <v>68.95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F8R-810</v>
      </c>
      <c r="D202" t="str">
        <v>F8R-810</v>
      </c>
      <c r="E202" t="str">
        <v/>
      </c>
      <c r="F202" t="str">
        <v>867806078868827</v>
      </c>
      <c r="G202" t="str">
        <v>TBD</v>
      </c>
      <c r="H202" t="str">
        <v/>
      </c>
      <c r="I202" t="str">
        <v>28/09/2026</v>
      </c>
      <c r="J202" t="str">
        <v>13:47:43</v>
      </c>
      <c r="K202">
        <v>-12.276625</v>
      </c>
      <c r="L202">
        <v>-76.88918</v>
      </c>
      <c r="M202">
        <f>HYPERLINK("https://www.google.com/maps/search/?api=1&amp;query=-12.276625,-76.88918","Carretera Panamericana Sur, Lurín, Lima")</f>
      </c>
      <c r="N202">
        <v>78.3</v>
      </c>
      <c r="O202">
        <v>85</v>
      </c>
      <c r="P202">
        <v>1737.93</v>
      </c>
      <c r="Q202" t="str">
        <v>68.95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F8R-810</v>
      </c>
      <c r="D203" t="str">
        <v>F8R-810</v>
      </c>
      <c r="E203" t="str">
        <v/>
      </c>
      <c r="F203" t="str">
        <v>867806078868827</v>
      </c>
      <c r="G203" t="str">
        <v>TBD</v>
      </c>
      <c r="H203" t="str">
        <v/>
      </c>
      <c r="I203" t="str">
        <v>28/09/2026</v>
      </c>
      <c r="J203" t="str">
        <v>13:48:20</v>
      </c>
      <c r="K203">
        <v>-12.280662</v>
      </c>
      <c r="L203">
        <v>-76.88269</v>
      </c>
      <c r="M203">
        <f>HYPERLINK("https://www.google.com/maps/search/?api=1&amp;query=-12.280662,-76.88269","Carretera Panamericana Sur, Lurín, Lima")</f>
      </c>
      <c r="N203">
        <v>82.5</v>
      </c>
      <c r="O203">
        <v>86</v>
      </c>
      <c r="P203">
        <v>1738.77</v>
      </c>
      <c r="Q203" t="str">
        <v>68.95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F8R-810</v>
      </c>
      <c r="D204" t="str">
        <v>F8R-810</v>
      </c>
      <c r="E204" t="str">
        <v/>
      </c>
      <c r="F204" t="str">
        <v>867806078868827</v>
      </c>
      <c r="G204" t="str">
        <v>TBD</v>
      </c>
      <c r="H204" t="str">
        <v/>
      </c>
      <c r="I204" t="str">
        <v>28/09/2026</v>
      </c>
      <c r="J204" t="str">
        <v>13:48:28</v>
      </c>
      <c r="K204">
        <v>-12.281551</v>
      </c>
      <c r="L204">
        <v>-76.88127</v>
      </c>
      <c r="M204">
        <f>HYPERLINK("https://www.google.com/maps/search/?api=1&amp;query=-12.281551,-76.88127","Carretera Panamericana Sur, Lurín, Lima")</f>
      </c>
      <c r="N204">
        <v>82.5</v>
      </c>
      <c r="O204">
        <v>86</v>
      </c>
      <c r="P204">
        <v>1738.95</v>
      </c>
      <c r="Q204" t="str">
        <v>68.95</v>
      </c>
      <c r="R204" t="str">
        <v>Aceleración brusca</v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F8R-810</v>
      </c>
      <c r="D205" t="str">
        <v>F8R-810</v>
      </c>
      <c r="E205" t="str">
        <v/>
      </c>
      <c r="F205" t="str">
        <v>867806078868827</v>
      </c>
      <c r="G205" t="str">
        <v>TBD</v>
      </c>
      <c r="H205" t="str">
        <v/>
      </c>
      <c r="I205" t="str">
        <v>28/09/2026</v>
      </c>
      <c r="J205" t="str">
        <v>13:48:57</v>
      </c>
      <c r="K205">
        <v>-12.284759</v>
      </c>
      <c r="L205">
        <v>-76.87615</v>
      </c>
      <c r="M205">
        <f>HYPERLINK("https://www.google.com/maps/search/?api=1&amp;query=-12.284759,-76.87615","Carretera Panamericana Sur, Lurín, Lima")</f>
      </c>
      <c r="N205">
        <v>80</v>
      </c>
      <c r="O205">
        <v>86</v>
      </c>
      <c r="P205">
        <v>1739.6</v>
      </c>
      <c r="Q205" t="str">
        <v>68.95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F8R-810</v>
      </c>
      <c r="D206" t="str">
        <v>F8R-810</v>
      </c>
      <c r="E206" t="str">
        <v/>
      </c>
      <c r="F206" t="str">
        <v>867806078868827</v>
      </c>
      <c r="G206" t="str">
        <v>TBD</v>
      </c>
      <c r="H206" t="str">
        <v/>
      </c>
      <c r="I206" t="str">
        <v>28/09/2026</v>
      </c>
      <c r="J206" t="str">
        <v>13:49:35</v>
      </c>
      <c r="K206">
        <v>-12.288877</v>
      </c>
      <c r="L206">
        <v>-76.86966</v>
      </c>
      <c r="M206">
        <f>HYPERLINK("https://www.google.com/maps/search/?api=1&amp;query=-12.288877,-76.86966","Carretera Panamericana Sur, Lurín, Lima")</f>
      </c>
      <c r="N206">
        <v>82.7</v>
      </c>
      <c r="O206">
        <v>86</v>
      </c>
      <c r="P206">
        <v>1740.44</v>
      </c>
      <c r="Q206" t="str">
        <v>68.95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F8R-810</v>
      </c>
      <c r="D207" t="str">
        <v>F8R-810</v>
      </c>
      <c r="E207" t="str">
        <v/>
      </c>
      <c r="F207" t="str">
        <v>867806078868827</v>
      </c>
      <c r="G207" t="str">
        <v>TBD</v>
      </c>
      <c r="H207" t="str">
        <v/>
      </c>
      <c r="I207" t="str">
        <v>28/09/2026</v>
      </c>
      <c r="J207" t="str">
        <v>13:49:44</v>
      </c>
      <c r="K207">
        <v>-12.289752</v>
      </c>
      <c r="L207">
        <v>-76.86821</v>
      </c>
      <c r="M207">
        <f>HYPERLINK("https://www.google.com/maps/search/?api=1&amp;query=-12.289752,-76.86821","Carretera Panamericana Sur, Lurín, Lima")</f>
      </c>
      <c r="N207">
        <v>83.5</v>
      </c>
      <c r="O207">
        <v>86</v>
      </c>
      <c r="P207">
        <v>1740.63</v>
      </c>
      <c r="Q207" t="str">
        <v>68.95</v>
      </c>
      <c r="R207" t="str">
        <v>Aceleración brusca</v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F8R-810</v>
      </c>
      <c r="D208" t="str">
        <v>F8R-810</v>
      </c>
      <c r="E208" t="str">
        <v/>
      </c>
      <c r="F208" t="str">
        <v>867806078868827</v>
      </c>
      <c r="G208" t="str">
        <v>TBD</v>
      </c>
      <c r="H208" t="str">
        <v/>
      </c>
      <c r="I208" t="str">
        <v>28/09/2026</v>
      </c>
      <c r="J208" t="str">
        <v>13:50:13</v>
      </c>
      <c r="K208">
        <v>-12.292878</v>
      </c>
      <c r="L208">
        <v>-76.86315</v>
      </c>
      <c r="M208">
        <f>HYPERLINK("https://www.google.com/maps/search/?api=1&amp;query=-12.292878,-76.86315","Carretera Panamericana Sur, Lurín, Lima")</f>
      </c>
      <c r="N208">
        <v>71.8</v>
      </c>
      <c r="O208">
        <v>86</v>
      </c>
      <c r="P208">
        <v>1741.27</v>
      </c>
      <c r="Q208" t="str">
        <v>68.95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F8R-810</v>
      </c>
      <c r="D209" t="str">
        <v>F8R-810</v>
      </c>
      <c r="E209" t="str">
        <v/>
      </c>
      <c r="F209" t="str">
        <v>867806078868827</v>
      </c>
      <c r="G209" t="str">
        <v>TBD</v>
      </c>
      <c r="H209" t="str">
        <v/>
      </c>
      <c r="I209" t="str">
        <v>28/09/2026</v>
      </c>
      <c r="J209" t="str">
        <v>13:50:54</v>
      </c>
      <c r="K209">
        <v>-12.296763</v>
      </c>
      <c r="L209">
        <v>-76.85645</v>
      </c>
      <c r="M209">
        <f>HYPERLINK("https://www.google.com/maps/search/?api=1&amp;query=-12.296763,-76.85645","Carretera Panamericana Sur, Lurín, Lima")</f>
      </c>
      <c r="N209">
        <v>76.8</v>
      </c>
      <c r="O209">
        <v>86</v>
      </c>
      <c r="P209">
        <v>1742.11</v>
      </c>
      <c r="Q209" t="str">
        <v>68.95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F8R-810</v>
      </c>
      <c r="D210" t="str">
        <v>F8R-810</v>
      </c>
      <c r="E210" t="str">
        <v/>
      </c>
      <c r="F210" t="str">
        <v>867806078868827</v>
      </c>
      <c r="G210" t="str">
        <v>TBD</v>
      </c>
      <c r="H210" t="str">
        <v/>
      </c>
      <c r="I210" t="str">
        <v>28/09/2026</v>
      </c>
      <c r="J210" t="str">
        <v>13:51:34</v>
      </c>
      <c r="K210">
        <v>-12.299996</v>
      </c>
      <c r="L210">
        <v>-76.84916</v>
      </c>
      <c r="M210">
        <f>HYPERLINK("https://www.google.com/maps/search/?api=1&amp;query=-12.299996,-76.84916","Carretera Panamericana Sur, Lurín, Lima")</f>
      </c>
      <c r="N210">
        <v>75.1</v>
      </c>
      <c r="O210">
        <v>86</v>
      </c>
      <c r="P210">
        <v>1742.98</v>
      </c>
      <c r="Q210" t="str">
        <v>68.95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F8R-810</v>
      </c>
      <c r="D211" t="str">
        <v>F8R-810</v>
      </c>
      <c r="E211" t="str">
        <v/>
      </c>
      <c r="F211" t="str">
        <v>867806078868827</v>
      </c>
      <c r="G211" t="str">
        <v>TBD</v>
      </c>
      <c r="H211" t="str">
        <v/>
      </c>
      <c r="I211" t="str">
        <v>28/09/2026</v>
      </c>
      <c r="J211" t="str">
        <v>13:51:52</v>
      </c>
      <c r="K211">
        <v>-12.301333</v>
      </c>
      <c r="L211">
        <v>-76.846146</v>
      </c>
      <c r="M211">
        <f>HYPERLINK("https://www.google.com/maps/search/?api=1&amp;query=-12.301333,-76.846146","Carretera Panamericana Sur, Lurín, Lima")</f>
      </c>
      <c r="N211">
        <v>71.4</v>
      </c>
      <c r="O211">
        <v>86</v>
      </c>
      <c r="P211">
        <v>1743.34</v>
      </c>
      <c r="Q211" t="str">
        <v>68.95</v>
      </c>
      <c r="R211" t="str">
        <v>Aceleración brusca</v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F8R-810</v>
      </c>
      <c r="D212" t="str">
        <v>F8R-810</v>
      </c>
      <c r="E212" t="str">
        <v/>
      </c>
      <c r="F212" t="str">
        <v>867806078868827</v>
      </c>
      <c r="G212" t="str">
        <v>TBD</v>
      </c>
      <c r="H212" t="str">
        <v/>
      </c>
      <c r="I212" t="str">
        <v>28/09/2026</v>
      </c>
      <c r="J212" t="str">
        <v>13:52:17</v>
      </c>
      <c r="K212">
        <v>-12.303311</v>
      </c>
      <c r="L212">
        <v>-76.842094</v>
      </c>
      <c r="M212">
        <f>HYPERLINK("https://www.google.com/maps/search/?api=1&amp;query=-12.303311,-76.842094","Carretera Panamericana Sur, Lurín, Lima")</f>
      </c>
      <c r="N212">
        <v>70.5</v>
      </c>
      <c r="O212">
        <v>86</v>
      </c>
      <c r="P212">
        <v>1743.83</v>
      </c>
      <c r="Q212" t="str">
        <v>68.95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F8R-810</v>
      </c>
      <c r="D213" t="str">
        <v>F8R-810</v>
      </c>
      <c r="E213" t="str">
        <v/>
      </c>
      <c r="F213" t="str">
        <v>867806078868827</v>
      </c>
      <c r="G213" t="str">
        <v>TBD</v>
      </c>
      <c r="H213" t="str">
        <v/>
      </c>
      <c r="I213" t="str">
        <v>28/09/2026</v>
      </c>
      <c r="J213" t="str">
        <v>13:52:33</v>
      </c>
      <c r="K213">
        <v>-12.305047</v>
      </c>
      <c r="L213">
        <v>-76.83976</v>
      </c>
      <c r="M213">
        <f>HYPERLINK("https://www.google.com/maps/search/?api=1&amp;query=-12.305047,-76.83976","Carretera Panamericana Sur, Lurín, Lima")</f>
      </c>
      <c r="N213">
        <v>72.4</v>
      </c>
      <c r="O213">
        <v>86</v>
      </c>
      <c r="P213">
        <v>1744.14</v>
      </c>
      <c r="Q213" t="str">
        <v>68.95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F8R-810</v>
      </c>
      <c r="D214" t="str">
        <v>F8R-810</v>
      </c>
      <c r="E214" t="str">
        <v/>
      </c>
      <c r="F214" t="str">
        <v>867806078868827</v>
      </c>
      <c r="G214" t="str">
        <v>TBD</v>
      </c>
      <c r="H214" t="str">
        <v/>
      </c>
      <c r="I214" t="str">
        <v>28/09/2026</v>
      </c>
      <c r="J214" t="str">
        <v>13:52:50</v>
      </c>
      <c r="K214">
        <v>-12.307312</v>
      </c>
      <c r="L214">
        <v>-76.83755</v>
      </c>
      <c r="M214">
        <f>HYPERLINK("https://www.google.com/maps/search/?api=1&amp;query=-12.307312,-76.83755","Carretera Panamericana Sur, Punta Hermosa, Lima")</f>
      </c>
      <c r="N214">
        <v>75.1</v>
      </c>
      <c r="O214">
        <v>86</v>
      </c>
      <c r="P214">
        <v>1744.49</v>
      </c>
      <c r="Q214" t="str">
        <v>68.95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F8R-810</v>
      </c>
      <c r="D215" t="str">
        <v>F8R-810</v>
      </c>
      <c r="E215" t="str">
        <v/>
      </c>
      <c r="F215" t="str">
        <v>867806078868827</v>
      </c>
      <c r="G215" t="str">
        <v>TBD</v>
      </c>
      <c r="H215" t="str">
        <v/>
      </c>
      <c r="I215" t="str">
        <v>28/09/2026</v>
      </c>
      <c r="J215" t="str">
        <v>13:53:15</v>
      </c>
      <c r="K215">
        <v>-12.31083</v>
      </c>
      <c r="L215">
        <v>-76.83509</v>
      </c>
      <c r="M215">
        <f>HYPERLINK("https://www.google.com/maps/search/?api=1&amp;query=-12.31083,-76.83509","Carretera Panamericana Sur, Punta Hermosa, Lima")</f>
      </c>
      <c r="N215">
        <v>64</v>
      </c>
      <c r="O215">
        <v>92</v>
      </c>
      <c r="P215">
        <v>1744.96</v>
      </c>
      <c r="Q215" t="str">
        <v>68.95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F8R-810</v>
      </c>
      <c r="D216" t="str">
        <v>F8R-810</v>
      </c>
      <c r="E216" t="str">
        <v/>
      </c>
      <c r="F216" t="str">
        <v>867806078868827</v>
      </c>
      <c r="G216" t="str">
        <v>TBD</v>
      </c>
      <c r="H216" t="str">
        <v/>
      </c>
      <c r="I216" t="str">
        <v>28/09/2026</v>
      </c>
      <c r="J216" t="str">
        <v>13:53:23</v>
      </c>
      <c r="K216">
        <v>-12.311849</v>
      </c>
      <c r="L216">
        <v>-76.8344</v>
      </c>
      <c r="M216">
        <f>HYPERLINK("https://www.google.com/maps/search/?api=1&amp;query=-12.311849,-76.8344","Carretera Panamericana Sur, Punta Hermosa, Lima")</f>
      </c>
      <c r="N216">
        <v>61.1</v>
      </c>
      <c r="O216">
        <v>92</v>
      </c>
      <c r="P216">
        <v>1745.1</v>
      </c>
      <c r="Q216" t="str">
        <v>68.95</v>
      </c>
      <c r="R216" t="str">
        <v>Acelerado y giro brusco</v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F8R-810</v>
      </c>
      <c r="D217" t="str">
        <v>F8R-810</v>
      </c>
      <c r="E217" t="str">
        <v/>
      </c>
      <c r="F217" t="str">
        <v>867806078868827</v>
      </c>
      <c r="G217" t="str">
        <v>TBD</v>
      </c>
      <c r="H217" t="str">
        <v/>
      </c>
      <c r="I217" t="str">
        <v>28/09/2026</v>
      </c>
      <c r="J217" t="str">
        <v>13:53:27</v>
      </c>
      <c r="K217">
        <v>-12.312495</v>
      </c>
      <c r="L217">
        <v>-76.83395</v>
      </c>
      <c r="M217">
        <f>HYPERLINK("https://www.google.com/maps/search/?api=1&amp;query=-12.312495,-76.83395","Carretera Panamericana Sur, Punta Hermosa, Lima")</f>
      </c>
      <c r="N217">
        <v>63.5</v>
      </c>
      <c r="O217">
        <v>92</v>
      </c>
      <c r="P217">
        <v>1745.18</v>
      </c>
      <c r="Q217" t="str">
        <v>68.95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F8R-810</v>
      </c>
      <c r="D218" t="str">
        <v>F8R-810</v>
      </c>
      <c r="E218" t="str">
        <v/>
      </c>
      <c r="F218" t="str">
        <v>867806078868827</v>
      </c>
      <c r="G218" t="str">
        <v>TBD</v>
      </c>
      <c r="H218" t="str">
        <v/>
      </c>
      <c r="I218" t="str">
        <v>28/09/2026</v>
      </c>
      <c r="J218" t="str">
        <v>13:53:30</v>
      </c>
      <c r="K218">
        <v>-12.312899</v>
      </c>
      <c r="L218">
        <v>-76.83367</v>
      </c>
      <c r="M218">
        <f>HYPERLINK("https://www.google.com/maps/search/?api=1&amp;query=-12.312899,-76.83367","Carretera Panamericana Sur, Punta Hermosa, Lima")</f>
      </c>
      <c r="N218">
        <v>64.6</v>
      </c>
      <c r="O218">
        <v>92</v>
      </c>
      <c r="P218">
        <v>1745.24</v>
      </c>
      <c r="Q218" t="str">
        <v>68.95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F8R-810</v>
      </c>
      <c r="D219" t="str">
        <v>F8R-810</v>
      </c>
      <c r="E219" t="str">
        <v/>
      </c>
      <c r="F219" t="str">
        <v>867806078868827</v>
      </c>
      <c r="G219" t="str">
        <v>TBD</v>
      </c>
      <c r="H219" t="str">
        <v/>
      </c>
      <c r="I219" t="str">
        <v>28/09/2026</v>
      </c>
      <c r="J219" t="str">
        <v>13:53:32</v>
      </c>
      <c r="K219">
        <v>-12.313033</v>
      </c>
      <c r="L219">
        <v>-76.83358</v>
      </c>
      <c r="M219">
        <f>HYPERLINK("https://www.google.com/maps/search/?api=1&amp;query=-12.313033,-76.83358","Carretera Panamericana Sur, Punta Hermosa, Lima")</f>
      </c>
      <c r="N219">
        <v>65</v>
      </c>
      <c r="O219">
        <v>92</v>
      </c>
      <c r="P219">
        <v>1745.25</v>
      </c>
      <c r="Q219" t="str">
        <v>68.95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F8R-810</v>
      </c>
      <c r="D220" t="str">
        <v>F8R-810</v>
      </c>
      <c r="E220" t="str">
        <v/>
      </c>
      <c r="F220" t="str">
        <v>867806078868827</v>
      </c>
      <c r="G220" t="str">
        <v>TBD</v>
      </c>
      <c r="H220" t="str">
        <v/>
      </c>
      <c r="I220" t="str">
        <v>28/09/2026</v>
      </c>
      <c r="J220" t="str">
        <v>13:53:41</v>
      </c>
      <c r="K220">
        <v>-12.314297</v>
      </c>
      <c r="L220">
        <v>-76.83274</v>
      </c>
      <c r="M220">
        <f>HYPERLINK("https://www.google.com/maps/search/?api=1&amp;query=-12.314297,-76.83274","Carretera Panamericana Sur, Punta Hermosa, Lima")</f>
      </c>
      <c r="N220">
        <v>68.8</v>
      </c>
      <c r="O220">
        <v>92</v>
      </c>
      <c r="P220">
        <v>1745.42</v>
      </c>
      <c r="Q220" t="str">
        <v>68.95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F8R-810</v>
      </c>
      <c r="D221" t="str">
        <v>F8R-810</v>
      </c>
      <c r="E221" t="str">
        <v/>
      </c>
      <c r="F221" t="str">
        <v>867806078868827</v>
      </c>
      <c r="G221" t="str">
        <v>TBD</v>
      </c>
      <c r="H221" t="str">
        <v/>
      </c>
      <c r="I221" t="str">
        <v>28/09/2026</v>
      </c>
      <c r="J221" t="str">
        <v>13:54:08</v>
      </c>
      <c r="K221">
        <v>-12.318595</v>
      </c>
      <c r="L221">
        <v>-76.82991</v>
      </c>
      <c r="M221">
        <f>HYPERLINK("https://www.google.com/maps/search/?api=1&amp;query=-12.318595,-76.82991","Carretera Panamericana Sur, Punta Hermosa, Lima")</f>
      </c>
      <c r="N221">
        <v>75.1</v>
      </c>
      <c r="O221">
        <v>92</v>
      </c>
      <c r="P221">
        <v>1745.99</v>
      </c>
      <c r="Q221" t="str">
        <v>68.95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F8R-810</v>
      </c>
      <c r="D222" t="str">
        <v>F8R-810</v>
      </c>
      <c r="E222" t="str">
        <v/>
      </c>
      <c r="F222" t="str">
        <v>867806078868827</v>
      </c>
      <c r="G222" t="str">
        <v>TBD</v>
      </c>
      <c r="H222" t="str">
        <v/>
      </c>
      <c r="I222" t="str">
        <v>28/09/2026</v>
      </c>
      <c r="J222" t="str">
        <v>13:54:42</v>
      </c>
      <c r="K222">
        <v>-12.324232</v>
      </c>
      <c r="L222">
        <v>-76.82614</v>
      </c>
      <c r="M222">
        <f>HYPERLINK("https://www.google.com/maps/search/?api=1&amp;query=-12.324232,-76.82614","Carretera Panamericana Sur, Punta Hermosa, Lima")</f>
      </c>
      <c r="N222">
        <v>85.1</v>
      </c>
      <c r="O222">
        <v>92</v>
      </c>
      <c r="P222">
        <v>1746.73</v>
      </c>
      <c r="Q222" t="str">
        <v>68.95</v>
      </c>
      <c r="R222" t="str">
        <v>Exceso de velocidad en segmento vial</v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F8R-810</v>
      </c>
      <c r="D223" t="str">
        <v>F8R-810</v>
      </c>
      <c r="E223" t="str">
        <v/>
      </c>
      <c r="F223" t="str">
        <v>867806078868827</v>
      </c>
      <c r="G223" t="str">
        <v>TBD</v>
      </c>
      <c r="H223" t="str">
        <v/>
      </c>
      <c r="I223" t="str">
        <v>28/09/2026</v>
      </c>
      <c r="J223" t="str">
        <v>13:54:49</v>
      </c>
      <c r="K223">
        <v>-12.32528</v>
      </c>
      <c r="L223">
        <v>-76.82544</v>
      </c>
      <c r="M223">
        <f>HYPERLINK("https://www.google.com/maps/search/?api=1&amp;query=-12.32528,-76.82544","Carretera Panamericana Sur, Punta Hermosa, Lima")</f>
      </c>
      <c r="N223">
        <v>81.4</v>
      </c>
      <c r="O223">
        <v>92</v>
      </c>
      <c r="P223">
        <v>1746.87</v>
      </c>
      <c r="Q223" t="str">
        <v>68.95</v>
      </c>
      <c r="R223" t="str">
        <v>Aceleración brusca</v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F8R-810</v>
      </c>
      <c r="D224" t="str">
        <v>F8R-810</v>
      </c>
      <c r="E224" t="str">
        <v/>
      </c>
      <c r="F224" t="str">
        <v>867806078868827</v>
      </c>
      <c r="G224" t="str">
        <v>TBD</v>
      </c>
      <c r="H224" t="str">
        <v/>
      </c>
      <c r="I224" t="str">
        <v>28/09/2026</v>
      </c>
      <c r="J224" t="str">
        <v>13:55:12</v>
      </c>
      <c r="K224">
        <v>-12.328843</v>
      </c>
      <c r="L224">
        <v>-76.82306</v>
      </c>
      <c r="M224">
        <f>HYPERLINK("https://www.google.com/maps/search/?api=1&amp;query=-12.328843,-76.82306","Carretera Panamericana Sur, Punta Hermosa, Lima")</f>
      </c>
      <c r="N224">
        <v>62.9</v>
      </c>
      <c r="O224">
        <v>92</v>
      </c>
      <c r="P224">
        <v>1747.34</v>
      </c>
      <c r="Q224" t="str">
        <v>68.95</v>
      </c>
      <c r="R224" t="str">
        <v>Aceleración brusca</v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F8R-810</v>
      </c>
      <c r="D225" t="str">
        <v>F8R-810</v>
      </c>
      <c r="E225" t="str">
        <v/>
      </c>
      <c r="F225" t="str">
        <v>867806078868827</v>
      </c>
      <c r="G225" t="str">
        <v>TBD</v>
      </c>
      <c r="H225" t="str">
        <v/>
      </c>
      <c r="I225" t="str">
        <v>28/09/2026</v>
      </c>
      <c r="J225" t="str">
        <v>13:55:20</v>
      </c>
      <c r="K225">
        <v>-12.329855</v>
      </c>
      <c r="L225">
        <v>-76.82238</v>
      </c>
      <c r="M225">
        <f>HYPERLINK("https://www.google.com/maps/search/?api=1&amp;query=-12.329855,-76.82238","Carretera Panamericana Sur, Punta Hermosa, Lima")</f>
      </c>
      <c r="N225">
        <v>59</v>
      </c>
      <c r="O225">
        <v>92</v>
      </c>
      <c r="P225">
        <v>1747.47</v>
      </c>
      <c r="Q225" t="str">
        <v>68.95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F8R-810</v>
      </c>
      <c r="D226" t="str">
        <v>F8R-810</v>
      </c>
      <c r="E226" t="str">
        <v/>
      </c>
      <c r="F226" t="str">
        <v>867806078868827</v>
      </c>
      <c r="G226" t="str">
        <v>TBD</v>
      </c>
      <c r="H226" t="str">
        <v/>
      </c>
      <c r="I226" t="str">
        <v>28/09/2026</v>
      </c>
      <c r="J226" t="str">
        <v>13:55:26</v>
      </c>
      <c r="K226">
        <v>-12.3305</v>
      </c>
      <c r="L226">
        <v>-76.82195</v>
      </c>
      <c r="M226">
        <f>HYPERLINK("https://www.google.com/maps/search/?api=1&amp;query=-12.3305,-76.82195","Carretera Panamericana Sur, Punta Hermosa, Lima")</f>
      </c>
      <c r="N226">
        <v>62.2</v>
      </c>
      <c r="O226">
        <v>92</v>
      </c>
      <c r="P226">
        <v>1747.56</v>
      </c>
      <c r="Q226" t="str">
        <v>68.95</v>
      </c>
      <c r="R226" t="str">
        <v>Aceleración brusca</v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F8R-810</v>
      </c>
      <c r="D227" t="str">
        <v>F8R-810</v>
      </c>
      <c r="E227" t="str">
        <v/>
      </c>
      <c r="F227" t="str">
        <v>867806078868827</v>
      </c>
      <c r="G227" t="str">
        <v>TBD</v>
      </c>
      <c r="H227" t="str">
        <v/>
      </c>
      <c r="I227" t="str">
        <v>28/09/2026</v>
      </c>
      <c r="J227" t="str">
        <v>13:55:31</v>
      </c>
      <c r="K227">
        <v>-12.331119</v>
      </c>
      <c r="L227">
        <v>-76.82154</v>
      </c>
      <c r="M227">
        <f>HYPERLINK("https://www.google.com/maps/search/?api=1&amp;query=-12.331119,-76.82154","Carretera Panamericana Sur, Punta Hermosa, Lima")</f>
      </c>
      <c r="N227">
        <v>55.5</v>
      </c>
      <c r="O227">
        <v>92</v>
      </c>
      <c r="P227">
        <v>1747.64</v>
      </c>
      <c r="Q227" t="str">
        <v>68.95</v>
      </c>
      <c r="R227" t="str">
        <v>Acelerado y giro brusco</v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F8R-810</v>
      </c>
      <c r="D228" t="str">
        <v>F8R-810</v>
      </c>
      <c r="E228" t="str">
        <v/>
      </c>
      <c r="F228" t="str">
        <v>867806078868827</v>
      </c>
      <c r="G228" t="str">
        <v>TBD</v>
      </c>
      <c r="H228" t="str">
        <v/>
      </c>
      <c r="I228" t="str">
        <v>28/09/2026</v>
      </c>
      <c r="J228" t="str">
        <v>13:55:47</v>
      </c>
      <c r="K228">
        <v>-12.332993</v>
      </c>
      <c r="L228">
        <v>-76.82029</v>
      </c>
      <c r="M228">
        <f>HYPERLINK("https://www.google.com/maps/search/?api=1&amp;query=-12.332993,-76.82029","Carretera Panamericana Sur, Punta Hermosa, Lima")</f>
      </c>
      <c r="N228">
        <v>53.5</v>
      </c>
      <c r="O228">
        <v>92</v>
      </c>
      <c r="P228">
        <v>1747.89</v>
      </c>
      <c r="Q228" t="str">
        <v>68.95</v>
      </c>
      <c r="R228" t="str">
        <v>Acelerado y giro brusco</v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F8R-810</v>
      </c>
      <c r="D229" t="str">
        <v>F8R-810</v>
      </c>
      <c r="E229" t="str">
        <v/>
      </c>
      <c r="F229" t="str">
        <v>867806078868827</v>
      </c>
      <c r="G229" t="str">
        <v>TBD</v>
      </c>
      <c r="H229" t="str">
        <v/>
      </c>
      <c r="I229" t="str">
        <v>28/09/2026</v>
      </c>
      <c r="J229" t="str">
        <v>13:55:57</v>
      </c>
      <c r="K229">
        <v>-12.334082</v>
      </c>
      <c r="L229">
        <v>-76.819565</v>
      </c>
      <c r="M229">
        <f>HYPERLINK("https://www.google.com/maps/search/?api=1&amp;query=-12.334082,-76.819565","Carretera Panamericana Sur, Punta Hermosa, Lima")</f>
      </c>
      <c r="N229">
        <v>42.7</v>
      </c>
      <c r="O229">
        <v>92</v>
      </c>
      <c r="P229">
        <v>1748.03</v>
      </c>
      <c r="Q229" t="str">
        <v>68.95</v>
      </c>
      <c r="R229" t="str">
        <v>Acelerado y giro brusco</v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F8R-810</v>
      </c>
      <c r="D230" t="str">
        <v>F8R-810</v>
      </c>
      <c r="E230" t="str">
        <v/>
      </c>
      <c r="F230" t="str">
        <v>867806078868827</v>
      </c>
      <c r="G230" t="str">
        <v>TBD</v>
      </c>
      <c r="H230" t="str">
        <v/>
      </c>
      <c r="I230" t="str">
        <v>28/09/2026</v>
      </c>
      <c r="J230" t="str">
        <v>13:56:09</v>
      </c>
      <c r="K230">
        <v>-12.334969</v>
      </c>
      <c r="L230">
        <v>-76.81906</v>
      </c>
      <c r="M230">
        <f>HYPERLINK("https://www.google.com/maps/search/?api=1&amp;query=-12.334969,-76.81906","Carretera Panamericana Sur, Punta Hermosa, Lima")</f>
      </c>
      <c r="N230">
        <v>32</v>
      </c>
      <c r="O230">
        <v>92</v>
      </c>
      <c r="P230">
        <v>1748.14</v>
      </c>
      <c r="Q230" t="str">
        <v>68.95</v>
      </c>
      <c r="R230" t="str">
        <v>Acelerado y giro brusco</v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F8R-810</v>
      </c>
      <c r="D231" t="str">
        <v>F8R-810</v>
      </c>
      <c r="E231" t="str">
        <v/>
      </c>
      <c r="F231" t="str">
        <v>867806078868827</v>
      </c>
      <c r="G231" t="str">
        <v>TBD</v>
      </c>
      <c r="H231" t="str">
        <v/>
      </c>
      <c r="I231" t="str">
        <v>28/09/2026</v>
      </c>
      <c r="J231" t="str">
        <v>13:56:15</v>
      </c>
      <c r="K231">
        <v>-12.33546</v>
      </c>
      <c r="L231">
        <v>-76.818794</v>
      </c>
      <c r="M231">
        <f>HYPERLINK("https://www.google.com/maps/search/?api=1&amp;query=-12.33546,-76.818794","Carretera Panamericana Sur, Punta Hermosa, Lima")</f>
      </c>
      <c r="N231">
        <v>28.1</v>
      </c>
      <c r="O231">
        <v>92</v>
      </c>
      <c r="P231">
        <v>1748.2</v>
      </c>
      <c r="Q231" t="str">
        <v>68.95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F8R-810</v>
      </c>
      <c r="D232" t="str">
        <v>F8R-810</v>
      </c>
      <c r="E232" t="str">
        <v/>
      </c>
      <c r="F232" t="str">
        <v>867806078868827</v>
      </c>
      <c r="G232" t="str">
        <v>TBD</v>
      </c>
      <c r="H232" t="str">
        <v/>
      </c>
      <c r="I232" t="str">
        <v>28/09/2026</v>
      </c>
      <c r="J232" t="str">
        <v>13:56:20</v>
      </c>
      <c r="K232">
        <v>-12.33571</v>
      </c>
      <c r="L232">
        <v>-76.81882</v>
      </c>
      <c r="M232">
        <f>HYPERLINK("https://www.google.com/maps/search/?api=1&amp;query=-12.33571,-76.81882","Carretera Panamericana Sur, Punta Hermosa, Lima")</f>
      </c>
      <c r="N232">
        <v>23.5</v>
      </c>
      <c r="O232">
        <v>92</v>
      </c>
      <c r="P232">
        <v>1748.23</v>
      </c>
      <c r="Q232" t="str">
        <v>68.95</v>
      </c>
      <c r="R232" t="str">
        <v>Acelerado y giro brusco</v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F8R-810</v>
      </c>
      <c r="D233" t="str">
        <v>F8R-810</v>
      </c>
      <c r="E233" t="str">
        <v/>
      </c>
      <c r="F233" t="str">
        <v>867806078868827</v>
      </c>
      <c r="G233" t="str">
        <v>TBD</v>
      </c>
      <c r="H233" t="str">
        <v/>
      </c>
      <c r="I233" t="str">
        <v>28/09/2026</v>
      </c>
      <c r="J233" t="str">
        <v>13:56:20</v>
      </c>
      <c r="K233">
        <v>-12.33576</v>
      </c>
      <c r="L233">
        <v>-76.81885</v>
      </c>
      <c r="M233">
        <f>HYPERLINK("https://www.google.com/maps/search/?api=1&amp;query=-12.33576,-76.81885","Punta Hermosa, Lima")</f>
      </c>
      <c r="N233">
        <v>22.9</v>
      </c>
      <c r="O233">
        <v>92</v>
      </c>
      <c r="P233">
        <v>1748.24</v>
      </c>
      <c r="Q233" t="str">
        <v>68.95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F8R-810</v>
      </c>
      <c r="D234" t="str">
        <v>F8R-810</v>
      </c>
      <c r="E234" t="str">
        <v/>
      </c>
      <c r="F234" t="str">
        <v>867806078868827</v>
      </c>
      <c r="G234" t="str">
        <v>TBD</v>
      </c>
      <c r="H234" t="str">
        <v/>
      </c>
      <c r="I234" t="str">
        <v>28/09/2026</v>
      </c>
      <c r="J234" t="str">
        <v>13:56:24</v>
      </c>
      <c r="K234">
        <v>-12.335855</v>
      </c>
      <c r="L234">
        <v>-76.818954</v>
      </c>
      <c r="M234">
        <f>HYPERLINK("https://www.google.com/maps/search/?api=1&amp;query=-12.335855,-76.818954","Antigua Panamericana Sur, Punta Hermosa, Lima")</f>
      </c>
      <c r="N234">
        <v>16.8</v>
      </c>
      <c r="O234">
        <v>92</v>
      </c>
      <c r="P234">
        <v>1748.25</v>
      </c>
      <c r="Q234" t="str">
        <v>68.95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F8R-810</v>
      </c>
      <c r="D235" t="str">
        <v>F8R-810</v>
      </c>
      <c r="E235" t="str">
        <v/>
      </c>
      <c r="F235" t="str">
        <v>867806078868827</v>
      </c>
      <c r="G235" t="str">
        <v>TBD</v>
      </c>
      <c r="H235" t="str">
        <v/>
      </c>
      <c r="I235" t="str">
        <v>28/09/2026</v>
      </c>
      <c r="J235" t="str">
        <v>13:56:25</v>
      </c>
      <c r="K235">
        <v>-12.335887</v>
      </c>
      <c r="L235">
        <v>-76.81904</v>
      </c>
      <c r="M235">
        <f>HYPERLINK("https://www.google.com/maps/search/?api=1&amp;query=-12.335887,-76.81904","Antigua Panamericana Sur, Punta Hermosa, Lima")</f>
      </c>
      <c r="N235">
        <v>20</v>
      </c>
      <c r="O235">
        <v>92</v>
      </c>
      <c r="P235">
        <v>1748.26</v>
      </c>
      <c r="Q235" t="str">
        <v>68.95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F8R-810</v>
      </c>
      <c r="D236" t="str">
        <v>F8R-810</v>
      </c>
      <c r="E236" t="str">
        <v/>
      </c>
      <c r="F236" t="str">
        <v>867806078868827</v>
      </c>
      <c r="G236" t="str">
        <v>TBD</v>
      </c>
      <c r="H236" t="str">
        <v/>
      </c>
      <c r="I236" t="str">
        <v>28/09/2026</v>
      </c>
      <c r="J236" t="str">
        <v>13:56:29</v>
      </c>
      <c r="K236">
        <v>-12.335807</v>
      </c>
      <c r="L236">
        <v>-76.81919</v>
      </c>
      <c r="M236">
        <f>HYPERLINK("https://www.google.com/maps/search/?api=1&amp;query=-12.335807,-76.81919","Antigua Panamericana Sur, Punta Hermosa, Lima")</f>
      </c>
      <c r="N236">
        <v>24.8</v>
      </c>
      <c r="O236">
        <v>92</v>
      </c>
      <c r="P236">
        <v>1748.28</v>
      </c>
      <c r="Q236" t="str">
        <v>68.95</v>
      </c>
      <c r="R236" t="str">
        <v>Aceleración brusca</v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F8R-810</v>
      </c>
      <c r="D237" t="str">
        <v>F8R-810</v>
      </c>
      <c r="E237" t="str">
        <v/>
      </c>
      <c r="F237" t="str">
        <v>867806078868827</v>
      </c>
      <c r="G237" t="str">
        <v>TBD</v>
      </c>
      <c r="H237" t="str">
        <v/>
      </c>
      <c r="I237" t="str">
        <v>28/09/2026</v>
      </c>
      <c r="J237" t="str">
        <v>13:56:30</v>
      </c>
      <c r="K237">
        <v>-12.335696</v>
      </c>
      <c r="L237">
        <v>-76.81926</v>
      </c>
      <c r="M237">
        <f>HYPERLINK("https://www.google.com/maps/search/?api=1&amp;query=-12.335696,-76.81926","Antigua Panamericana Sur, Punta Hermosa, Lima")</f>
      </c>
      <c r="N237">
        <v>23.5</v>
      </c>
      <c r="O237">
        <v>92</v>
      </c>
      <c r="P237">
        <v>1748.29</v>
      </c>
      <c r="Q237" t="str">
        <v>68.95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F8R-810</v>
      </c>
      <c r="D238" t="str">
        <v>F8R-810</v>
      </c>
      <c r="E238" t="str">
        <v/>
      </c>
      <c r="F238" t="str">
        <v>867806078868827</v>
      </c>
      <c r="G238" t="str">
        <v>TBD</v>
      </c>
      <c r="H238" t="str">
        <v/>
      </c>
      <c r="I238" t="str">
        <v>28/09/2026</v>
      </c>
      <c r="J238" t="str">
        <v>13:56:38</v>
      </c>
      <c r="K238">
        <v>-12.335252</v>
      </c>
      <c r="L238">
        <v>-76.819565</v>
      </c>
      <c r="M238">
        <f>HYPERLINK("https://www.google.com/maps/search/?api=1&amp;query=-12.335252,-76.819565","Antigua Panamericana Sur, Punta Hermosa, Lima")</f>
      </c>
      <c r="N238">
        <v>29</v>
      </c>
      <c r="O238">
        <v>92</v>
      </c>
      <c r="P238">
        <v>1748.35</v>
      </c>
      <c r="Q238" t="str">
        <v>68.95</v>
      </c>
      <c r="R238" t="str">
        <v>Acelerado y giro brusco</v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F8R-810</v>
      </c>
      <c r="D239" t="str">
        <v>F8R-810</v>
      </c>
      <c r="E239" t="str">
        <v/>
      </c>
      <c r="F239" t="str">
        <v>867806078868827</v>
      </c>
      <c r="G239" t="str">
        <v>TBD</v>
      </c>
      <c r="H239" t="str">
        <v/>
      </c>
      <c r="I239" t="str">
        <v>28/09/2026</v>
      </c>
      <c r="J239" t="str">
        <v>13:56:45</v>
      </c>
      <c r="K239">
        <v>-12.334947</v>
      </c>
      <c r="L239">
        <v>-76.81978</v>
      </c>
      <c r="M239">
        <f>HYPERLINK("https://www.google.com/maps/search/?api=1&amp;query=-12.334947,-76.81978","Antigua Panamericana Sur, Punta Hermosa, Lima")</f>
      </c>
      <c r="N239">
        <v>20.5</v>
      </c>
      <c r="O239">
        <v>92</v>
      </c>
      <c r="P239">
        <v>1748.39</v>
      </c>
      <c r="Q239" t="str">
        <v>68.95</v>
      </c>
      <c r="R239" t="str">
        <v>Acelerado y giro brusco</v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F8R-810</v>
      </c>
      <c r="D240" t="str">
        <v>F8R-810</v>
      </c>
      <c r="E240" t="str">
        <v/>
      </c>
      <c r="F240" t="str">
        <v>867806078868827</v>
      </c>
      <c r="G240" t="str">
        <v>TBD</v>
      </c>
      <c r="H240" t="str">
        <v/>
      </c>
      <c r="I240" t="str">
        <v>28/09/2026</v>
      </c>
      <c r="J240" t="str">
        <v>13:57:02</v>
      </c>
      <c r="K240">
        <v>-12.33391</v>
      </c>
      <c r="L240">
        <v>-76.82049</v>
      </c>
      <c r="M240">
        <f>HYPERLINK("https://www.google.com/maps/search/?api=1&amp;query=-12.33391,-76.82049","Antigua Panamericana Sur, Punta Hermosa, Lima")</f>
      </c>
      <c r="N240">
        <v>20.9</v>
      </c>
      <c r="O240">
        <v>92</v>
      </c>
      <c r="P240">
        <v>1748.53</v>
      </c>
      <c r="Q240" t="str">
        <v>68.95</v>
      </c>
      <c r="R240" t="str">
        <v>Acelerado y giro brusco</v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F8R-810</v>
      </c>
      <c r="D241" t="str">
        <v>F8R-810</v>
      </c>
      <c r="E241" t="str">
        <v/>
      </c>
      <c r="F241" t="str">
        <v>867806078868827</v>
      </c>
      <c r="G241" t="str">
        <v>TBD</v>
      </c>
      <c r="H241" t="str">
        <v/>
      </c>
      <c r="I241" t="str">
        <v>28/09/2026</v>
      </c>
      <c r="J241" t="str">
        <v>13:57:04</v>
      </c>
      <c r="K241">
        <v>-12.333817</v>
      </c>
      <c r="L241">
        <v>-76.82053</v>
      </c>
      <c r="M241">
        <f>HYPERLINK("https://www.google.com/maps/search/?api=1&amp;query=-12.333817,-76.82053","Antigua Panamericana Sur, Punta Hermosa, Lima")</f>
      </c>
      <c r="N241">
        <v>12.4</v>
      </c>
      <c r="O241">
        <v>92</v>
      </c>
      <c r="P241">
        <v>1748.54</v>
      </c>
      <c r="Q241" t="str">
        <v>68.95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F8R-810</v>
      </c>
      <c r="D242" t="str">
        <v>F8R-810</v>
      </c>
      <c r="E242" t="str">
        <v/>
      </c>
      <c r="F242" t="str">
        <v>867806078868827</v>
      </c>
      <c r="G242" t="str">
        <v>TBD</v>
      </c>
      <c r="H242" t="str">
        <v/>
      </c>
      <c r="I242" t="str">
        <v>28/09/2026</v>
      </c>
      <c r="J242" t="str">
        <v>13:57:09</v>
      </c>
      <c r="K242">
        <v>-12.333715</v>
      </c>
      <c r="L242">
        <v>-76.82037</v>
      </c>
      <c r="M242">
        <f>HYPERLINK("https://www.google.com/maps/search/?api=1&amp;query=-12.333715,-76.82037","Antigua Panamericana Sur, Punta Hermosa, Lima")</f>
      </c>
      <c r="N242">
        <v>22.2</v>
      </c>
      <c r="O242">
        <v>92</v>
      </c>
      <c r="P242">
        <v>1748.57</v>
      </c>
      <c r="Q242" t="str">
        <v>68.95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F8R-810</v>
      </c>
      <c r="D243" t="str">
        <v>F8R-810</v>
      </c>
      <c r="E243" t="str">
        <v/>
      </c>
      <c r="F243" t="str">
        <v>867806078868827</v>
      </c>
      <c r="G243" t="str">
        <v>TBD</v>
      </c>
      <c r="H243" t="str">
        <v/>
      </c>
      <c r="I243" t="str">
        <v>28/09/2026</v>
      </c>
      <c r="J243" t="str">
        <v>13:57:12</v>
      </c>
      <c r="K243">
        <v>-12.333725</v>
      </c>
      <c r="L243">
        <v>-76.820175</v>
      </c>
      <c r="M243">
        <f>HYPERLINK("https://www.google.com/maps/search/?api=1&amp;query=-12.333725,-76.820175","Punta Hermosa, Lima")</f>
      </c>
      <c r="N243">
        <v>30.7</v>
      </c>
      <c r="O243">
        <v>92</v>
      </c>
      <c r="P243">
        <v>1748.59</v>
      </c>
      <c r="Q243" t="str">
        <v>68.95</v>
      </c>
      <c r="R243" t="str">
        <v>Acelerado y giro brusco</v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F8R-810</v>
      </c>
      <c r="D244" t="str">
        <v>F8R-810</v>
      </c>
      <c r="E244" t="str">
        <v/>
      </c>
      <c r="F244" t="str">
        <v>867806078868827</v>
      </c>
      <c r="G244" t="str">
        <v>TBD</v>
      </c>
      <c r="H244" t="str">
        <v/>
      </c>
      <c r="I244" t="str">
        <v>28/09/2026</v>
      </c>
      <c r="J244" t="str">
        <v>13:57:14</v>
      </c>
      <c r="K244">
        <v>-12.333722</v>
      </c>
      <c r="L244">
        <v>-76.82001</v>
      </c>
      <c r="M244">
        <f>HYPERLINK("https://www.google.com/maps/search/?api=1&amp;query=-12.333722,-76.82001","Carretera Panamericana Sur, Punta Hermosa, Lima")</f>
      </c>
      <c r="N244">
        <v>31.4</v>
      </c>
      <c r="O244">
        <v>92</v>
      </c>
      <c r="P244">
        <v>1748.6</v>
      </c>
      <c r="Q244" t="str">
        <v>68.95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F8R-810</v>
      </c>
      <c r="D245" t="str">
        <v>F8R-810</v>
      </c>
      <c r="E245" t="str">
        <v/>
      </c>
      <c r="F245" t="str">
        <v>867806078868827</v>
      </c>
      <c r="G245" t="str">
        <v>TBD</v>
      </c>
      <c r="H245" t="str">
        <v/>
      </c>
      <c r="I245" t="str">
        <v>28/09/2026</v>
      </c>
      <c r="J245" t="str">
        <v>13:57:16</v>
      </c>
      <c r="K245">
        <v>-12.333703</v>
      </c>
      <c r="L245">
        <v>-76.81993</v>
      </c>
      <c r="M245">
        <f>HYPERLINK("https://www.google.com/maps/search/?api=1&amp;query=-12.333703,-76.81993","Carretera Panamericana Sur, Punta Hermosa, Lima")</f>
      </c>
      <c r="N245">
        <v>30.3</v>
      </c>
      <c r="O245">
        <v>92</v>
      </c>
      <c r="P245">
        <v>1748.61</v>
      </c>
      <c r="Q245" t="str">
        <v>68.95</v>
      </c>
      <c r="R245" t="str">
        <v>Giro brusco</v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F8R-810</v>
      </c>
      <c r="D246" t="str">
        <v>F8R-810</v>
      </c>
      <c r="E246" t="str">
        <v/>
      </c>
      <c r="F246" t="str">
        <v>867806078868827</v>
      </c>
      <c r="G246" t="str">
        <v>TBD</v>
      </c>
      <c r="H246" t="str">
        <v/>
      </c>
      <c r="I246" t="str">
        <v>28/09/2026</v>
      </c>
      <c r="J246" t="str">
        <v>13:57:19</v>
      </c>
      <c r="K246">
        <v>-12.333557</v>
      </c>
      <c r="L246">
        <v>-76.819695</v>
      </c>
      <c r="M246">
        <f>HYPERLINK("https://www.google.com/maps/search/?api=1&amp;query=-12.333557,-76.819695","Carretera Panamericana Sur, Punta Hermosa, Lima")</f>
      </c>
      <c r="N246">
        <v>26.8</v>
      </c>
      <c r="O246">
        <v>92</v>
      </c>
      <c r="P246">
        <v>1748.64</v>
      </c>
      <c r="Q246" t="str">
        <v>68.95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F8R-810</v>
      </c>
      <c r="D247" t="str">
        <v>F8R-810</v>
      </c>
      <c r="E247" t="str">
        <v/>
      </c>
      <c r="F247" t="str">
        <v>867806078868827</v>
      </c>
      <c r="G247" t="str">
        <v>TBD</v>
      </c>
      <c r="H247" t="str">
        <v/>
      </c>
      <c r="I247" t="str">
        <v>28/09/2026</v>
      </c>
      <c r="J247" t="str">
        <v>13:57:19</v>
      </c>
      <c r="K247">
        <v>-12.333557</v>
      </c>
      <c r="L247">
        <v>-76.819695</v>
      </c>
      <c r="M247">
        <f>HYPERLINK("https://www.google.com/maps/search/?api=1&amp;query=-12.333557,-76.819695","Carretera Panamericana Sur, Punta Hermosa, Lima")</f>
      </c>
      <c r="N247">
        <v>26.8</v>
      </c>
      <c r="O247">
        <v>92</v>
      </c>
      <c r="P247">
        <v>1748.64</v>
      </c>
      <c r="Q247" t="str">
        <v>68.95</v>
      </c>
      <c r="R247" t="str">
        <v>Aceleración brusca</v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F8R-810</v>
      </c>
      <c r="D248" t="str">
        <v>F8R-810</v>
      </c>
      <c r="E248" t="str">
        <v/>
      </c>
      <c r="F248" t="str">
        <v>867806078868827</v>
      </c>
      <c r="G248" t="str">
        <v>TBD</v>
      </c>
      <c r="H248" t="str">
        <v/>
      </c>
      <c r="I248" t="str">
        <v>28/09/2026</v>
      </c>
      <c r="J248" t="str">
        <v>13:57:24</v>
      </c>
      <c r="K248">
        <v>-12.333239</v>
      </c>
      <c r="L248">
        <v>-76.81961</v>
      </c>
      <c r="M248">
        <f>HYPERLINK("https://www.google.com/maps/search/?api=1&amp;query=-12.333239,-76.81961","Punta Hermosa, Lima")</f>
      </c>
      <c r="N248">
        <v>29.4</v>
      </c>
      <c r="O248">
        <v>92</v>
      </c>
      <c r="P248">
        <v>1748.68</v>
      </c>
      <c r="Q248" t="str">
        <v>68.95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F8R-810</v>
      </c>
      <c r="D249" t="str">
        <v>F8R-810</v>
      </c>
      <c r="E249" t="str">
        <v/>
      </c>
      <c r="F249" t="str">
        <v>867806078868827</v>
      </c>
      <c r="G249" t="str">
        <v>TBD</v>
      </c>
      <c r="H249" t="str">
        <v/>
      </c>
      <c r="I249" t="str">
        <v>28/09/2026</v>
      </c>
      <c r="J249" t="str">
        <v>13:57:27</v>
      </c>
      <c r="K249">
        <v>-12.333108</v>
      </c>
      <c r="L249">
        <v>-76.81969</v>
      </c>
      <c r="M249">
        <f>HYPERLINK("https://www.google.com/maps/search/?api=1&amp;query=-12.333108,-76.81969","Punta Hermosa, Lima")</f>
      </c>
      <c r="N249">
        <v>31.2</v>
      </c>
      <c r="O249">
        <v>92</v>
      </c>
      <c r="P249">
        <v>1748.7</v>
      </c>
      <c r="Q249" t="str">
        <v>68.95</v>
      </c>
      <c r="R249" t="str">
        <v>Acelerado y giro brusco</v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F8R-810</v>
      </c>
      <c r="D250" t="str">
        <v>F8R-810</v>
      </c>
      <c r="E250" t="str">
        <v/>
      </c>
      <c r="F250" t="str">
        <v>867806078868827</v>
      </c>
      <c r="G250" t="str">
        <v>TBD</v>
      </c>
      <c r="H250" t="str">
        <v/>
      </c>
      <c r="I250" t="str">
        <v>28/09/2026</v>
      </c>
      <c r="J250" t="str">
        <v>13:57:29</v>
      </c>
      <c r="K250">
        <v>-12.332922</v>
      </c>
      <c r="L250">
        <v>-76.81987</v>
      </c>
      <c r="M250">
        <f>HYPERLINK("https://www.google.com/maps/search/?api=1&amp;query=-12.332922,-76.81987","Carretera Panamericana Sur, Punta Hermosa, Lima")</f>
      </c>
      <c r="N250">
        <v>36.1</v>
      </c>
      <c r="O250">
        <v>92</v>
      </c>
      <c r="P250">
        <v>1748.73</v>
      </c>
      <c r="Q250" t="str">
        <v>68.95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F8R-810</v>
      </c>
      <c r="D251" t="str">
        <v>F8R-810</v>
      </c>
      <c r="E251" t="str">
        <v/>
      </c>
      <c r="F251" t="str">
        <v>867806078868827</v>
      </c>
      <c r="G251" t="str">
        <v>TBD</v>
      </c>
      <c r="H251" t="str">
        <v/>
      </c>
      <c r="I251" t="str">
        <v>28/09/2026</v>
      </c>
      <c r="J251" t="str">
        <v>13:57:31</v>
      </c>
      <c r="K251">
        <v>-12.332855</v>
      </c>
      <c r="L251">
        <v>-76.81995</v>
      </c>
      <c r="M251">
        <f>HYPERLINK("https://www.google.com/maps/search/?api=1&amp;query=-12.332855,-76.81995","Carretera Panamericana Sur, Punta Hermosa, Lima")</f>
      </c>
      <c r="N251">
        <v>37</v>
      </c>
      <c r="O251">
        <v>92</v>
      </c>
      <c r="P251">
        <v>1748.74</v>
      </c>
      <c r="Q251" t="str">
        <v>68.95</v>
      </c>
      <c r="R251" t="str">
        <v>Acelerado y giro brusco</v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F8R-810</v>
      </c>
      <c r="D252" t="str">
        <v>F8R-810</v>
      </c>
      <c r="E252" t="str">
        <v/>
      </c>
      <c r="F252" t="str">
        <v>867806078868827</v>
      </c>
      <c r="G252" t="str">
        <v>TBD</v>
      </c>
      <c r="H252" t="str">
        <v/>
      </c>
      <c r="I252" t="str">
        <v>28/09/2026</v>
      </c>
      <c r="J252" t="str">
        <v>13:57:37</v>
      </c>
      <c r="K252">
        <v>-12.332398</v>
      </c>
      <c r="L252">
        <v>-76.82034</v>
      </c>
      <c r="M252">
        <f>HYPERLINK("https://www.google.com/maps/search/?api=1&amp;query=-12.332398,-76.82034","Carretera Panamericana Sur, Punta Hermosa, Lima")</f>
      </c>
      <c r="N252">
        <v>32.7</v>
      </c>
      <c r="O252">
        <v>92</v>
      </c>
      <c r="P252">
        <v>1748.8</v>
      </c>
      <c r="Q252" t="str">
        <v>68.95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F8R-810</v>
      </c>
      <c r="D253" t="str">
        <v>F8R-810</v>
      </c>
      <c r="E253" t="str">
        <v/>
      </c>
      <c r="F253" t="str">
        <v>867806078868827</v>
      </c>
      <c r="G253" t="str">
        <v>TBD</v>
      </c>
      <c r="H253" t="str">
        <v/>
      </c>
      <c r="I253" t="str">
        <v>28/09/2026</v>
      </c>
      <c r="J253" t="str">
        <v>13:58:10</v>
      </c>
      <c r="K253">
        <v>-12.328685</v>
      </c>
      <c r="L253">
        <v>-76.82301</v>
      </c>
      <c r="M253">
        <f>HYPERLINK("https://www.google.com/maps/search/?api=1&amp;query=-12.328685,-76.82301","Carretera Panamericana Sur, Punta Hermosa, Lima")</f>
      </c>
      <c r="N253">
        <v>69.2</v>
      </c>
      <c r="O253">
        <v>92</v>
      </c>
      <c r="P253">
        <v>1749.3</v>
      </c>
      <c r="Q253" t="str">
        <v>68.95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F8R-810</v>
      </c>
      <c r="D254" t="str">
        <v>F8R-810</v>
      </c>
      <c r="E254" t="str">
        <v/>
      </c>
      <c r="F254" t="str">
        <v>867806078868827</v>
      </c>
      <c r="G254" t="str">
        <v>TBD</v>
      </c>
      <c r="H254" t="str">
        <v/>
      </c>
      <c r="I254" t="str">
        <v>28/09/2026</v>
      </c>
      <c r="J254" t="str">
        <v>13:58:13</v>
      </c>
      <c r="K254">
        <v>-12.328248</v>
      </c>
      <c r="L254">
        <v>-76.82331</v>
      </c>
      <c r="M254">
        <f>HYPERLINK("https://www.google.com/maps/search/?api=1&amp;query=-12.328248,-76.82331","Carretera Panamericana Sur, Punta Hermosa, Lima")</f>
      </c>
      <c r="N254">
        <v>68.8</v>
      </c>
      <c r="O254">
        <v>92</v>
      </c>
      <c r="P254">
        <v>1749.36</v>
      </c>
      <c r="Q254" t="str">
        <v>68.95</v>
      </c>
      <c r="R254" t="str">
        <v>Acelerado y giro brusco</v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F8R-810</v>
      </c>
      <c r="D255" t="str">
        <v>F8R-810</v>
      </c>
      <c r="E255" t="str">
        <v/>
      </c>
      <c r="F255" t="str">
        <v>867806078868827</v>
      </c>
      <c r="G255" t="str">
        <v>TBD</v>
      </c>
      <c r="H255" t="str">
        <v/>
      </c>
      <c r="I255" t="str">
        <v>28/09/2026</v>
      </c>
      <c r="J255" t="str">
        <v>13:58:23</v>
      </c>
      <c r="K255">
        <v>-12.326743</v>
      </c>
      <c r="L255">
        <v>-76.824326</v>
      </c>
      <c r="M255">
        <f>HYPERLINK("https://www.google.com/maps/search/?api=1&amp;query=-12.326743,-76.824326","Carretera Panamericana Sur, Punta Hermosa, Lima")</f>
      </c>
      <c r="N255">
        <v>62.2</v>
      </c>
      <c r="O255">
        <v>92</v>
      </c>
      <c r="P255">
        <v>1749.56</v>
      </c>
      <c r="Q255" t="str">
        <v>68.95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F8R-810</v>
      </c>
      <c r="D256" t="str">
        <v>F8R-810</v>
      </c>
      <c r="E256" t="str">
        <v/>
      </c>
      <c r="F256" t="str">
        <v>867806078868827</v>
      </c>
      <c r="G256" t="str">
        <v>TBD</v>
      </c>
      <c r="H256" t="str">
        <v/>
      </c>
      <c r="I256" t="str">
        <v>28/09/2026</v>
      </c>
      <c r="J256" t="str">
        <v>13:58:38</v>
      </c>
      <c r="K256">
        <v>-12.324862</v>
      </c>
      <c r="L256">
        <v>-76.82559</v>
      </c>
      <c r="M256">
        <f>HYPERLINK("https://www.google.com/maps/search/?api=1&amp;query=-12.324862,-76.82559","Carretera Panamericana Sur, Punta Hermosa, Lima")</f>
      </c>
      <c r="N256">
        <v>66.4</v>
      </c>
      <c r="O256">
        <v>92</v>
      </c>
      <c r="P256">
        <v>1749.81</v>
      </c>
      <c r="Q256" t="str">
        <v>68.95</v>
      </c>
      <c r="R256" t="str">
        <v>Acelerado y giro brusco</v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F8R-810</v>
      </c>
      <c r="D257" t="str">
        <v>F8R-810</v>
      </c>
      <c r="E257" t="str">
        <v/>
      </c>
      <c r="F257" t="str">
        <v>867806078868827</v>
      </c>
      <c r="G257" t="str">
        <v>TBD</v>
      </c>
      <c r="H257" t="str">
        <v/>
      </c>
      <c r="I257" t="str">
        <v>28/09/2026</v>
      </c>
      <c r="J257" t="str">
        <v>13:59:02</v>
      </c>
      <c r="K257">
        <v>-12.321047</v>
      </c>
      <c r="L257">
        <v>-76.828125</v>
      </c>
      <c r="M257">
        <f>HYPERLINK("https://www.google.com/maps/search/?api=1&amp;query=-12.321047,-76.828125","Carretera Panamericana Sur, Punta Hermosa, Lima")</f>
      </c>
      <c r="N257">
        <v>73.8</v>
      </c>
      <c r="O257">
        <v>92</v>
      </c>
      <c r="P257">
        <v>1750.31</v>
      </c>
      <c r="Q257" t="str">
        <v>68.95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F8R-810</v>
      </c>
      <c r="D258" t="str">
        <v>F8R-810</v>
      </c>
      <c r="E258" t="str">
        <v/>
      </c>
      <c r="F258" t="str">
        <v>867806078868827</v>
      </c>
      <c r="G258" t="str">
        <v>TBD</v>
      </c>
      <c r="H258" t="str">
        <v/>
      </c>
      <c r="I258" t="str">
        <v>28/09/2026</v>
      </c>
      <c r="J258" t="str">
        <v>13:59:03</v>
      </c>
      <c r="K258">
        <v>-12.321047</v>
      </c>
      <c r="L258">
        <v>-76.828125</v>
      </c>
      <c r="M258">
        <f>HYPERLINK("https://www.google.com/maps/search/?api=1&amp;query=-12.321047,-76.828125","Carretera Panamericana Sur, Punta Hermosa, Lima")</f>
      </c>
      <c r="N258">
        <v>73.8</v>
      </c>
      <c r="O258">
        <v>92</v>
      </c>
      <c r="P258">
        <v>1750.31</v>
      </c>
      <c r="Q258" t="str">
        <v>68.95</v>
      </c>
      <c r="R258" t="str">
        <v>Aceleración brusca</v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F8R-810</v>
      </c>
      <c r="D259" t="str">
        <v>F8R-810</v>
      </c>
      <c r="E259" t="str">
        <v/>
      </c>
      <c r="F259" t="str">
        <v>867806078868827</v>
      </c>
      <c r="G259" t="str">
        <v>TBD</v>
      </c>
      <c r="H259" t="str">
        <v/>
      </c>
      <c r="I259" t="str">
        <v>28/09/2026</v>
      </c>
      <c r="J259" t="str">
        <v>13:59:15</v>
      </c>
      <c r="K259">
        <v>-12.319306</v>
      </c>
      <c r="L259">
        <v>-76.829285</v>
      </c>
      <c r="M259">
        <f>HYPERLINK("https://www.google.com/maps/search/?api=1&amp;query=-12.319306,-76.829285","Carretera Panamericana Sur, Punta Hermosa, Lima")</f>
      </c>
      <c r="N259">
        <v>64.6</v>
      </c>
      <c r="O259">
        <v>92</v>
      </c>
      <c r="P259">
        <v>1750.54</v>
      </c>
      <c r="Q259" t="str">
        <v>68.95</v>
      </c>
      <c r="R259" t="str">
        <v>Aceleración brusca</v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F8R-810</v>
      </c>
      <c r="D260" t="str">
        <v>F8R-810</v>
      </c>
      <c r="E260" t="str">
        <v/>
      </c>
      <c r="F260" t="str">
        <v>867806078868827</v>
      </c>
      <c r="G260" t="str">
        <v>TBD</v>
      </c>
      <c r="H260" t="str">
        <v/>
      </c>
      <c r="I260" t="str">
        <v>28/09/2026</v>
      </c>
      <c r="J260" t="str">
        <v>13:59:19</v>
      </c>
      <c r="K260">
        <v>-12.318767</v>
      </c>
      <c r="L260">
        <v>-76.82956</v>
      </c>
      <c r="M260">
        <f>HYPERLINK("https://www.google.com/maps/search/?api=1&amp;query=-12.318767,-76.82956","Carretera Panamericana Sur, Punta Hermosa, Lima")</f>
      </c>
      <c r="N260">
        <v>56.4</v>
      </c>
      <c r="O260">
        <v>92</v>
      </c>
      <c r="P260">
        <v>1750.61</v>
      </c>
      <c r="Q260" t="str">
        <v>68.95</v>
      </c>
      <c r="R260" t="str">
        <v>Bache</v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F8R-810</v>
      </c>
      <c r="D261" t="str">
        <v>F8R-810</v>
      </c>
      <c r="E261" t="str">
        <v/>
      </c>
      <c r="F261" t="str">
        <v>867806078868827</v>
      </c>
      <c r="G261" t="str">
        <v>TBD</v>
      </c>
      <c r="H261" t="str">
        <v/>
      </c>
      <c r="I261" t="str">
        <v>28/09/2026</v>
      </c>
      <c r="J261" t="str">
        <v>13:59:21</v>
      </c>
      <c r="K261">
        <v>-12.318428</v>
      </c>
      <c r="L261">
        <v>-76.82972</v>
      </c>
      <c r="M261">
        <f>HYPERLINK("https://www.google.com/maps/search/?api=1&amp;query=-12.318428,-76.82972","Carretera Panamericana Sur, Punta Hermosa, Lima")</f>
      </c>
      <c r="N261">
        <v>42</v>
      </c>
      <c r="O261">
        <v>92</v>
      </c>
      <c r="P261">
        <v>1750.65</v>
      </c>
      <c r="Q261" t="str">
        <v>68.95</v>
      </c>
      <c r="R261" t="str">
        <v>Acelerado y giro brusco</v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F8R-810</v>
      </c>
      <c r="D262" t="str">
        <v>F8R-810</v>
      </c>
      <c r="E262" t="str">
        <v/>
      </c>
      <c r="F262" t="str">
        <v>867806078868827</v>
      </c>
      <c r="G262" t="str">
        <v>TBD</v>
      </c>
      <c r="H262" t="str">
        <v/>
      </c>
      <c r="I262" t="str">
        <v>28/09/2026</v>
      </c>
      <c r="J262" t="str">
        <v>13:59:23</v>
      </c>
      <c r="K262">
        <v>-12.318263</v>
      </c>
      <c r="L262">
        <v>-76.829796</v>
      </c>
      <c r="M262">
        <f>HYPERLINK("https://www.google.com/maps/search/?api=1&amp;query=-12.318263,-76.829796","Carretera Panamericana Sur, Punta Hermosa, Lima")</f>
      </c>
      <c r="N262">
        <v>31.1</v>
      </c>
      <c r="O262">
        <v>86</v>
      </c>
      <c r="P262">
        <v>1750.67</v>
      </c>
      <c r="Q262" t="str">
        <v>68.95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F8R-810</v>
      </c>
      <c r="D263" t="str">
        <v>F8R-810</v>
      </c>
      <c r="E263" t="str">
        <v/>
      </c>
      <c r="F263" t="str">
        <v>867806078868827</v>
      </c>
      <c r="G263" t="str">
        <v>TBD</v>
      </c>
      <c r="H263" t="str">
        <v/>
      </c>
      <c r="I263" t="str">
        <v>28/09/2026</v>
      </c>
      <c r="J263" t="str">
        <v>13:59:28</v>
      </c>
      <c r="K263">
        <v>-12.317973</v>
      </c>
      <c r="L263">
        <v>-76.829834</v>
      </c>
      <c r="M263">
        <f>HYPERLINK("https://www.google.com/maps/search/?api=1&amp;query=-12.317973,-76.829834","Carretera Panamericana Sur, Punta Hermosa, Lima")</f>
      </c>
      <c r="N263">
        <v>19.4</v>
      </c>
      <c r="O263">
        <v>92</v>
      </c>
      <c r="P263">
        <v>1750.7</v>
      </c>
      <c r="Q263" t="str">
        <v>68.95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F8R-810</v>
      </c>
      <c r="D264" t="str">
        <v>F8R-810</v>
      </c>
      <c r="E264" t="str">
        <v/>
      </c>
      <c r="F264" t="str">
        <v>867806078868827</v>
      </c>
      <c r="G264" t="str">
        <v>TBD</v>
      </c>
      <c r="H264" t="str">
        <v/>
      </c>
      <c r="I264" t="str">
        <v>28/09/2026</v>
      </c>
      <c r="J264" t="str">
        <v>13:59:36</v>
      </c>
      <c r="K264">
        <v>-12.31765</v>
      </c>
      <c r="L264">
        <v>-76.82972</v>
      </c>
      <c r="M264">
        <f>HYPERLINK("https://www.google.com/maps/search/?api=1&amp;query=-12.31765,-76.82972","Punta Hermosa, Lima")</f>
      </c>
      <c r="N264">
        <v>18.1</v>
      </c>
      <c r="O264">
        <v>86</v>
      </c>
      <c r="P264">
        <v>1750.74</v>
      </c>
      <c r="Q264" t="str">
        <v>68.95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F8R-810</v>
      </c>
      <c r="D265" t="str">
        <v>F8R-810</v>
      </c>
      <c r="E265" t="str">
        <v/>
      </c>
      <c r="F265" t="str">
        <v>867806078868827</v>
      </c>
      <c r="G265" t="str">
        <v>TBD</v>
      </c>
      <c r="H265" t="str">
        <v/>
      </c>
      <c r="I265" t="str">
        <v>28/09/2026</v>
      </c>
      <c r="J265" t="str">
        <v>13:59:41</v>
      </c>
      <c r="K265">
        <v>-12.317515</v>
      </c>
      <c r="L265">
        <v>-76.82955</v>
      </c>
      <c r="M265">
        <f>HYPERLINK("https://www.google.com/maps/search/?api=1&amp;query=-12.317515,-76.82955","Punta Hermosa, Lima")</f>
      </c>
      <c r="N265">
        <v>14.8</v>
      </c>
      <c r="O265">
        <v>86</v>
      </c>
      <c r="P265">
        <v>1750.76</v>
      </c>
      <c r="Q265" t="str">
        <v>68.95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F8R-810</v>
      </c>
      <c r="D266" t="str">
        <v>F8R-810</v>
      </c>
      <c r="E266" t="str">
        <v/>
      </c>
      <c r="F266" t="str">
        <v>867806078868827</v>
      </c>
      <c r="G266" t="str">
        <v>TBD</v>
      </c>
      <c r="H266" t="str">
        <v/>
      </c>
      <c r="I266" t="str">
        <v>28/09/2026</v>
      </c>
      <c r="J266" t="str">
        <v>13:59:41</v>
      </c>
      <c r="K266">
        <v>-12.317515</v>
      </c>
      <c r="L266">
        <v>-76.82955</v>
      </c>
      <c r="M266">
        <f>HYPERLINK("https://www.google.com/maps/search/?api=1&amp;query=-12.317515,-76.82955","Punta Hermosa, Lima")</f>
      </c>
      <c r="N266">
        <v>14.8</v>
      </c>
      <c r="O266">
        <v>86</v>
      </c>
      <c r="P266">
        <v>1750.74</v>
      </c>
      <c r="Q266" t="str">
        <v>68.95</v>
      </c>
      <c r="R266" t="str">
        <v>Llegó a la zona</v>
      </c>
      <c r="S266" t="str">
        <v>MASS BSF 1</v>
      </c>
      <c r="T266" t="str">
        <v xml:space="preserve"> </v>
      </c>
      <c r="U266" t="str">
        <v/>
      </c>
    </row>
    <row r="267">
      <c r="A267" t="str">
        <v>266</v>
      </c>
      <c r="B267" t="str">
        <v>MASS BSF</v>
      </c>
      <c r="C267" t="str">
        <v>F8R-810</v>
      </c>
      <c r="D267" t="str">
        <v>F8R-810</v>
      </c>
      <c r="E267" t="str">
        <v/>
      </c>
      <c r="F267" t="str">
        <v>867806078868827</v>
      </c>
      <c r="G267" t="str">
        <v>TBD</v>
      </c>
      <c r="H267" t="str">
        <v/>
      </c>
      <c r="I267" t="str">
        <v>28/09/2026</v>
      </c>
      <c r="J267" t="str">
        <v>14:00:02</v>
      </c>
      <c r="K267">
        <v>-12.317389</v>
      </c>
      <c r="L267">
        <v>-76.82933</v>
      </c>
      <c r="M267">
        <f>HYPERLINK("https://www.google.com/maps/search/?api=1&amp;query=-12.317389,-76.82933","Punta Hermosa, Lima")</f>
      </c>
      <c r="N267">
        <v>11.4</v>
      </c>
      <c r="O267">
        <v>86</v>
      </c>
      <c r="P267">
        <v>1750.79</v>
      </c>
      <c r="Q267" t="str">
        <v>68.95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F8R-810</v>
      </c>
      <c r="D268" t="str">
        <v>F8R-810</v>
      </c>
      <c r="E268" t="str">
        <v/>
      </c>
      <c r="F268" t="str">
        <v>867806078868827</v>
      </c>
      <c r="G268" t="str">
        <v>TBD</v>
      </c>
      <c r="H268" t="str">
        <v/>
      </c>
      <c r="I268" t="str">
        <v>28/09/2026</v>
      </c>
      <c r="J268" t="str">
        <v>14:00:20</v>
      </c>
      <c r="K268">
        <v>-12.31704</v>
      </c>
      <c r="L268">
        <v>-76.8288</v>
      </c>
      <c r="M268">
        <f>HYPERLINK("https://www.google.com/maps/search/?api=1&amp;query=-12.31704,-76.8288","Punta Hermosa, Lima")</f>
      </c>
      <c r="N268">
        <v>10.1</v>
      </c>
      <c r="O268">
        <v>86</v>
      </c>
      <c r="P268">
        <v>1750.86</v>
      </c>
      <c r="Q268" t="str">
        <v>68.95</v>
      </c>
      <c r="R268" t="str">
        <v>Acelerado y giro brusco</v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F8R-810</v>
      </c>
      <c r="D269" t="str">
        <v>F8R-810</v>
      </c>
      <c r="E269" t="str">
        <v/>
      </c>
      <c r="F269" t="str">
        <v>867806078868827</v>
      </c>
      <c r="G269" t="str">
        <v>TBD</v>
      </c>
      <c r="H269" t="str">
        <v/>
      </c>
      <c r="I269" t="str">
        <v>28/09/2026</v>
      </c>
      <c r="J269" t="str">
        <v>14:00:33</v>
      </c>
      <c r="K269">
        <v>-12.316798</v>
      </c>
      <c r="L269">
        <v>-76.8284</v>
      </c>
      <c r="M269">
        <f>HYPERLINK("https://www.google.com/maps/search/?api=1&amp;query=-12.316798,-76.8284","Punta Hermosa, Lima")</f>
      </c>
      <c r="N269">
        <v>12.7</v>
      </c>
      <c r="O269">
        <v>86</v>
      </c>
      <c r="P269">
        <v>1750.91</v>
      </c>
      <c r="Q269" t="str">
        <v>68.95</v>
      </c>
      <c r="R269" t="str">
        <v>Acelerado y giro brusco</v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F8R-810</v>
      </c>
      <c r="D270" t="str">
        <v>F8R-810</v>
      </c>
      <c r="E270" t="str">
        <v/>
      </c>
      <c r="F270" t="str">
        <v>867806078868827</v>
      </c>
      <c r="G270" t="str">
        <v>TBD</v>
      </c>
      <c r="H270" t="str">
        <v/>
      </c>
      <c r="I270" t="str">
        <v>28/09/2026</v>
      </c>
      <c r="J270" t="str">
        <v>14:00:41</v>
      </c>
      <c r="K270">
        <v>-12.316687</v>
      </c>
      <c r="L270">
        <v>-76.82819</v>
      </c>
      <c r="M270">
        <f>HYPERLINK("https://www.google.com/maps/search/?api=1&amp;query=-12.316687,-76.82819","Punta Hermosa, Lima")</f>
      </c>
      <c r="N270">
        <v>13.5</v>
      </c>
      <c r="O270">
        <v>86</v>
      </c>
      <c r="P270">
        <v>1750.93</v>
      </c>
      <c r="Q270" t="str">
        <v>68.95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F8R-810</v>
      </c>
      <c r="D271" t="str">
        <v>F8R-810</v>
      </c>
      <c r="E271" t="str">
        <v/>
      </c>
      <c r="F271" t="str">
        <v>867806078868827</v>
      </c>
      <c r="G271" t="str">
        <v>TBD</v>
      </c>
      <c r="H271" t="str">
        <v/>
      </c>
      <c r="I271" t="str">
        <v>28/09/2026</v>
      </c>
      <c r="J271" t="str">
        <v>14:00:46</v>
      </c>
      <c r="K271">
        <v>-12.31661</v>
      </c>
      <c r="L271">
        <v>-76.82806</v>
      </c>
      <c r="M271">
        <f>HYPERLINK("https://www.google.com/maps/search/?api=1&amp;query=-12.31661,-76.82806","Punta Hermosa, Lima")</f>
      </c>
      <c r="N271">
        <v>13.3</v>
      </c>
      <c r="O271">
        <v>86</v>
      </c>
      <c r="P271">
        <v>1750.95</v>
      </c>
      <c r="Q271" t="str">
        <v>68.95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F8R-810</v>
      </c>
      <c r="D272" t="str">
        <v>F8R-810</v>
      </c>
      <c r="E272" t="str">
        <v/>
      </c>
      <c r="F272" t="str">
        <v>867806078868827</v>
      </c>
      <c r="G272" t="str">
        <v>TBD</v>
      </c>
      <c r="H272" t="str">
        <v/>
      </c>
      <c r="I272" t="str">
        <v>28/09/2026</v>
      </c>
      <c r="J272" t="str">
        <v>14:00:59</v>
      </c>
      <c r="K272">
        <v>-12.316334</v>
      </c>
      <c r="L272">
        <v>-76.827614</v>
      </c>
      <c r="M272">
        <f>HYPERLINK("https://www.google.com/maps/search/?api=1&amp;query=-12.316334,-76.827614","Punta Hermosa, Lima")</f>
      </c>
      <c r="N272">
        <v>15.7</v>
      </c>
      <c r="O272">
        <v>86</v>
      </c>
      <c r="P272">
        <v>1751</v>
      </c>
      <c r="Q272" t="str">
        <v>68.95</v>
      </c>
      <c r="R272" t="str">
        <v>Acelerado y giro brusco</v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F8R-810</v>
      </c>
      <c r="D273" t="str">
        <v>F8R-810</v>
      </c>
      <c r="E273" t="str">
        <v/>
      </c>
      <c r="F273" t="str">
        <v>867806078868827</v>
      </c>
      <c r="G273" t="str">
        <v>TBD</v>
      </c>
      <c r="H273" t="str">
        <v/>
      </c>
      <c r="I273" t="str">
        <v>28/09/2026</v>
      </c>
      <c r="J273" t="str">
        <v>14:01:17</v>
      </c>
      <c r="K273">
        <v>-12.31597</v>
      </c>
      <c r="L273">
        <v>-76.826996</v>
      </c>
      <c r="M273">
        <f>HYPERLINK("https://www.google.com/maps/search/?api=1&amp;query=-12.31597,-76.826996","Punta Hermosa, Lima")</f>
      </c>
      <c r="N273">
        <v>17.5</v>
      </c>
      <c r="O273">
        <v>86</v>
      </c>
      <c r="P273">
        <v>1751.08</v>
      </c>
      <c r="Q273" t="str">
        <v>68.95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F8R-810</v>
      </c>
      <c r="D274" t="str">
        <v>F8R-810</v>
      </c>
      <c r="E274" t="str">
        <v/>
      </c>
      <c r="F274" t="str">
        <v>867806078868827</v>
      </c>
      <c r="G274" t="str">
        <v>TBD</v>
      </c>
      <c r="H274" t="str">
        <v/>
      </c>
      <c r="I274" t="str">
        <v>28/09/2026</v>
      </c>
      <c r="J274" t="str">
        <v>14:01:20</v>
      </c>
      <c r="K274">
        <v>-12.315908</v>
      </c>
      <c r="L274">
        <v>-76.8269</v>
      </c>
      <c r="M274">
        <f>HYPERLINK("https://www.google.com/maps/search/?api=1&amp;query=-12.315908,-76.8269","Punta Hermosa, Lima")</f>
      </c>
      <c r="N274">
        <v>13.8</v>
      </c>
      <c r="O274">
        <v>86</v>
      </c>
      <c r="P274">
        <v>1751.09</v>
      </c>
      <c r="Q274" t="str">
        <v>68.95</v>
      </c>
      <c r="R274" t="str">
        <v>Giro brusco</v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F8R-810</v>
      </c>
      <c r="D275" t="str">
        <v>F8R-810</v>
      </c>
      <c r="E275" t="str">
        <v/>
      </c>
      <c r="F275" t="str">
        <v>867806078868827</v>
      </c>
      <c r="G275" t="str">
        <v>TBD</v>
      </c>
      <c r="H275" t="str">
        <v/>
      </c>
      <c r="I275" t="str">
        <v>28/09/2026</v>
      </c>
      <c r="J275" t="str">
        <v>14:01:25</v>
      </c>
      <c r="K275">
        <v>-12.315815</v>
      </c>
      <c r="L275">
        <v>-76.82672</v>
      </c>
      <c r="M275">
        <f>HYPERLINK("https://www.google.com/maps/search/?api=1&amp;query=-12.315815,-76.82672","Punta Hermosa, Lima")</f>
      </c>
      <c r="N275">
        <v>18.8</v>
      </c>
      <c r="O275">
        <v>86</v>
      </c>
      <c r="P275">
        <v>1751.11</v>
      </c>
      <c r="Q275" t="str">
        <v>68.95</v>
      </c>
      <c r="R275" t="str">
        <v>Acelerado y giro brusco</v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F8R-810</v>
      </c>
      <c r="D276" t="str">
        <v>F8R-810</v>
      </c>
      <c r="E276" t="str">
        <v/>
      </c>
      <c r="F276" t="str">
        <v>867806078868827</v>
      </c>
      <c r="G276" t="str">
        <v>TBD</v>
      </c>
      <c r="H276" t="str">
        <v/>
      </c>
      <c r="I276" t="str">
        <v>28/09/2026</v>
      </c>
      <c r="J276" t="str">
        <v>14:01:34</v>
      </c>
      <c r="K276">
        <v>-12.315597</v>
      </c>
      <c r="L276">
        <v>-76.82634</v>
      </c>
      <c r="M276">
        <f>HYPERLINK("https://www.google.com/maps/search/?api=1&amp;query=-12.315597,-76.82634","Punta Hermosa, Lima")</f>
      </c>
      <c r="N276">
        <v>18.1</v>
      </c>
      <c r="O276">
        <v>86</v>
      </c>
      <c r="P276">
        <v>1751.16</v>
      </c>
      <c r="Q276" t="str">
        <v>68.95</v>
      </c>
      <c r="R276" t="str">
        <v>Giro brusco</v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F8R-810</v>
      </c>
      <c r="D277" t="str">
        <v>F8R-810</v>
      </c>
      <c r="E277" t="str">
        <v/>
      </c>
      <c r="F277" t="str">
        <v>867806078868827</v>
      </c>
      <c r="G277" t="str">
        <v>TBD</v>
      </c>
      <c r="H277" t="str">
        <v/>
      </c>
      <c r="I277" t="str">
        <v>28/09/2026</v>
      </c>
      <c r="J277" t="str">
        <v>14:01:37</v>
      </c>
      <c r="K277">
        <v>-12.315527</v>
      </c>
      <c r="L277">
        <v>-76.82623</v>
      </c>
      <c r="M277">
        <f>HYPERLINK("https://www.google.com/maps/search/?api=1&amp;query=-12.315527,-76.82623","Punta Hermosa, Lima")</f>
      </c>
      <c r="N277">
        <v>16.1</v>
      </c>
      <c r="O277">
        <v>86</v>
      </c>
      <c r="P277">
        <v>1751.17</v>
      </c>
      <c r="Q277" t="str">
        <v>68.95</v>
      </c>
      <c r="R277" t="str">
        <v>Bache</v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F8R-810</v>
      </c>
      <c r="D278" t="str">
        <v>F8R-810</v>
      </c>
      <c r="E278" t="str">
        <v/>
      </c>
      <c r="F278" t="str">
        <v>867806078868827</v>
      </c>
      <c r="G278" t="str">
        <v>TBD</v>
      </c>
      <c r="H278" t="str">
        <v/>
      </c>
      <c r="I278" t="str">
        <v>28/09/2026</v>
      </c>
      <c r="J278" t="str">
        <v>14:01:37</v>
      </c>
      <c r="K278">
        <v>-12.315501</v>
      </c>
      <c r="L278">
        <v>-76.8262</v>
      </c>
      <c r="M278">
        <f>HYPERLINK("https://www.google.com/maps/search/?api=1&amp;query=-12.315501,-76.8262","Punta Hermosa, Lima")</f>
      </c>
      <c r="N278">
        <v>16.2</v>
      </c>
      <c r="O278">
        <v>86</v>
      </c>
      <c r="P278">
        <v>1751.18</v>
      </c>
      <c r="Q278" t="str">
        <v>68.95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F8R-810</v>
      </c>
      <c r="D279" t="str">
        <v>F8R-810</v>
      </c>
      <c r="E279" t="str">
        <v/>
      </c>
      <c r="F279" t="str">
        <v>867806078868827</v>
      </c>
      <c r="G279" t="str">
        <v>TBD</v>
      </c>
      <c r="H279" t="str">
        <v/>
      </c>
      <c r="I279" t="str">
        <v>28/09/2026</v>
      </c>
      <c r="J279" t="str">
        <v>14:01:39</v>
      </c>
      <c r="K279">
        <v>-12.315443</v>
      </c>
      <c r="L279">
        <v>-76.82613</v>
      </c>
      <c r="M279">
        <f>HYPERLINK("https://www.google.com/maps/search/?api=1&amp;query=-12.315443,-76.82613","Punta Hermosa, Lima")</f>
      </c>
      <c r="N279">
        <v>15.7</v>
      </c>
      <c r="O279">
        <v>86</v>
      </c>
      <c r="P279">
        <v>1751.19</v>
      </c>
      <c r="Q279" t="str">
        <v>68.95</v>
      </c>
      <c r="R279" t="str">
        <v>Acelerado y giro brusco</v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F8R-810</v>
      </c>
      <c r="D280" t="str">
        <v>F8R-810</v>
      </c>
      <c r="E280" t="str">
        <v/>
      </c>
      <c r="F280" t="str">
        <v>867806078868827</v>
      </c>
      <c r="G280" t="str">
        <v>TBD</v>
      </c>
      <c r="H280" t="str">
        <v/>
      </c>
      <c r="I280" t="str">
        <v>28/09/2026</v>
      </c>
      <c r="J280" t="str">
        <v>14:01:42</v>
      </c>
      <c r="K280">
        <v>-12.315373</v>
      </c>
      <c r="L280">
        <v>-76.82605</v>
      </c>
      <c r="M280">
        <f>HYPERLINK("https://www.google.com/maps/search/?api=1&amp;query=-12.315373,-76.82605","Punta Hermosa, Lima")</f>
      </c>
      <c r="N280">
        <v>11.1</v>
      </c>
      <c r="O280">
        <v>86</v>
      </c>
      <c r="P280">
        <v>1751.2</v>
      </c>
      <c r="Q280" t="str">
        <v>68.95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F8R-810</v>
      </c>
      <c r="D281" t="str">
        <v>F8R-810</v>
      </c>
      <c r="E281" t="str">
        <v/>
      </c>
      <c r="F281" t="str">
        <v>867806078868827</v>
      </c>
      <c r="G281" t="str">
        <v>TBD</v>
      </c>
      <c r="H281" t="str">
        <v/>
      </c>
      <c r="I281" t="str">
        <v>28/09/2026</v>
      </c>
      <c r="J281" t="str">
        <v>14:01:45</v>
      </c>
      <c r="K281">
        <v>-12.315363</v>
      </c>
      <c r="L281">
        <v>-76.82595</v>
      </c>
      <c r="M281">
        <f>HYPERLINK("https://www.google.com/maps/search/?api=1&amp;query=-12.315363,-76.82595","Punta Hermosa, Lima")</f>
      </c>
      <c r="N281">
        <v>15.9</v>
      </c>
      <c r="O281">
        <v>86</v>
      </c>
      <c r="P281">
        <v>1751.21</v>
      </c>
      <c r="Q281" t="str">
        <v>68.95</v>
      </c>
      <c r="R281" t="str">
        <v>Bache</v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F8R-810</v>
      </c>
      <c r="D282" t="str">
        <v>F8R-810</v>
      </c>
      <c r="E282" t="str">
        <v/>
      </c>
      <c r="F282" t="str">
        <v>867806078868827</v>
      </c>
      <c r="G282" t="str">
        <v>TBD</v>
      </c>
      <c r="H282" t="str">
        <v/>
      </c>
      <c r="I282" t="str">
        <v>28/09/2026</v>
      </c>
      <c r="J282" t="str">
        <v>14:01:47</v>
      </c>
      <c r="K282">
        <v>-12.315409</v>
      </c>
      <c r="L282">
        <v>-76.82588</v>
      </c>
      <c r="M282">
        <f>HYPERLINK("https://www.google.com/maps/search/?api=1&amp;query=-12.315409,-76.82588","Punta Hermosa, Lima")</f>
      </c>
      <c r="N282">
        <v>17.7</v>
      </c>
      <c r="O282">
        <v>86</v>
      </c>
      <c r="P282">
        <v>1751.22</v>
      </c>
      <c r="Q282" t="str">
        <v>68.95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F8R-810</v>
      </c>
      <c r="D283" t="str">
        <v>F8R-810</v>
      </c>
      <c r="E283" t="str">
        <v/>
      </c>
      <c r="F283" t="str">
        <v>867806078868827</v>
      </c>
      <c r="G283" t="str">
        <v>TBD</v>
      </c>
      <c r="H283" t="str">
        <v/>
      </c>
      <c r="I283" t="str">
        <v>28/09/2026</v>
      </c>
      <c r="J283" t="str">
        <v>14:01:53</v>
      </c>
      <c r="K283">
        <v>-12.31563</v>
      </c>
      <c r="L283">
        <v>-76.82574</v>
      </c>
      <c r="M283">
        <f>HYPERLINK("https://www.google.com/maps/search/?api=1&amp;query=-12.31563,-76.82574","Punta Hermosa, Lima")</f>
      </c>
      <c r="N283">
        <v>21.2</v>
      </c>
      <c r="O283">
        <v>86</v>
      </c>
      <c r="P283">
        <v>1751.25</v>
      </c>
      <c r="Q283" t="str">
        <v>68.95</v>
      </c>
      <c r="R283" t="str">
        <v>Acelerado y giro brusco</v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F8R-810</v>
      </c>
      <c r="D284" t="str">
        <v>F8R-810</v>
      </c>
      <c r="E284" t="str">
        <v/>
      </c>
      <c r="F284" t="str">
        <v>867806078868827</v>
      </c>
      <c r="G284" t="str">
        <v>TBD</v>
      </c>
      <c r="H284" t="str">
        <v/>
      </c>
      <c r="I284" t="str">
        <v>28/09/2026</v>
      </c>
      <c r="J284" t="str">
        <v>14:02:01</v>
      </c>
      <c r="K284">
        <v>-12.316027</v>
      </c>
      <c r="L284">
        <v>-76.82548</v>
      </c>
      <c r="M284">
        <f>HYPERLINK("https://www.google.com/maps/search/?api=1&amp;query=-12.316027,-76.82548","Punta Hermosa, Lima")</f>
      </c>
      <c r="N284">
        <v>23.5</v>
      </c>
      <c r="O284">
        <v>86</v>
      </c>
      <c r="P284">
        <v>1751.3</v>
      </c>
      <c r="Q284" t="str">
        <v>68.95</v>
      </c>
      <c r="R284" t="str">
        <v>Aceleración brusca</v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F8R-810</v>
      </c>
      <c r="D285" t="str">
        <v>F8R-810</v>
      </c>
      <c r="E285" t="str">
        <v/>
      </c>
      <c r="F285" t="str">
        <v>867806078868827</v>
      </c>
      <c r="G285" t="str">
        <v>TBD</v>
      </c>
      <c r="H285" t="str">
        <v/>
      </c>
      <c r="I285" t="str">
        <v>28/09/2026</v>
      </c>
      <c r="J285" t="str">
        <v>14:02:06</v>
      </c>
      <c r="K285">
        <v>-12.316275</v>
      </c>
      <c r="L285">
        <v>-76.82532</v>
      </c>
      <c r="M285">
        <f>HYPERLINK("https://www.google.com/maps/search/?api=1&amp;query=-12.316275,-76.82532","Punta Hermosa, Lima")</f>
      </c>
      <c r="N285">
        <v>23.1</v>
      </c>
      <c r="O285">
        <v>86</v>
      </c>
      <c r="P285">
        <v>1751.33</v>
      </c>
      <c r="Q285" t="str">
        <v>68.95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F8R-810</v>
      </c>
      <c r="D286" t="str">
        <v>F8R-810</v>
      </c>
      <c r="E286" t="str">
        <v/>
      </c>
      <c r="F286" t="str">
        <v>867806078868827</v>
      </c>
      <c r="G286" t="str">
        <v>TBD</v>
      </c>
      <c r="H286" t="str">
        <v/>
      </c>
      <c r="I286" t="str">
        <v>28/09/2026</v>
      </c>
      <c r="J286" t="str">
        <v>14:02:09</v>
      </c>
      <c r="K286">
        <v>-12.316417</v>
      </c>
      <c r="L286">
        <v>-76.82522</v>
      </c>
      <c r="M286">
        <f>HYPERLINK("https://www.google.com/maps/search/?api=1&amp;query=-12.316417,-76.82522","Punta Hermosa, Lima")</f>
      </c>
      <c r="N286">
        <v>20.9</v>
      </c>
      <c r="O286">
        <v>86</v>
      </c>
      <c r="P286">
        <v>1751.35</v>
      </c>
      <c r="Q286" t="str">
        <v>68.95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F8R-810</v>
      </c>
      <c r="D287" t="str">
        <v>F8R-810</v>
      </c>
      <c r="E287" t="str">
        <v/>
      </c>
      <c r="F287" t="str">
        <v>867806078868827</v>
      </c>
      <c r="G287" t="str">
        <v>TBD</v>
      </c>
      <c r="H287" t="str">
        <v/>
      </c>
      <c r="I287" t="str">
        <v>28/09/2026</v>
      </c>
      <c r="J287" t="str">
        <v>14:02:11</v>
      </c>
      <c r="K287">
        <v>-12.316506</v>
      </c>
      <c r="L287">
        <v>-76.825165</v>
      </c>
      <c r="M287">
        <f>HYPERLINK("https://www.google.com/maps/search/?api=1&amp;query=-12.316506,-76.825165","Punta Hermosa, Lima")</f>
      </c>
      <c r="N287">
        <v>20.5</v>
      </c>
      <c r="O287">
        <v>86</v>
      </c>
      <c r="P287">
        <v>1751.36</v>
      </c>
      <c r="Q287" t="str">
        <v>68.95</v>
      </c>
      <c r="R287" t="str">
        <v>Aceleración brusca</v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F8R-810</v>
      </c>
      <c r="D288" t="str">
        <v>F8R-810</v>
      </c>
      <c r="E288" t="str">
        <v/>
      </c>
      <c r="F288" t="str">
        <v>867806078868827</v>
      </c>
      <c r="G288" t="str">
        <v>TBD</v>
      </c>
      <c r="H288" t="str">
        <v/>
      </c>
      <c r="I288" t="str">
        <v>28/09/2026</v>
      </c>
      <c r="J288" t="str">
        <v>14:02:17</v>
      </c>
      <c r="K288">
        <v>-12.316778</v>
      </c>
      <c r="L288">
        <v>-76.82499</v>
      </c>
      <c r="M288">
        <f>HYPERLINK("https://www.google.com/maps/search/?api=1&amp;query=-12.316778,-76.82499","Punta Hermosa, Lima")</f>
      </c>
      <c r="N288">
        <v>22</v>
      </c>
      <c r="O288">
        <v>85</v>
      </c>
      <c r="P288">
        <v>1751.4</v>
      </c>
      <c r="Q288" t="str">
        <v>68.95</v>
      </c>
      <c r="R288" t="str">
        <v>Aceleración brusca</v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F8R-810</v>
      </c>
      <c r="D289" t="str">
        <v>F8R-810</v>
      </c>
      <c r="E289" t="str">
        <v/>
      </c>
      <c r="F289" t="str">
        <v>867806078868827</v>
      </c>
      <c r="G289" t="str">
        <v>TBD</v>
      </c>
      <c r="H289" t="str">
        <v/>
      </c>
      <c r="I289" t="str">
        <v>28/09/2026</v>
      </c>
      <c r="J289" t="str">
        <v>14:02:23</v>
      </c>
      <c r="K289">
        <v>-12.317068</v>
      </c>
      <c r="L289">
        <v>-76.82481</v>
      </c>
      <c r="M289">
        <f>HYPERLINK("https://www.google.com/maps/search/?api=1&amp;query=-12.317068,-76.82481","Punta Hermosa, Lima")</f>
      </c>
      <c r="N289">
        <v>21.6</v>
      </c>
      <c r="O289">
        <v>86</v>
      </c>
      <c r="P289">
        <v>1751.43</v>
      </c>
      <c r="Q289" t="str">
        <v>68.95</v>
      </c>
      <c r="R289" t="str">
        <v>Acelerado y giro brusco</v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F8R-810</v>
      </c>
      <c r="D290" t="str">
        <v>F8R-810</v>
      </c>
      <c r="E290" t="str">
        <v/>
      </c>
      <c r="F290" t="str">
        <v>867806078868827</v>
      </c>
      <c r="G290" t="str">
        <v>TBD</v>
      </c>
      <c r="H290" t="str">
        <v/>
      </c>
      <c r="I290" t="str">
        <v>28/09/2026</v>
      </c>
      <c r="J290" t="str">
        <v>14:02:34</v>
      </c>
      <c r="K290">
        <v>-12.317495</v>
      </c>
      <c r="L290">
        <v>-76.82454</v>
      </c>
      <c r="M290">
        <f>HYPERLINK("https://www.google.com/maps/search/?api=1&amp;query=-12.317495,-76.82454","Punta Hermosa, Lima")</f>
      </c>
      <c r="N290">
        <v>13.3</v>
      </c>
      <c r="O290">
        <v>86</v>
      </c>
      <c r="P290">
        <v>1751.49</v>
      </c>
      <c r="Q290" t="str">
        <v>68.95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F8R-810</v>
      </c>
      <c r="D291" t="str">
        <v>F8R-810</v>
      </c>
      <c r="E291" t="str">
        <v/>
      </c>
      <c r="F291" t="str">
        <v>867806078868827</v>
      </c>
      <c r="G291" t="str">
        <v>TBD</v>
      </c>
      <c r="H291" t="str">
        <v/>
      </c>
      <c r="I291" t="str">
        <v>28/09/2026</v>
      </c>
      <c r="J291" t="str">
        <v>14:02:36</v>
      </c>
      <c r="K291">
        <v>-12.317567</v>
      </c>
      <c r="L291">
        <v>-76.82446</v>
      </c>
      <c r="M291">
        <f>HYPERLINK("https://www.google.com/maps/search/?api=1&amp;query=-12.317567,-76.82446","Punta Hermosa, Lima")</f>
      </c>
      <c r="N291">
        <v>13.1</v>
      </c>
      <c r="O291">
        <v>85</v>
      </c>
      <c r="P291">
        <v>1751.5</v>
      </c>
      <c r="Q291" t="str">
        <v>68.95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F8R-810</v>
      </c>
      <c r="D292" t="str">
        <v>F8R-810</v>
      </c>
      <c r="E292" t="str">
        <v/>
      </c>
      <c r="F292" t="str">
        <v>867806078868827</v>
      </c>
      <c r="G292" t="str">
        <v>TBD</v>
      </c>
      <c r="H292" t="str">
        <v/>
      </c>
      <c r="I292" t="str">
        <v>28/09/2026</v>
      </c>
      <c r="J292" t="str">
        <v>14:02:38</v>
      </c>
      <c r="K292">
        <v>-12.317583</v>
      </c>
      <c r="L292">
        <v>-76.82444</v>
      </c>
      <c r="M292">
        <f>HYPERLINK("https://www.google.com/maps/search/?api=1&amp;query=-12.317583,-76.82444","Punta Hermosa, Lima")</f>
      </c>
      <c r="N292">
        <v>12.9</v>
      </c>
      <c r="O292">
        <v>85</v>
      </c>
      <c r="P292">
        <v>1751.5</v>
      </c>
      <c r="Q292" t="str">
        <v>68.95</v>
      </c>
      <c r="R292" t="str">
        <v>Acelerado y giro brusco</v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F8R-810</v>
      </c>
      <c r="D293" t="str">
        <v>F8R-810</v>
      </c>
      <c r="E293" t="str">
        <v/>
      </c>
      <c r="F293" t="str">
        <v>867806078868827</v>
      </c>
      <c r="G293" t="str">
        <v>TBD</v>
      </c>
      <c r="H293" t="str">
        <v/>
      </c>
      <c r="I293" t="str">
        <v>28/09/2026</v>
      </c>
      <c r="J293" t="str">
        <v>14:02:41</v>
      </c>
      <c r="K293">
        <v>-12.317654</v>
      </c>
      <c r="L293">
        <v>-76.82434</v>
      </c>
      <c r="M293">
        <f>HYPERLINK("https://www.google.com/maps/search/?api=1&amp;query=-12.317654,-76.82434","Punta Hermosa, Lima")</f>
      </c>
      <c r="N293">
        <v>12.4</v>
      </c>
      <c r="O293">
        <v>85</v>
      </c>
      <c r="P293">
        <v>1751.52</v>
      </c>
      <c r="Q293" t="str">
        <v>68.95</v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F8R-810</v>
      </c>
      <c r="D294" t="str">
        <v>F8R-810</v>
      </c>
      <c r="E294" t="str">
        <v/>
      </c>
      <c r="F294" t="str">
        <v>867806078868827</v>
      </c>
      <c r="G294" t="str">
        <v>TBD</v>
      </c>
      <c r="H294" t="str">
        <v/>
      </c>
      <c r="I294" t="str">
        <v>28/09/2026</v>
      </c>
      <c r="J294" t="str">
        <v>14:02:43</v>
      </c>
      <c r="K294">
        <v>-12.317687</v>
      </c>
      <c r="L294">
        <v>-76.824326</v>
      </c>
      <c r="M294">
        <f>HYPERLINK("https://www.google.com/maps/search/?api=1&amp;query=-12.317687,-76.824326","Punta Hermosa, Lima")</f>
      </c>
      <c r="N294">
        <v>12.4</v>
      </c>
      <c r="O294">
        <v>85</v>
      </c>
      <c r="P294">
        <v>1751.52</v>
      </c>
      <c r="Q294" t="str">
        <v>68.95</v>
      </c>
      <c r="R294" t="str">
        <v>Aceleración brusca</v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F8R-810</v>
      </c>
      <c r="D295" t="str">
        <v>F8R-810</v>
      </c>
      <c r="E295" t="str">
        <v/>
      </c>
      <c r="F295" t="str">
        <v>867806078868827</v>
      </c>
      <c r="G295" t="str">
        <v>TBD</v>
      </c>
      <c r="H295" t="str">
        <v/>
      </c>
      <c r="I295" t="str">
        <v>28/09/2026</v>
      </c>
      <c r="J295" t="str">
        <v>14:03:14</v>
      </c>
      <c r="K295">
        <v>-12.317648</v>
      </c>
      <c r="L295">
        <v>-76.824326</v>
      </c>
      <c r="M295">
        <f>HYPERLINK("https://www.google.com/maps/search/?api=1&amp;query=-12.317648,-76.824326","Punta Hermosa, Lima")</f>
      </c>
      <c r="N295">
        <v>0</v>
      </c>
      <c r="O295">
        <v>85</v>
      </c>
      <c r="P295">
        <v>1751.54</v>
      </c>
      <c r="Q295" t="str">
        <v>69.53</v>
      </c>
      <c r="R295" t="str">
        <v>Vehículo apagado</v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F8R-810</v>
      </c>
      <c r="D296" t="str">
        <v>F8R-810</v>
      </c>
      <c r="E296" t="str">
        <v/>
      </c>
      <c r="F296" t="str">
        <v>867806078868827</v>
      </c>
      <c r="G296" t="str">
        <v>TBD</v>
      </c>
      <c r="H296" t="str">
        <v/>
      </c>
      <c r="I296" t="str">
        <v>28/09/2026</v>
      </c>
      <c r="J296" t="str">
        <v>14:03:14</v>
      </c>
      <c r="K296">
        <v>-12.317648</v>
      </c>
      <c r="L296">
        <v>-76.824326</v>
      </c>
      <c r="M296">
        <f>HYPERLINK("https://www.google.com/maps/search/?api=1&amp;query=-12.317648,-76.824326","Punta Hermosa, Lima")</f>
      </c>
      <c r="N296">
        <v>0</v>
      </c>
      <c r="O296">
        <v>85</v>
      </c>
      <c r="P296">
        <v>1751.54</v>
      </c>
      <c r="Q296" t="str">
        <v>68.95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F8R-810</v>
      </c>
      <c r="D297" t="str">
        <v>F8R-810</v>
      </c>
      <c r="E297" t="str">
        <v/>
      </c>
      <c r="F297" t="str">
        <v>867806078868827</v>
      </c>
      <c r="G297" t="str">
        <v>TBD</v>
      </c>
      <c r="H297" t="str">
        <v/>
      </c>
      <c r="I297" t="str">
        <v>28/09/2026</v>
      </c>
      <c r="J297" t="str">
        <v>14:10:23</v>
      </c>
      <c r="K297">
        <v>-12.317648</v>
      </c>
      <c r="L297">
        <v>-76.824326</v>
      </c>
      <c r="M297">
        <f>HYPERLINK("https://www.google.com/maps/search/?api=1&amp;query=-12.317648,-76.824326","Punta Hermosa, Lima")</f>
      </c>
      <c r="N297">
        <v>0</v>
      </c>
      <c r="O297">
        <v>85</v>
      </c>
      <c r="P297">
        <v>1751.54</v>
      </c>
      <c r="Q297" t="str">
        <v>69.53</v>
      </c>
      <c r="R297" t="str">
        <v>Se detuvo</v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F8R-810</v>
      </c>
      <c r="D298" t="str">
        <v>F8R-810</v>
      </c>
      <c r="E298" t="str">
        <v/>
      </c>
      <c r="F298" t="str">
        <v>867806078868827</v>
      </c>
      <c r="G298" t="str">
        <v>TBD</v>
      </c>
      <c r="H298" t="str">
        <v/>
      </c>
      <c r="I298" t="str">
        <v>28/09/2026</v>
      </c>
      <c r="J298" t="str">
        <v>14:13:14</v>
      </c>
      <c r="K298">
        <v>-12.317648</v>
      </c>
      <c r="L298">
        <v>-76.824326</v>
      </c>
      <c r="M298">
        <f>HYPERLINK("https://www.google.com/maps/search/?api=1&amp;query=-12.317648,-76.824326","Punta Hermosa, Lima")</f>
      </c>
      <c r="N298">
        <v>0</v>
      </c>
      <c r="O298">
        <v>85</v>
      </c>
      <c r="P298">
        <v>1751.54</v>
      </c>
      <c r="Q298" t="str">
        <v>69.53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F8R-810</v>
      </c>
      <c r="D299" t="str">
        <v>F8R-810</v>
      </c>
      <c r="E299" t="str">
        <v/>
      </c>
      <c r="F299" t="str">
        <v>867806078868827</v>
      </c>
      <c r="G299" t="str">
        <v>TBD</v>
      </c>
      <c r="H299" t="str">
        <v/>
      </c>
      <c r="I299" t="str">
        <v>28/09/2026</v>
      </c>
      <c r="J299" t="str">
        <v>14:23:14</v>
      </c>
      <c r="K299">
        <v>-12.317648</v>
      </c>
      <c r="L299">
        <v>-76.824326</v>
      </c>
      <c r="M299">
        <f>HYPERLINK("https://www.google.com/maps/search/?api=1&amp;query=-12.317648,-76.824326","Punta Hermosa, Lima")</f>
      </c>
      <c r="N299">
        <v>0</v>
      </c>
      <c r="O299">
        <v>85</v>
      </c>
      <c r="P299">
        <v>1751.54</v>
      </c>
      <c r="Q299" t="str">
        <v>69.53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F8R-810</v>
      </c>
      <c r="D300" t="str">
        <v>F8R-810</v>
      </c>
      <c r="E300" t="str">
        <v/>
      </c>
      <c r="F300" t="str">
        <v>867806078868827</v>
      </c>
      <c r="G300" t="str">
        <v>TBD</v>
      </c>
      <c r="H300" t="str">
        <v/>
      </c>
      <c r="I300" t="str">
        <v>28/09/2026</v>
      </c>
      <c r="J300" t="str">
        <v>14:33:14</v>
      </c>
      <c r="K300">
        <v>-12.317648</v>
      </c>
      <c r="L300">
        <v>-76.824326</v>
      </c>
      <c r="M300">
        <f>HYPERLINK("https://www.google.com/maps/search/?api=1&amp;query=-12.317648,-76.824326","Punta Hermosa, Lima")</f>
      </c>
      <c r="N300">
        <v>0</v>
      </c>
      <c r="O300">
        <v>92</v>
      </c>
      <c r="P300">
        <v>1751.54</v>
      </c>
      <c r="Q300" t="str">
        <v>69.53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F8R-810</v>
      </c>
      <c r="D301" t="str">
        <v>F8R-810</v>
      </c>
      <c r="E301" t="str">
        <v/>
      </c>
      <c r="F301" t="str">
        <v>867806078868827</v>
      </c>
      <c r="G301" t="str">
        <v>TBD</v>
      </c>
      <c r="H301" t="str">
        <v/>
      </c>
      <c r="I301" t="str">
        <v>28/09/2026</v>
      </c>
      <c r="J301" t="str">
        <v>14:43:14</v>
      </c>
      <c r="K301">
        <v>-12.317648</v>
      </c>
      <c r="L301">
        <v>-76.824326</v>
      </c>
      <c r="M301">
        <f>HYPERLINK("https://www.google.com/maps/search/?api=1&amp;query=-12.317648,-76.824326","Punta Hermosa, Lima")</f>
      </c>
      <c r="N301">
        <v>0</v>
      </c>
      <c r="O301">
        <v>92</v>
      </c>
      <c r="P301">
        <v>1751.54</v>
      </c>
      <c r="Q301" t="str">
        <v>69.53</v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F8R-810</v>
      </c>
      <c r="D302" t="str">
        <v>F8R-810</v>
      </c>
      <c r="E302" t="str">
        <v/>
      </c>
      <c r="F302" t="str">
        <v>867806078868827</v>
      </c>
      <c r="G302" t="str">
        <v>TBD</v>
      </c>
      <c r="H302" t="str">
        <v/>
      </c>
      <c r="I302" t="str">
        <v>28/09/2026</v>
      </c>
      <c r="J302" t="str">
        <v>14:53:14</v>
      </c>
      <c r="K302">
        <v>-12.317648</v>
      </c>
      <c r="L302">
        <v>-76.824326</v>
      </c>
      <c r="M302">
        <f>HYPERLINK("https://www.google.com/maps/search/?api=1&amp;query=-12.317648,-76.824326","Punta Hermosa, Lima")</f>
      </c>
      <c r="N302">
        <v>0</v>
      </c>
      <c r="O302">
        <v>92</v>
      </c>
      <c r="P302">
        <v>1751.54</v>
      </c>
      <c r="Q302" t="str">
        <v>69.53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F8R-810</v>
      </c>
      <c r="D303" t="str">
        <v>F8R-810</v>
      </c>
      <c r="E303" t="str">
        <v/>
      </c>
      <c r="F303" t="str">
        <v>867806078868827</v>
      </c>
      <c r="G303" t="str">
        <v>TBD</v>
      </c>
      <c r="H303" t="str">
        <v/>
      </c>
      <c r="I303" t="str">
        <v>28/09/2026</v>
      </c>
      <c r="J303" t="str">
        <v>15:03:14</v>
      </c>
      <c r="K303">
        <v>-12.317648</v>
      </c>
      <c r="L303">
        <v>-76.824326</v>
      </c>
      <c r="M303">
        <f>HYPERLINK("https://www.google.com/maps/search/?api=1&amp;query=-12.317648,-76.824326","Punta Hermosa, Lima")</f>
      </c>
      <c r="N303">
        <v>0</v>
      </c>
      <c r="O303">
        <v>97</v>
      </c>
      <c r="P303">
        <v>1751.54</v>
      </c>
      <c r="Q303" t="str">
        <v>69.53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F8R-810</v>
      </c>
      <c r="D304" t="str">
        <v>F8R-810</v>
      </c>
      <c r="E304" t="str">
        <v/>
      </c>
      <c r="F304" t="str">
        <v>867806078868827</v>
      </c>
      <c r="G304" t="str">
        <v>TBD</v>
      </c>
      <c r="H304" t="str">
        <v/>
      </c>
      <c r="I304" t="str">
        <v>28/09/2026</v>
      </c>
      <c r="J304" t="str">
        <v>15:13:14</v>
      </c>
      <c r="K304">
        <v>-12.317648</v>
      </c>
      <c r="L304">
        <v>-76.824326</v>
      </c>
      <c r="M304">
        <f>HYPERLINK("https://www.google.com/maps/search/?api=1&amp;query=-12.317648,-76.824326","Punta Hermosa, Lima")</f>
      </c>
      <c r="N304">
        <v>0</v>
      </c>
      <c r="O304">
        <v>97</v>
      </c>
      <c r="P304">
        <v>1751.54</v>
      </c>
      <c r="Q304" t="str">
        <v>69.53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F8R-810</v>
      </c>
      <c r="D305" t="str">
        <v>F8R-810</v>
      </c>
      <c r="E305" t="str">
        <v/>
      </c>
      <c r="F305" t="str">
        <v>867806078868827</v>
      </c>
      <c r="G305" t="str">
        <v>TBD</v>
      </c>
      <c r="H305" t="str">
        <v/>
      </c>
      <c r="I305" t="str">
        <v>28/09/2026</v>
      </c>
      <c r="J305" t="str">
        <v>15:23:14</v>
      </c>
      <c r="K305">
        <v>-12.317648</v>
      </c>
      <c r="L305">
        <v>-76.824326</v>
      </c>
      <c r="M305">
        <f>HYPERLINK("https://www.google.com/maps/search/?api=1&amp;query=-12.317648,-76.824326","Punta Hermosa, Lima")</f>
      </c>
      <c r="N305">
        <v>0</v>
      </c>
      <c r="O305">
        <v>97</v>
      </c>
      <c r="P305">
        <v>1751.54</v>
      </c>
      <c r="Q305" t="str">
        <v>69.53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F8R-810</v>
      </c>
      <c r="D306" t="str">
        <v>F8R-810</v>
      </c>
      <c r="E306" t="str">
        <v/>
      </c>
      <c r="F306" t="str">
        <v>867806078868827</v>
      </c>
      <c r="G306" t="str">
        <v>TBD</v>
      </c>
      <c r="H306" t="str">
        <v/>
      </c>
      <c r="I306" t="str">
        <v>28/09/2026</v>
      </c>
      <c r="J306" t="str">
        <v>15:31:15</v>
      </c>
      <c r="K306">
        <v>-12.31771</v>
      </c>
      <c r="L306">
        <v>-76.82453</v>
      </c>
      <c r="M306">
        <f>HYPERLINK("https://www.google.com/maps/search/?api=1&amp;query=-12.31771,-76.82453","Punta Hermosa, Lima")</f>
      </c>
      <c r="N306">
        <v>0</v>
      </c>
      <c r="O306">
        <v>97</v>
      </c>
      <c r="P306">
        <v>1751.54</v>
      </c>
      <c r="Q306" t="str">
        <v>69.53</v>
      </c>
      <c r="R306" t="str">
        <v>Vehículo encendido</v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F8R-810</v>
      </c>
      <c r="D307" t="str">
        <v>F8R-810</v>
      </c>
      <c r="E307" t="str">
        <v/>
      </c>
      <c r="F307" t="str">
        <v>867806078868827</v>
      </c>
      <c r="G307" t="str">
        <v>TBD</v>
      </c>
      <c r="H307" t="str">
        <v/>
      </c>
      <c r="I307" t="str">
        <v>28/09/2026</v>
      </c>
      <c r="J307" t="str">
        <v>15:31:30</v>
      </c>
      <c r="K307">
        <v>-12.31771</v>
      </c>
      <c r="L307">
        <v>-76.82453</v>
      </c>
      <c r="M307">
        <f>HYPERLINK("https://www.google.com/maps/search/?api=1&amp;query=-12.31771,-76.82453","Punta Hermosa, Lima")</f>
      </c>
      <c r="N307">
        <v>0</v>
      </c>
      <c r="O307">
        <v>97</v>
      </c>
      <c r="P307">
        <v>1751.56</v>
      </c>
      <c r="Q307" t="str">
        <v>69.53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F8R-810</v>
      </c>
      <c r="D308" t="str">
        <v>F8R-810</v>
      </c>
      <c r="E308" t="str">
        <v/>
      </c>
      <c r="F308" t="str">
        <v>867806078868827</v>
      </c>
      <c r="G308" t="str">
        <v>TBD</v>
      </c>
      <c r="H308" t="str">
        <v/>
      </c>
      <c r="I308" t="str">
        <v>28/09/2026</v>
      </c>
      <c r="J308" t="str">
        <v>15:31:59</v>
      </c>
      <c r="K308">
        <v>-12.317763</v>
      </c>
      <c r="L308">
        <v>-76.824455</v>
      </c>
      <c r="M308">
        <f>HYPERLINK("https://www.google.com/maps/search/?api=1&amp;query=-12.317763,-76.824455","Punta Hermosa, Lima")</f>
      </c>
      <c r="N308">
        <v>6.4</v>
      </c>
      <c r="O308">
        <v>97</v>
      </c>
      <c r="P308">
        <v>1751.57</v>
      </c>
      <c r="Q308" t="str">
        <v>69.53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F8R-810</v>
      </c>
      <c r="D309" t="str">
        <v>F8R-810</v>
      </c>
      <c r="E309" t="str">
        <v/>
      </c>
      <c r="F309" t="str">
        <v>867806078868827</v>
      </c>
      <c r="G309" t="str">
        <v>TBD</v>
      </c>
      <c r="H309" t="str">
        <v/>
      </c>
      <c r="I309" t="str">
        <v>28/09/2026</v>
      </c>
      <c r="J309" t="str">
        <v>15:32:04</v>
      </c>
      <c r="K309">
        <v>-12.317848</v>
      </c>
      <c r="L309">
        <v>-76.82444</v>
      </c>
      <c r="M309">
        <f>HYPERLINK("https://www.google.com/maps/search/?api=1&amp;query=-12.317848,-76.82444","Punta Hermosa, Lima")</f>
      </c>
      <c r="N309">
        <v>6.8</v>
      </c>
      <c r="O309">
        <v>97</v>
      </c>
      <c r="P309">
        <v>1751.58</v>
      </c>
      <c r="Q309" t="str">
        <v>69.53</v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F8R-810</v>
      </c>
      <c r="D310" t="str">
        <v>F8R-810</v>
      </c>
      <c r="E310" t="str">
        <v/>
      </c>
      <c r="F310" t="str">
        <v>867806078868827</v>
      </c>
      <c r="G310" t="str">
        <v>TBD</v>
      </c>
      <c r="H310" t="str">
        <v/>
      </c>
      <c r="I310" t="str">
        <v>28/09/2026</v>
      </c>
      <c r="J310" t="str">
        <v>15:33:04</v>
      </c>
      <c r="K310">
        <v>-12.317779</v>
      </c>
      <c r="L310">
        <v>-76.824356</v>
      </c>
      <c r="M310">
        <f>HYPERLINK("https://www.google.com/maps/search/?api=1&amp;query=-12.317779,-76.824356","Punta Hermosa, Lima")</f>
      </c>
      <c r="N310">
        <v>0</v>
      </c>
      <c r="O310">
        <v>97</v>
      </c>
      <c r="P310">
        <v>1751.6</v>
      </c>
      <c r="Q310" t="str">
        <v>69.53</v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F8R-810</v>
      </c>
      <c r="D311" t="str">
        <v>F8R-810</v>
      </c>
      <c r="E311" t="str">
        <v/>
      </c>
      <c r="F311" t="str">
        <v>867806078868827</v>
      </c>
      <c r="G311" t="str">
        <v>TBD</v>
      </c>
      <c r="H311" t="str">
        <v/>
      </c>
      <c r="I311" t="str">
        <v>28/09/2026</v>
      </c>
      <c r="J311" t="str">
        <v>15:34:04</v>
      </c>
      <c r="K311">
        <v>-12.317779</v>
      </c>
      <c r="L311">
        <v>-76.824356</v>
      </c>
      <c r="M311">
        <f>HYPERLINK("https://www.google.com/maps/search/?api=1&amp;query=-12.317779,-76.824356","Punta Hermosa, Lima")</f>
      </c>
      <c r="N311">
        <v>0</v>
      </c>
      <c r="O311">
        <v>97</v>
      </c>
      <c r="P311">
        <v>1751.6</v>
      </c>
      <c r="Q311" t="str">
        <v>69.53</v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F8R-810</v>
      </c>
      <c r="D312" t="str">
        <v>F8R-810</v>
      </c>
      <c r="E312" t="str">
        <v/>
      </c>
      <c r="F312" t="str">
        <v>867806078868827</v>
      </c>
      <c r="G312" t="str">
        <v>TBD</v>
      </c>
      <c r="H312" t="str">
        <v/>
      </c>
      <c r="I312" t="str">
        <v>28/09/2026</v>
      </c>
      <c r="J312" t="str">
        <v>15:34:30</v>
      </c>
      <c r="K312">
        <v>-12.317779</v>
      </c>
      <c r="L312">
        <v>-76.824356</v>
      </c>
      <c r="M312">
        <f>HYPERLINK("https://www.google.com/maps/search/?api=1&amp;query=-12.317779,-76.824356","Punta Hermosa, Lima")</f>
      </c>
      <c r="N312">
        <v>0</v>
      </c>
      <c r="O312">
        <v>97</v>
      </c>
      <c r="P312">
        <v>1751.6</v>
      </c>
      <c r="Q312" t="str">
        <v>69.53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F8R-810</v>
      </c>
      <c r="D313" t="str">
        <v>F8R-810</v>
      </c>
      <c r="E313" t="str">
        <v/>
      </c>
      <c r="F313" t="str">
        <v>867806078868827</v>
      </c>
      <c r="G313" t="str">
        <v>TBD</v>
      </c>
      <c r="H313" t="str">
        <v/>
      </c>
      <c r="I313" t="str">
        <v>28/09/2026</v>
      </c>
      <c r="J313" t="str">
        <v>15:34:48</v>
      </c>
      <c r="K313">
        <v>-12.317779</v>
      </c>
      <c r="L313">
        <v>-76.824356</v>
      </c>
      <c r="M313">
        <f>HYPERLINK("https://www.google.com/maps/search/?api=1&amp;query=-12.317779,-76.824356","Punta Hermosa, Lima")</f>
      </c>
      <c r="N313">
        <v>0</v>
      </c>
      <c r="O313">
        <v>97</v>
      </c>
      <c r="P313">
        <v>1751.6</v>
      </c>
      <c r="Q313" t="str">
        <v>69.60</v>
      </c>
      <c r="R313" t="str">
        <v>Vehículo apagado</v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F8R-810</v>
      </c>
      <c r="D314" t="str">
        <v>F8R-810</v>
      </c>
      <c r="E314" t="str">
        <v/>
      </c>
      <c r="F314" t="str">
        <v>867806078868827</v>
      </c>
      <c r="G314" t="str">
        <v>TBD</v>
      </c>
      <c r="H314" t="str">
        <v/>
      </c>
      <c r="I314" t="str">
        <v>28/09/2026</v>
      </c>
      <c r="J314" t="str">
        <v>15:34:48</v>
      </c>
      <c r="K314">
        <v>-12.317779</v>
      </c>
      <c r="L314">
        <v>-76.824356</v>
      </c>
      <c r="M314">
        <f>HYPERLINK("https://www.google.com/maps/search/?api=1&amp;query=-12.317779,-76.824356","Punta Hermosa, Lima")</f>
      </c>
      <c r="N314">
        <v>0</v>
      </c>
      <c r="O314">
        <v>97</v>
      </c>
      <c r="P314">
        <v>1751.6</v>
      </c>
      <c r="Q314" t="str">
        <v>69.53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F8R-810</v>
      </c>
      <c r="D315" t="str">
        <v>F8R-810</v>
      </c>
      <c r="E315" t="str">
        <v/>
      </c>
      <c r="F315" t="str">
        <v>867806078868827</v>
      </c>
      <c r="G315" t="str">
        <v>TBD</v>
      </c>
      <c r="H315" t="str">
        <v/>
      </c>
      <c r="I315" t="str">
        <v>28/09/2026</v>
      </c>
      <c r="J315" t="str">
        <v>15:42:14</v>
      </c>
      <c r="K315">
        <v>-12.317779</v>
      </c>
      <c r="L315">
        <v>-76.824356</v>
      </c>
      <c r="M315">
        <f>HYPERLINK("https://www.google.com/maps/search/?api=1&amp;query=-12.317779,-76.824356","Punta Hermosa, Lima")</f>
      </c>
      <c r="N315">
        <v>0</v>
      </c>
      <c r="O315">
        <v>97</v>
      </c>
      <c r="P315">
        <v>1751.6</v>
      </c>
      <c r="Q315" t="str">
        <v>69.60</v>
      </c>
      <c r="R315" t="str">
        <v>Se detuvo</v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F8R-810</v>
      </c>
      <c r="D316" t="str">
        <v>F8R-810</v>
      </c>
      <c r="E316" t="str">
        <v/>
      </c>
      <c r="F316" t="str">
        <v>867806078868827</v>
      </c>
      <c r="G316" t="str">
        <v>TBD</v>
      </c>
      <c r="H316" t="str">
        <v/>
      </c>
      <c r="I316" t="str">
        <v>28/09/2026</v>
      </c>
      <c r="J316" t="str">
        <v>15:44:48</v>
      </c>
      <c r="K316">
        <v>-12.317779</v>
      </c>
      <c r="L316">
        <v>-76.824356</v>
      </c>
      <c r="M316">
        <f>HYPERLINK("https://www.google.com/maps/search/?api=1&amp;query=-12.317779,-76.824356","Punta Hermosa, Lima")</f>
      </c>
      <c r="N316">
        <v>0</v>
      </c>
      <c r="O316">
        <v>97</v>
      </c>
      <c r="P316">
        <v>1751.6</v>
      </c>
      <c r="Q316" t="str">
        <v>69.60</v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F8R-810</v>
      </c>
      <c r="D317" t="str">
        <v>F8R-810</v>
      </c>
      <c r="E317" t="str">
        <v/>
      </c>
      <c r="F317" t="str">
        <v>867806078868827</v>
      </c>
      <c r="G317" t="str">
        <v>TBD</v>
      </c>
      <c r="H317" t="str">
        <v/>
      </c>
      <c r="I317" t="str">
        <v>28/09/2026</v>
      </c>
      <c r="J317" t="str">
        <v>15:44:54</v>
      </c>
      <c r="K317">
        <v>-12.317779</v>
      </c>
      <c r="L317">
        <v>-76.824356</v>
      </c>
      <c r="M317">
        <f>HYPERLINK("https://www.google.com/maps/search/?api=1&amp;query=-12.317779,-76.824356","Punta Hermosa, Lima")</f>
      </c>
      <c r="N317">
        <v>0</v>
      </c>
      <c r="O317">
        <v>97</v>
      </c>
      <c r="P317">
        <v>1751.6</v>
      </c>
      <c r="Q317" t="str">
        <v>69.60</v>
      </c>
      <c r="R317" t="str">
        <v>Encendido o Entró en cobertura</v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F8R-810</v>
      </c>
      <c r="D318" t="str">
        <v>F8R-810</v>
      </c>
      <c r="E318" t="str">
        <v/>
      </c>
      <c r="F318" t="str">
        <v>867806078868827</v>
      </c>
      <c r="G318" t="str">
        <v>TBD</v>
      </c>
      <c r="H318" t="str">
        <v/>
      </c>
      <c r="I318" t="str">
        <v>28/09/2026</v>
      </c>
      <c r="J318" t="str">
        <v>15:54:48</v>
      </c>
      <c r="K318">
        <v>-12.317779</v>
      </c>
      <c r="L318">
        <v>-76.824356</v>
      </c>
      <c r="M318">
        <f>HYPERLINK("https://www.google.com/maps/search/?api=1&amp;query=-12.317779,-76.824356","Punta Hermosa, Lima")</f>
      </c>
      <c r="N318">
        <v>0</v>
      </c>
      <c r="O318">
        <v>97</v>
      </c>
      <c r="P318">
        <v>1751.6</v>
      </c>
      <c r="Q318" t="str">
        <v>69.60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F8R-810</v>
      </c>
      <c r="D319" t="str">
        <v>F8R-810</v>
      </c>
      <c r="E319" t="str">
        <v/>
      </c>
      <c r="F319" t="str">
        <v>867806078868827</v>
      </c>
      <c r="G319" t="str">
        <v>TBD</v>
      </c>
      <c r="H319" t="str">
        <v/>
      </c>
      <c r="I319" t="str">
        <v>28/09/2026</v>
      </c>
      <c r="J319" t="str">
        <v>16:04:48</v>
      </c>
      <c r="K319">
        <v>-12.317779</v>
      </c>
      <c r="L319">
        <v>-76.824356</v>
      </c>
      <c r="M319">
        <f>HYPERLINK("https://www.google.com/maps/search/?api=1&amp;query=-12.317779,-76.824356","Punta Hermosa, Lima")</f>
      </c>
      <c r="N319">
        <v>0</v>
      </c>
      <c r="O319">
        <v>93</v>
      </c>
      <c r="P319">
        <v>1751.6</v>
      </c>
      <c r="Q319" t="str">
        <v>69.60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F8R-810</v>
      </c>
      <c r="D320" t="str">
        <v>F8R-810</v>
      </c>
      <c r="E320" t="str">
        <v/>
      </c>
      <c r="F320" t="str">
        <v>867806078868827</v>
      </c>
      <c r="G320" t="str">
        <v>TBD</v>
      </c>
      <c r="H320" t="str">
        <v/>
      </c>
      <c r="I320" t="str">
        <v>28/09/2026</v>
      </c>
      <c r="J320" t="str">
        <v>16:15:25</v>
      </c>
      <c r="K320">
        <v>-12.317779</v>
      </c>
      <c r="L320">
        <v>-76.824356</v>
      </c>
      <c r="M320">
        <f>HYPERLINK("https://www.google.com/maps/search/?api=1&amp;query=-12.317779,-76.824356","Punta Hermosa, Lima")</f>
      </c>
      <c r="N320">
        <v>0</v>
      </c>
      <c r="O320">
        <v>93</v>
      </c>
      <c r="P320">
        <v>1751.6</v>
      </c>
      <c r="Q320" t="str">
        <v>69.60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F8R-810</v>
      </c>
      <c r="D321" t="str">
        <v>F8R-810</v>
      </c>
      <c r="E321" t="str">
        <v/>
      </c>
      <c r="F321" t="str">
        <v>867806078868827</v>
      </c>
      <c r="G321" t="str">
        <v>TBD</v>
      </c>
      <c r="H321" t="str">
        <v/>
      </c>
      <c r="I321" t="str">
        <v>28/09/2026</v>
      </c>
      <c r="J321" t="str">
        <v>16:25:25</v>
      </c>
      <c r="K321">
        <v>-12.317779</v>
      </c>
      <c r="L321">
        <v>-76.824356</v>
      </c>
      <c r="M321">
        <f>HYPERLINK("https://www.google.com/maps/search/?api=1&amp;query=-12.317779,-76.824356","Punta Hermosa, Lima")</f>
      </c>
      <c r="N321">
        <v>0</v>
      </c>
      <c r="O321">
        <v>83</v>
      </c>
      <c r="P321">
        <v>1751.6</v>
      </c>
      <c r="Q321" t="str">
        <v>69.60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F8R-810</v>
      </c>
      <c r="D322" t="str">
        <v>F8R-810</v>
      </c>
      <c r="E322" t="str">
        <v/>
      </c>
      <c r="F322" t="str">
        <v>867806078868827</v>
      </c>
      <c r="G322" t="str">
        <v>TBD</v>
      </c>
      <c r="H322" t="str">
        <v/>
      </c>
      <c r="I322" t="str">
        <v>28/09/2026</v>
      </c>
      <c r="J322" t="str">
        <v>16:27:28</v>
      </c>
      <c r="K322">
        <v>-12.317748</v>
      </c>
      <c r="L322">
        <v>-76.824524</v>
      </c>
      <c r="M322">
        <f>HYPERLINK("https://www.google.com/maps/search/?api=1&amp;query=-12.317748,-76.824524","Punta Hermosa, Lima")</f>
      </c>
      <c r="N322">
        <v>0</v>
      </c>
      <c r="O322">
        <v>83</v>
      </c>
      <c r="P322">
        <v>1751.6</v>
      </c>
      <c r="Q322" t="str">
        <v>69.60</v>
      </c>
      <c r="R322" t="str">
        <v>Vehículo encendido</v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F8R-810</v>
      </c>
      <c r="D323" t="str">
        <v>F8R-810</v>
      </c>
      <c r="E323" t="str">
        <v/>
      </c>
      <c r="F323" t="str">
        <v>867806078868827</v>
      </c>
      <c r="G323" t="str">
        <v>TBD</v>
      </c>
      <c r="H323" t="str">
        <v/>
      </c>
      <c r="I323" t="str">
        <v>28/09/2026</v>
      </c>
      <c r="J323" t="str">
        <v>16:27:37</v>
      </c>
      <c r="K323">
        <v>-12.317748</v>
      </c>
      <c r="L323">
        <v>-76.824524</v>
      </c>
      <c r="M323">
        <f>HYPERLINK("https://www.google.com/maps/search/?api=1&amp;query=-12.317748,-76.824524","Punta Hermosa, Lima")</f>
      </c>
      <c r="N323">
        <v>0</v>
      </c>
      <c r="O323">
        <v>83</v>
      </c>
      <c r="P323">
        <v>1751.62</v>
      </c>
      <c r="Q323" t="str">
        <v>69.60</v>
      </c>
      <c r="R323" t="str">
        <v>Vehículo apagado</v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F8R-810</v>
      </c>
      <c r="D324" t="str">
        <v>F8R-810</v>
      </c>
      <c r="E324" t="str">
        <v/>
      </c>
      <c r="F324" t="str">
        <v>867806078868827</v>
      </c>
      <c r="G324" t="str">
        <v>TBD</v>
      </c>
      <c r="H324" t="str">
        <v/>
      </c>
      <c r="I324" t="str">
        <v>28/09/2026</v>
      </c>
      <c r="J324" t="str">
        <v>16:32:56</v>
      </c>
      <c r="K324">
        <v>-12.317748</v>
      </c>
      <c r="L324">
        <v>-76.82443</v>
      </c>
      <c r="M324">
        <f>HYPERLINK("https://www.google.com/maps/search/?api=1&amp;query=-12.317748,-76.82443","Punta Hermosa, Lima")</f>
      </c>
      <c r="N324">
        <v>0</v>
      </c>
      <c r="O324">
        <v>83</v>
      </c>
      <c r="P324">
        <v>1751.62</v>
      </c>
      <c r="Q324" t="str">
        <v>69.60</v>
      </c>
      <c r="R324" t="str">
        <v>Vehículo encendido</v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F8R-810</v>
      </c>
      <c r="D325" t="str">
        <v>F8R-810</v>
      </c>
      <c r="E325" t="str">
        <v/>
      </c>
      <c r="F325" t="str">
        <v>867806078868827</v>
      </c>
      <c r="G325" t="str">
        <v>TBD</v>
      </c>
      <c r="H325" t="str">
        <v/>
      </c>
      <c r="I325" t="str">
        <v>28/09/2026</v>
      </c>
      <c r="J325" t="str">
        <v>16:33:20</v>
      </c>
      <c r="K325">
        <v>-12.317748</v>
      </c>
      <c r="L325">
        <v>-76.82443</v>
      </c>
      <c r="M325">
        <f>HYPERLINK("https://www.google.com/maps/search/?api=1&amp;query=-12.317748,-76.82443","Punta Hermosa, Lima")</f>
      </c>
      <c r="N325">
        <v>0</v>
      </c>
      <c r="O325">
        <v>83</v>
      </c>
      <c r="P325">
        <v>1751.63</v>
      </c>
      <c r="Q325" t="str">
        <v>69.60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F8R-810</v>
      </c>
      <c r="D326" t="str">
        <v>F8R-810</v>
      </c>
      <c r="E326" t="str">
        <v/>
      </c>
      <c r="F326" t="str">
        <v>867806078868827</v>
      </c>
      <c r="G326" t="str">
        <v>TBD</v>
      </c>
      <c r="H326" t="str">
        <v/>
      </c>
      <c r="I326" t="str">
        <v>28/09/2026</v>
      </c>
      <c r="J326" t="str">
        <v>16:33:56</v>
      </c>
      <c r="K326">
        <v>-12.317748</v>
      </c>
      <c r="L326">
        <v>-76.82443</v>
      </c>
      <c r="M326">
        <f>HYPERLINK("https://www.google.com/maps/search/?api=1&amp;query=-12.317748,-76.82443","Punta Hermosa, Lima")</f>
      </c>
      <c r="N326">
        <v>0</v>
      </c>
      <c r="O326">
        <v>83</v>
      </c>
      <c r="P326">
        <v>1751.63</v>
      </c>
      <c r="Q326" t="str">
        <v>69.60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F8R-810</v>
      </c>
      <c r="D327" t="str">
        <v>F8R-810</v>
      </c>
      <c r="E327" t="str">
        <v/>
      </c>
      <c r="F327" t="str">
        <v>867806078868827</v>
      </c>
      <c r="G327" t="str">
        <v>TBD</v>
      </c>
      <c r="H327" t="str">
        <v/>
      </c>
      <c r="I327" t="str">
        <v>28/09/2026</v>
      </c>
      <c r="J327" t="str">
        <v>16:34:23</v>
      </c>
      <c r="K327">
        <v>-12.317712</v>
      </c>
      <c r="L327">
        <v>-76.82449</v>
      </c>
      <c r="M327">
        <f>HYPERLINK("https://www.google.com/maps/search/?api=1&amp;query=-12.317712,-76.82449","Punta Hermosa, Lima")</f>
      </c>
      <c r="N327">
        <v>6.1</v>
      </c>
      <c r="O327">
        <v>83</v>
      </c>
      <c r="P327">
        <v>1751.64</v>
      </c>
      <c r="Q327" t="str">
        <v>69.60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F8R-810</v>
      </c>
      <c r="D328" t="str">
        <v>F8R-810</v>
      </c>
      <c r="E328" t="str">
        <v/>
      </c>
      <c r="F328" t="str">
        <v>867806078868827</v>
      </c>
      <c r="G328" t="str">
        <v>TBD</v>
      </c>
      <c r="H328" t="str">
        <v/>
      </c>
      <c r="I328" t="str">
        <v>28/09/2026</v>
      </c>
      <c r="J328" t="str">
        <v>16:34:24</v>
      </c>
      <c r="K328">
        <v>-12.317712</v>
      </c>
      <c r="L328">
        <v>-76.82449</v>
      </c>
      <c r="M328">
        <f>HYPERLINK("https://www.google.com/maps/search/?api=1&amp;query=-12.317712,-76.82449","Punta Hermosa, Lima")</f>
      </c>
      <c r="N328">
        <v>6.1</v>
      </c>
      <c r="O328">
        <v>83</v>
      </c>
      <c r="P328">
        <v>1751.64</v>
      </c>
      <c r="Q328" t="str">
        <v>69.60</v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F8R-810</v>
      </c>
      <c r="D329" t="str">
        <v>F8R-810</v>
      </c>
      <c r="E329" t="str">
        <v/>
      </c>
      <c r="F329" t="str">
        <v>867806078868827</v>
      </c>
      <c r="G329" t="str">
        <v>TBD</v>
      </c>
      <c r="H329" t="str">
        <v/>
      </c>
      <c r="I329" t="str">
        <v>28/09/2026</v>
      </c>
      <c r="J329" t="str">
        <v>16:34:28</v>
      </c>
      <c r="K329">
        <v>-12.317647</v>
      </c>
      <c r="L329">
        <v>-76.82455</v>
      </c>
      <c r="M329">
        <f>HYPERLINK("https://www.google.com/maps/search/?api=1&amp;query=-12.317647,-76.82455","Punta Hermosa, Lima")</f>
      </c>
      <c r="N329">
        <v>7.2</v>
      </c>
      <c r="O329">
        <v>83</v>
      </c>
      <c r="P329">
        <v>1751.65</v>
      </c>
      <c r="Q329" t="str">
        <v>69.60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F8R-810</v>
      </c>
      <c r="D330" t="str">
        <v>F8R-810</v>
      </c>
      <c r="E330" t="str">
        <v/>
      </c>
      <c r="F330" t="str">
        <v>867806078868827</v>
      </c>
      <c r="G330" t="str">
        <v>TBD</v>
      </c>
      <c r="H330" t="str">
        <v/>
      </c>
      <c r="I330" t="str">
        <v>28/09/2026</v>
      </c>
      <c r="J330" t="str">
        <v>16:34:30</v>
      </c>
      <c r="K330">
        <v>-12.317628</v>
      </c>
      <c r="L330">
        <v>-76.82456</v>
      </c>
      <c r="M330">
        <f>HYPERLINK("https://www.google.com/maps/search/?api=1&amp;query=-12.317628,-76.82456","Punta Hermosa, Lima")</f>
      </c>
      <c r="N330">
        <v>7.4</v>
      </c>
      <c r="O330">
        <v>83</v>
      </c>
      <c r="P330">
        <v>1751.65</v>
      </c>
      <c r="Q330" t="str">
        <v>69.60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F8R-810</v>
      </c>
      <c r="D331" t="str">
        <v>F8R-810</v>
      </c>
      <c r="E331" t="str">
        <v/>
      </c>
      <c r="F331" t="str">
        <v>867806078868827</v>
      </c>
      <c r="G331" t="str">
        <v>TBD</v>
      </c>
      <c r="H331" t="str">
        <v/>
      </c>
      <c r="I331" t="str">
        <v>28/09/2026</v>
      </c>
      <c r="J331" t="str">
        <v>16:34:37</v>
      </c>
      <c r="K331">
        <v>-12.317473</v>
      </c>
      <c r="L331">
        <v>-76.82464</v>
      </c>
      <c r="M331">
        <f>HYPERLINK("https://www.google.com/maps/search/?api=1&amp;query=-12.317473,-76.82464","Punta Hermosa, Lima")</f>
      </c>
      <c r="N331">
        <v>7.7</v>
      </c>
      <c r="O331">
        <v>89</v>
      </c>
      <c r="P331">
        <v>1751.67</v>
      </c>
      <c r="Q331" t="str">
        <v>69.60</v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F8R-810</v>
      </c>
      <c r="D332" t="str">
        <v>F8R-810</v>
      </c>
      <c r="E332" t="str">
        <v/>
      </c>
      <c r="F332" t="str">
        <v>867806078868827</v>
      </c>
      <c r="G332" t="str">
        <v>TBD</v>
      </c>
      <c r="H332" t="str">
        <v/>
      </c>
      <c r="I332" t="str">
        <v>28/09/2026</v>
      </c>
      <c r="J332" t="str">
        <v>16:34:42</v>
      </c>
      <c r="K332">
        <v>-12.31738</v>
      </c>
      <c r="L332">
        <v>-76.824684</v>
      </c>
      <c r="M332">
        <f>HYPERLINK("https://www.google.com/maps/search/?api=1&amp;query=-12.31738,-76.824684","Punta Hermosa, Lima")</f>
      </c>
      <c r="N332">
        <v>8.5</v>
      </c>
      <c r="O332">
        <v>89</v>
      </c>
      <c r="P332">
        <v>1751.68</v>
      </c>
      <c r="Q332" t="str">
        <v>69.60</v>
      </c>
      <c r="R332" t="str">
        <v>Aceleración brusca</v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F8R-810</v>
      </c>
      <c r="D333" t="str">
        <v>F8R-810</v>
      </c>
      <c r="E333" t="str">
        <v/>
      </c>
      <c r="F333" t="str">
        <v>867806078868827</v>
      </c>
      <c r="G333" t="str">
        <v>TBD</v>
      </c>
      <c r="H333" t="str">
        <v/>
      </c>
      <c r="I333" t="str">
        <v>28/09/2026</v>
      </c>
      <c r="J333" t="str">
        <v>16:34:56</v>
      </c>
      <c r="K333">
        <v>-12.317075</v>
      </c>
      <c r="L333">
        <v>-76.82486</v>
      </c>
      <c r="M333">
        <f>HYPERLINK("https://www.google.com/maps/search/?api=1&amp;query=-12.317075,-76.82486","Punta Hermosa, Lima")</f>
      </c>
      <c r="N333">
        <v>12.9</v>
      </c>
      <c r="O333">
        <v>89</v>
      </c>
      <c r="P333">
        <v>1751.71</v>
      </c>
      <c r="Q333" t="str">
        <v>69.60</v>
      </c>
      <c r="R333" t="str">
        <v>Acelerado y giro brusco</v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F8R-810</v>
      </c>
      <c r="D334" t="str">
        <v>F8R-810</v>
      </c>
      <c r="E334" t="str">
        <v/>
      </c>
      <c r="F334" t="str">
        <v>867806078868827</v>
      </c>
      <c r="G334" t="str">
        <v>TBD</v>
      </c>
      <c r="H334" t="str">
        <v/>
      </c>
      <c r="I334" t="str">
        <v>28/09/2026</v>
      </c>
      <c r="J334" t="str">
        <v>16:35:19</v>
      </c>
      <c r="K334">
        <v>-12.316395</v>
      </c>
      <c r="L334">
        <v>-76.82526</v>
      </c>
      <c r="M334">
        <f>HYPERLINK("https://www.google.com/maps/search/?api=1&amp;query=-12.316395,-76.82526","Punta Hermosa, Lima")</f>
      </c>
      <c r="N334">
        <v>13.7</v>
      </c>
      <c r="O334">
        <v>89</v>
      </c>
      <c r="P334">
        <v>1751.8</v>
      </c>
      <c r="Q334" t="str">
        <v>69.60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F8R-810</v>
      </c>
      <c r="D335" t="str">
        <v>F8R-810</v>
      </c>
      <c r="E335" t="str">
        <v/>
      </c>
      <c r="F335" t="str">
        <v>867806078868827</v>
      </c>
      <c r="G335" t="str">
        <v>TBD</v>
      </c>
      <c r="H335" t="str">
        <v/>
      </c>
      <c r="I335" t="str">
        <v>28/09/2026</v>
      </c>
      <c r="J335" t="str">
        <v>16:35:19</v>
      </c>
      <c r="K335">
        <v>-12.316395</v>
      </c>
      <c r="L335">
        <v>-76.82526</v>
      </c>
      <c r="M335">
        <f>HYPERLINK("https://www.google.com/maps/search/?api=1&amp;query=-12.316395,-76.82526","Punta Hermosa, Lima")</f>
      </c>
      <c r="N335">
        <v>13.7</v>
      </c>
      <c r="O335">
        <v>89</v>
      </c>
      <c r="P335">
        <v>1751.8</v>
      </c>
      <c r="Q335" t="str">
        <v>69.60</v>
      </c>
      <c r="R335" t="str">
        <v>Acelerado y giro brusco</v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F8R-810</v>
      </c>
      <c r="D336" t="str">
        <v>F8R-810</v>
      </c>
      <c r="E336" t="str">
        <v/>
      </c>
      <c r="F336" t="str">
        <v>867806078868827</v>
      </c>
      <c r="G336" t="str">
        <v>TBD</v>
      </c>
      <c r="H336" t="str">
        <v/>
      </c>
      <c r="I336" t="str">
        <v>28/09/2026</v>
      </c>
      <c r="J336" t="str">
        <v>16:35:27</v>
      </c>
      <c r="K336">
        <v>-12.31616</v>
      </c>
      <c r="L336">
        <v>-76.8254</v>
      </c>
      <c r="M336">
        <f>HYPERLINK("https://www.google.com/maps/search/?api=1&amp;query=-12.31616,-76.8254","Punta Hermosa, Lima")</f>
      </c>
      <c r="N336">
        <v>13.7</v>
      </c>
      <c r="O336">
        <v>89</v>
      </c>
      <c r="P336">
        <v>1751.83</v>
      </c>
      <c r="Q336" t="str">
        <v>69.60</v>
      </c>
      <c r="R336" t="str">
        <v>Aceleración brusca</v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F8R-810</v>
      </c>
      <c r="D337" t="str">
        <v>F8R-810</v>
      </c>
      <c r="E337" t="str">
        <v/>
      </c>
      <c r="F337" t="str">
        <v>867806078868827</v>
      </c>
      <c r="G337" t="str">
        <v>TBD</v>
      </c>
      <c r="H337" t="str">
        <v/>
      </c>
      <c r="I337" t="str">
        <v>28/09/2026</v>
      </c>
      <c r="J337" t="str">
        <v>16:35:37</v>
      </c>
      <c r="K337">
        <v>-12.315864</v>
      </c>
      <c r="L337">
        <v>-76.82559</v>
      </c>
      <c r="M337">
        <f>HYPERLINK("https://www.google.com/maps/search/?api=1&amp;query=-12.315864,-76.82559","Punta Hermosa, Lima")</f>
      </c>
      <c r="N337">
        <v>14.2</v>
      </c>
      <c r="O337">
        <v>89</v>
      </c>
      <c r="P337">
        <v>1751.87</v>
      </c>
      <c r="Q337" t="str">
        <v>69.60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F8R-810</v>
      </c>
      <c r="D338" t="str">
        <v>F8R-810</v>
      </c>
      <c r="E338" t="str">
        <v/>
      </c>
      <c r="F338" t="str">
        <v>867806078868827</v>
      </c>
      <c r="G338" t="str">
        <v>TBD</v>
      </c>
      <c r="H338" t="str">
        <v/>
      </c>
      <c r="I338" t="str">
        <v>28/09/2026</v>
      </c>
      <c r="J338" t="str">
        <v>16:35:37</v>
      </c>
      <c r="K338">
        <v>-12.315864</v>
      </c>
      <c r="L338">
        <v>-76.82559</v>
      </c>
      <c r="M338">
        <f>HYPERLINK("https://www.google.com/maps/search/?api=1&amp;query=-12.315864,-76.82559","Punta Hermosa, Lima")</f>
      </c>
      <c r="N338">
        <v>14.2</v>
      </c>
      <c r="O338">
        <v>91</v>
      </c>
      <c r="P338">
        <v>1751.87</v>
      </c>
      <c r="Q338" t="str">
        <v>69.60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F8R-810</v>
      </c>
      <c r="D339" t="str">
        <v>F8R-810</v>
      </c>
      <c r="E339" t="str">
        <v/>
      </c>
      <c r="F339" t="str">
        <v>867806078868827</v>
      </c>
      <c r="G339" t="str">
        <v>TBD</v>
      </c>
      <c r="H339" t="str">
        <v/>
      </c>
      <c r="I339" t="str">
        <v>28/09/2026</v>
      </c>
      <c r="J339" t="str">
        <v>16:35:38</v>
      </c>
      <c r="K339">
        <v>-12.315833</v>
      </c>
      <c r="L339">
        <v>-76.82561</v>
      </c>
      <c r="M339">
        <f>HYPERLINK("https://www.google.com/maps/search/?api=1&amp;query=-12.315833,-76.82561","Punta Hermosa, Lima")</f>
      </c>
      <c r="N339">
        <v>14.2</v>
      </c>
      <c r="O339">
        <v>91</v>
      </c>
      <c r="P339">
        <v>1751.87</v>
      </c>
      <c r="Q339" t="str">
        <v>69.60</v>
      </c>
      <c r="R339" t="str">
        <v>Aceleración brusca</v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F8R-810</v>
      </c>
      <c r="D340" t="str">
        <v>F8R-810</v>
      </c>
      <c r="E340" t="str">
        <v/>
      </c>
      <c r="F340" t="str">
        <v>867806078868827</v>
      </c>
      <c r="G340" t="str">
        <v>TBD</v>
      </c>
      <c r="H340" t="str">
        <v/>
      </c>
      <c r="I340" t="str">
        <v>28/09/2026</v>
      </c>
      <c r="J340" t="str">
        <v>16:35:56</v>
      </c>
      <c r="K340">
        <v>-12.31534</v>
      </c>
      <c r="L340">
        <v>-76.82592</v>
      </c>
      <c r="M340">
        <f>HYPERLINK("https://www.google.com/maps/search/?api=1&amp;query=-12.31534,-76.82592","Punta Hermosa, Lima")</f>
      </c>
      <c r="N340">
        <v>9.2</v>
      </c>
      <c r="O340">
        <v>91</v>
      </c>
      <c r="P340">
        <v>1751.93</v>
      </c>
      <c r="Q340" t="str">
        <v>69.60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F8R-810</v>
      </c>
      <c r="D341" t="str">
        <v>F8R-810</v>
      </c>
      <c r="E341" t="str">
        <v/>
      </c>
      <c r="F341" t="str">
        <v>867806078868827</v>
      </c>
      <c r="G341" t="str">
        <v>TBD</v>
      </c>
      <c r="H341" t="str">
        <v/>
      </c>
      <c r="I341" t="str">
        <v>28/09/2026</v>
      </c>
      <c r="J341" t="str">
        <v>16:36:01</v>
      </c>
      <c r="K341">
        <v>-12.3153</v>
      </c>
      <c r="L341">
        <v>-76.82604</v>
      </c>
      <c r="M341">
        <f>HYPERLINK("https://www.google.com/maps/search/?api=1&amp;query=-12.3153,-76.82604","Punta Hermosa, Lima")</f>
      </c>
      <c r="N341">
        <v>12</v>
      </c>
      <c r="O341">
        <v>91</v>
      </c>
      <c r="P341">
        <v>1751.95</v>
      </c>
      <c r="Q341" t="str">
        <v>69.60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F8R-810</v>
      </c>
      <c r="D342" t="str">
        <v>F8R-810</v>
      </c>
      <c r="E342" t="str">
        <v/>
      </c>
      <c r="F342" t="str">
        <v>867806078868827</v>
      </c>
      <c r="G342" t="str">
        <v>TBD</v>
      </c>
      <c r="H342" t="str">
        <v/>
      </c>
      <c r="I342" t="str">
        <v>28/09/2026</v>
      </c>
      <c r="J342" t="str">
        <v>16:36:06</v>
      </c>
      <c r="K342">
        <v>-12.315365</v>
      </c>
      <c r="L342">
        <v>-76.82618</v>
      </c>
      <c r="M342">
        <f>HYPERLINK("https://www.google.com/maps/search/?api=1&amp;query=-12.315365,-76.82618","Punta Hermosa, Lima")</f>
      </c>
      <c r="N342">
        <v>12.5</v>
      </c>
      <c r="O342">
        <v>91</v>
      </c>
      <c r="P342">
        <v>1751.96</v>
      </c>
      <c r="Q342" t="str">
        <v>69.60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F8R-810</v>
      </c>
      <c r="D343" t="str">
        <v>F8R-810</v>
      </c>
      <c r="E343" t="str">
        <v/>
      </c>
      <c r="F343" t="str">
        <v>867806078868827</v>
      </c>
      <c r="G343" t="str">
        <v>TBD</v>
      </c>
      <c r="H343" t="str">
        <v/>
      </c>
      <c r="I343" t="str">
        <v>28/09/2026</v>
      </c>
      <c r="J343" t="str">
        <v>16:36:08</v>
      </c>
      <c r="K343">
        <v>-12.315409</v>
      </c>
      <c r="L343">
        <v>-76.82623</v>
      </c>
      <c r="M343">
        <f>HYPERLINK("https://www.google.com/maps/search/?api=1&amp;query=-12.315409,-76.82623","Punta Hermosa, Lima")</f>
      </c>
      <c r="N343">
        <v>13.8</v>
      </c>
      <c r="O343">
        <v>91</v>
      </c>
      <c r="P343">
        <v>1751.97</v>
      </c>
      <c r="Q343" t="str">
        <v>69.60</v>
      </c>
      <c r="R343" t="str">
        <v>Acelerado y giro brusco</v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F8R-810</v>
      </c>
      <c r="D344" t="str">
        <v>F8R-810</v>
      </c>
      <c r="E344" t="str">
        <v/>
      </c>
      <c r="F344" t="str">
        <v>867806078868827</v>
      </c>
      <c r="G344" t="str">
        <v>TBD</v>
      </c>
      <c r="H344" t="str">
        <v/>
      </c>
      <c r="I344" t="str">
        <v>28/09/2026</v>
      </c>
      <c r="J344" t="str">
        <v>16:36:17</v>
      </c>
      <c r="K344">
        <v>-12.315558</v>
      </c>
      <c r="L344">
        <v>-76.826454</v>
      </c>
      <c r="M344">
        <f>HYPERLINK("https://www.google.com/maps/search/?api=1&amp;query=-12.315558,-76.826454","Punta Hermosa, Lima")</f>
      </c>
      <c r="N344">
        <v>15</v>
      </c>
      <c r="O344">
        <v>91</v>
      </c>
      <c r="P344">
        <v>1752</v>
      </c>
      <c r="Q344" t="str">
        <v>69.60</v>
      </c>
      <c r="R344" t="str">
        <v>Aceleración brusca</v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F8R-810</v>
      </c>
      <c r="D345" t="str">
        <v>F8R-810</v>
      </c>
      <c r="E345" t="str">
        <v/>
      </c>
      <c r="F345" t="str">
        <v>867806078868827</v>
      </c>
      <c r="G345" t="str">
        <v>TBD</v>
      </c>
      <c r="H345" t="str">
        <v/>
      </c>
      <c r="I345" t="str">
        <v>28/09/2026</v>
      </c>
      <c r="J345" t="str">
        <v>16:36:20</v>
      </c>
      <c r="K345">
        <v>-12.315627</v>
      </c>
      <c r="L345">
        <v>-76.82656</v>
      </c>
      <c r="M345">
        <f>HYPERLINK("https://www.google.com/maps/search/?api=1&amp;query=-12.315627,-76.82656","Punta Hermosa, Lima")</f>
      </c>
      <c r="N345">
        <v>14.8</v>
      </c>
      <c r="O345">
        <v>91</v>
      </c>
      <c r="P345">
        <v>1752.01</v>
      </c>
      <c r="Q345" t="str">
        <v>69.60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F8R-810</v>
      </c>
      <c r="D346" t="str">
        <v>F8R-810</v>
      </c>
      <c r="E346" t="str">
        <v/>
      </c>
      <c r="F346" t="str">
        <v>867806078868827</v>
      </c>
      <c r="G346" t="str">
        <v>TBD</v>
      </c>
      <c r="H346" t="str">
        <v/>
      </c>
      <c r="I346" t="str">
        <v>28/09/2026</v>
      </c>
      <c r="J346" t="str">
        <v>16:36:22</v>
      </c>
      <c r="K346">
        <v>-12.315666</v>
      </c>
      <c r="L346">
        <v>-76.82662</v>
      </c>
      <c r="M346">
        <f>HYPERLINK("https://www.google.com/maps/search/?api=1&amp;query=-12.315666,-76.82662","Punta Hermosa, Lima")</f>
      </c>
      <c r="N346">
        <v>13.8</v>
      </c>
      <c r="O346">
        <v>91</v>
      </c>
      <c r="P346">
        <v>1752.02</v>
      </c>
      <c r="Q346" t="str">
        <v>69.60</v>
      </c>
      <c r="R346" t="str">
        <v>Acelerado y giro brusco</v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F8R-810</v>
      </c>
      <c r="D347" t="str">
        <v>F8R-810</v>
      </c>
      <c r="E347" t="str">
        <v/>
      </c>
      <c r="F347" t="str">
        <v>867806078868827</v>
      </c>
      <c r="G347" t="str">
        <v>TBD</v>
      </c>
      <c r="H347" t="str">
        <v/>
      </c>
      <c r="I347" t="str">
        <v>28/09/2026</v>
      </c>
      <c r="J347" t="str">
        <v>16:36:53</v>
      </c>
      <c r="K347">
        <v>-12.31623</v>
      </c>
      <c r="L347">
        <v>-76.82753</v>
      </c>
      <c r="M347">
        <f>HYPERLINK("https://www.google.com/maps/search/?api=1&amp;query=-12.31623,-76.82753","Punta Hermosa, Lima")</f>
      </c>
      <c r="N347">
        <v>12.7</v>
      </c>
      <c r="O347">
        <v>91</v>
      </c>
      <c r="P347">
        <v>1752.13</v>
      </c>
      <c r="Q347" t="str">
        <v>69.60</v>
      </c>
      <c r="R347" t="str">
        <v>Acelerado y giro brusco</v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F8R-810</v>
      </c>
      <c r="D348" t="str">
        <v>F8R-810</v>
      </c>
      <c r="E348" t="str">
        <v/>
      </c>
      <c r="F348" t="str">
        <v>867806078868827</v>
      </c>
      <c r="G348" t="str">
        <v>TBD</v>
      </c>
      <c r="H348" t="str">
        <v/>
      </c>
      <c r="I348" t="str">
        <v>28/09/2026</v>
      </c>
      <c r="J348" t="str">
        <v>16:36:55</v>
      </c>
      <c r="K348">
        <v>-12.316278</v>
      </c>
      <c r="L348">
        <v>-76.82761</v>
      </c>
      <c r="M348">
        <f>HYPERLINK("https://www.google.com/maps/search/?api=1&amp;query=-12.316278,-76.82761","Punta Hermosa, Lima")</f>
      </c>
      <c r="N348">
        <v>12.4</v>
      </c>
      <c r="O348">
        <v>91</v>
      </c>
      <c r="P348">
        <v>1752.14</v>
      </c>
      <c r="Q348" t="str">
        <v>69.60</v>
      </c>
      <c r="R348" t="str">
        <v>Acelerado y giro brusco</v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F8R-810</v>
      </c>
      <c r="D349" t="str">
        <v>F8R-810</v>
      </c>
      <c r="E349" t="str">
        <v/>
      </c>
      <c r="F349" t="str">
        <v>867806078868827</v>
      </c>
      <c r="G349" t="str">
        <v>TBD</v>
      </c>
      <c r="H349" t="str">
        <v/>
      </c>
      <c r="I349" t="str">
        <v>28/09/2026</v>
      </c>
      <c r="J349" t="str">
        <v>16:37:06</v>
      </c>
      <c r="K349">
        <v>-12.31646</v>
      </c>
      <c r="L349">
        <v>-76.82789</v>
      </c>
      <c r="M349">
        <f>HYPERLINK("https://www.google.com/maps/search/?api=1&amp;query=-12.31646,-76.82789","Punta Hermosa, Lima")</f>
      </c>
      <c r="N349">
        <v>12.2</v>
      </c>
      <c r="O349">
        <v>91</v>
      </c>
      <c r="P349">
        <v>1752.18</v>
      </c>
      <c r="Q349" t="str">
        <v>69.60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F8R-810</v>
      </c>
      <c r="D350" t="str">
        <v>F8R-810</v>
      </c>
      <c r="E350" t="str">
        <v/>
      </c>
      <c r="F350" t="str">
        <v>867806078868827</v>
      </c>
      <c r="G350" t="str">
        <v>TBD</v>
      </c>
      <c r="H350" t="str">
        <v/>
      </c>
      <c r="I350" t="str">
        <v>28/09/2026</v>
      </c>
      <c r="J350" t="str">
        <v>16:37:18</v>
      </c>
      <c r="K350">
        <v>-12.316668</v>
      </c>
      <c r="L350">
        <v>-76.828224</v>
      </c>
      <c r="M350">
        <f>HYPERLINK("https://www.google.com/maps/search/?api=1&amp;query=-12.316668,-76.828224","Punta Hermosa, Lima")</f>
      </c>
      <c r="N350">
        <v>13.1</v>
      </c>
      <c r="O350">
        <v>91</v>
      </c>
      <c r="P350">
        <v>1752.22</v>
      </c>
      <c r="Q350" t="str">
        <v>69.60</v>
      </c>
      <c r="R350" t="str">
        <v>Aceleración brusca</v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F8R-810</v>
      </c>
      <c r="D351" t="str">
        <v>F8R-810</v>
      </c>
      <c r="E351" t="str">
        <v/>
      </c>
      <c r="F351" t="str">
        <v>867806078868827</v>
      </c>
      <c r="G351" t="str">
        <v>TBD</v>
      </c>
      <c r="H351" t="str">
        <v/>
      </c>
      <c r="I351" t="str">
        <v>28/09/2026</v>
      </c>
      <c r="J351" t="str">
        <v>16:37:22</v>
      </c>
      <c r="K351">
        <v>-12.316742</v>
      </c>
      <c r="L351">
        <v>-76.82835</v>
      </c>
      <c r="M351">
        <f>HYPERLINK("https://www.google.com/maps/search/?api=1&amp;query=-12.316742,-76.82835","Punta Hermosa, Lima")</f>
      </c>
      <c r="N351">
        <v>14</v>
      </c>
      <c r="O351">
        <v>91</v>
      </c>
      <c r="P351">
        <v>1752.23</v>
      </c>
      <c r="Q351" t="str">
        <v>69.60</v>
      </c>
      <c r="R351" t="str">
        <v>Acelerado y giro brusco</v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F8R-810</v>
      </c>
      <c r="D352" t="str">
        <v>F8R-810</v>
      </c>
      <c r="E352" t="str">
        <v/>
      </c>
      <c r="F352" t="str">
        <v>867806078868827</v>
      </c>
      <c r="G352" t="str">
        <v>TBD</v>
      </c>
      <c r="H352" t="str">
        <v/>
      </c>
      <c r="I352" t="str">
        <v>28/09/2026</v>
      </c>
      <c r="J352" t="str">
        <v>16:37:41</v>
      </c>
      <c r="K352">
        <v>-12.31703</v>
      </c>
      <c r="L352">
        <v>-76.828835</v>
      </c>
      <c r="M352">
        <f>HYPERLINK("https://www.google.com/maps/search/?api=1&amp;query=-12.31703,-76.828835","Punta Hermosa, Lima")</f>
      </c>
      <c r="N352">
        <v>11.4</v>
      </c>
      <c r="O352">
        <v>91</v>
      </c>
      <c r="P352">
        <v>1752.3</v>
      </c>
      <c r="Q352" t="str">
        <v>69.60</v>
      </c>
      <c r="R352" t="str">
        <v>Aceleración brusca</v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F8R-810</v>
      </c>
      <c r="D353" t="str">
        <v>F8R-810</v>
      </c>
      <c r="E353" t="str">
        <v/>
      </c>
      <c r="F353" t="str">
        <v>867806078868827</v>
      </c>
      <c r="G353" t="str">
        <v>TBD</v>
      </c>
      <c r="H353" t="str">
        <v/>
      </c>
      <c r="I353" t="str">
        <v>28/09/2026</v>
      </c>
      <c r="J353" t="str">
        <v>16:37:50</v>
      </c>
      <c r="K353">
        <v>-12.317159</v>
      </c>
      <c r="L353">
        <v>-76.82903</v>
      </c>
      <c r="M353">
        <f>HYPERLINK("https://www.google.com/maps/search/?api=1&amp;query=-12.317159,-76.82903","Punta Hermosa, Lima")</f>
      </c>
      <c r="N353">
        <v>4.8</v>
      </c>
      <c r="O353">
        <v>91</v>
      </c>
      <c r="P353">
        <v>1752.32</v>
      </c>
      <c r="Q353" t="str">
        <v>69.60</v>
      </c>
      <c r="R353" t="str">
        <v>Acelerado y giro brusco</v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F8R-810</v>
      </c>
      <c r="D354" t="str">
        <v>F8R-810</v>
      </c>
      <c r="E354" t="str">
        <v/>
      </c>
      <c r="F354" t="str">
        <v>867806078868827</v>
      </c>
      <c r="G354" t="str">
        <v>TBD</v>
      </c>
      <c r="H354" t="str">
        <v/>
      </c>
      <c r="I354" t="str">
        <v>28/09/2026</v>
      </c>
      <c r="J354" t="str">
        <v>16:38:06</v>
      </c>
      <c r="K354">
        <v>-12.317175</v>
      </c>
      <c r="L354">
        <v>-76.82905</v>
      </c>
      <c r="M354">
        <f>HYPERLINK("https://www.google.com/maps/search/?api=1&amp;query=-12.317175,-76.82905","Punta Hermosa, Lima")</f>
      </c>
      <c r="N354">
        <v>0</v>
      </c>
      <c r="O354">
        <v>91</v>
      </c>
      <c r="P354">
        <v>1752.32</v>
      </c>
      <c r="Q354" t="str">
        <v>69.60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F8R-810</v>
      </c>
      <c r="D355" t="str">
        <v>F8R-810</v>
      </c>
      <c r="E355" t="str">
        <v/>
      </c>
      <c r="F355" t="str">
        <v>867806078868827</v>
      </c>
      <c r="G355" t="str">
        <v>TBD</v>
      </c>
      <c r="H355" t="str">
        <v/>
      </c>
      <c r="I355" t="str">
        <v>28/09/2026</v>
      </c>
      <c r="J355" t="str">
        <v>16:38:12</v>
      </c>
      <c r="K355">
        <v>-12.317208</v>
      </c>
      <c r="L355">
        <v>-76.82909</v>
      </c>
      <c r="M355">
        <f>HYPERLINK("https://www.google.com/maps/search/?api=1&amp;query=-12.317208,-76.82909","Punta Hermosa, Lima")</f>
      </c>
      <c r="N355">
        <v>5.9</v>
      </c>
      <c r="O355">
        <v>91</v>
      </c>
      <c r="P355">
        <v>1752.33</v>
      </c>
      <c r="Q355" t="str">
        <v>69.60</v>
      </c>
      <c r="R355" t="str">
        <v>Aceleración brusca</v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F8R-810</v>
      </c>
      <c r="D356" t="str">
        <v>F8R-810</v>
      </c>
      <c r="E356" t="str">
        <v/>
      </c>
      <c r="F356" t="str">
        <v>867806078868827</v>
      </c>
      <c r="G356" t="str">
        <v>TBD</v>
      </c>
      <c r="H356" t="str">
        <v/>
      </c>
      <c r="I356" t="str">
        <v>28/09/2026</v>
      </c>
      <c r="J356" t="str">
        <v>16:39:03</v>
      </c>
      <c r="K356">
        <v>-12.317567</v>
      </c>
      <c r="L356">
        <v>-76.8297</v>
      </c>
      <c r="M356">
        <f>HYPERLINK("https://www.google.com/maps/search/?api=1&amp;query=-12.317567,-76.8297","Punta Hermosa, Lima")</f>
      </c>
      <c r="N356">
        <v>16.4</v>
      </c>
      <c r="O356">
        <v>91</v>
      </c>
      <c r="P356">
        <v>1752.4</v>
      </c>
      <c r="Q356" t="str">
        <v>69.60</v>
      </c>
      <c r="R356" t="str">
        <v>Acelerado y giro brusco</v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F8R-810</v>
      </c>
      <c r="D357" t="str">
        <v>F8R-810</v>
      </c>
      <c r="E357" t="str">
        <v/>
      </c>
      <c r="F357" t="str">
        <v>867806078868827</v>
      </c>
      <c r="G357" t="str">
        <v>TBD</v>
      </c>
      <c r="H357" t="str">
        <v/>
      </c>
      <c r="I357" t="str">
        <v>28/09/2026</v>
      </c>
      <c r="J357" t="str">
        <v>16:39:04</v>
      </c>
      <c r="K357">
        <v>-12.3176</v>
      </c>
      <c r="L357">
        <v>-76.82978</v>
      </c>
      <c r="M357">
        <f>HYPERLINK("https://www.google.com/maps/search/?api=1&amp;query=-12.3176,-76.82978","Punta Hermosa, Lima")</f>
      </c>
      <c r="N357">
        <v>17.7</v>
      </c>
      <c r="O357">
        <v>82</v>
      </c>
      <c r="P357">
        <v>1752.41</v>
      </c>
      <c r="Q357" t="str">
        <v>69.60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F8R-810</v>
      </c>
      <c r="D358" t="str">
        <v>F8R-810</v>
      </c>
      <c r="E358" t="str">
        <v/>
      </c>
      <c r="F358" t="str">
        <v>867806078868827</v>
      </c>
      <c r="G358" t="str">
        <v>TBD</v>
      </c>
      <c r="H358" t="str">
        <v/>
      </c>
      <c r="I358" t="str">
        <v>28/09/2026</v>
      </c>
      <c r="J358" t="str">
        <v>16:39:09</v>
      </c>
      <c r="K358">
        <v>-12.317587</v>
      </c>
      <c r="L358">
        <v>-76.83</v>
      </c>
      <c r="M358">
        <f>HYPERLINK("https://www.google.com/maps/search/?api=1&amp;query=-12.317587,-76.83","Punta Hermosa, Lima")</f>
      </c>
      <c r="N358">
        <v>17.7</v>
      </c>
      <c r="O358">
        <v>91</v>
      </c>
      <c r="P358">
        <v>1752.46</v>
      </c>
      <c r="Q358" t="str">
        <v>69.58</v>
      </c>
      <c r="R358" t="str">
        <v>Salió de zona</v>
      </c>
      <c r="S358" t="str">
        <v>MASS BSF 1</v>
      </c>
      <c r="T358" t="str">
        <v xml:space="preserve"> </v>
      </c>
      <c r="U358" t="str">
        <v/>
      </c>
    </row>
    <row r="359">
      <c r="A359" t="str">
        <v>358</v>
      </c>
      <c r="B359" t="str">
        <v>MASS BSF</v>
      </c>
      <c r="C359" t="str">
        <v>F8R-810</v>
      </c>
      <c r="D359" t="str">
        <v>F8R-810</v>
      </c>
      <c r="E359" t="str">
        <v/>
      </c>
      <c r="F359" t="str">
        <v>867806078868827</v>
      </c>
      <c r="G359" t="str">
        <v>TBD</v>
      </c>
      <c r="H359" t="str">
        <v/>
      </c>
      <c r="I359" t="str">
        <v>28/09/2026</v>
      </c>
      <c r="J359" t="str">
        <v>16:39:09</v>
      </c>
      <c r="K359">
        <v>-12.317587</v>
      </c>
      <c r="L359">
        <v>-76.83</v>
      </c>
      <c r="M359">
        <f>HYPERLINK("https://www.google.com/maps/search/?api=1&amp;query=-12.317587,-76.83","Punta Hermosa, Lima")</f>
      </c>
      <c r="N359">
        <v>17.7</v>
      </c>
      <c r="O359">
        <v>91</v>
      </c>
      <c r="P359">
        <v>1752.44</v>
      </c>
      <c r="Q359" t="str">
        <v>69.60</v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F8R-810</v>
      </c>
      <c r="D360" t="str">
        <v>F8R-810</v>
      </c>
      <c r="E360" t="str">
        <v/>
      </c>
      <c r="F360" t="str">
        <v>867806078868827</v>
      </c>
      <c r="G360" t="str">
        <v>TBD</v>
      </c>
      <c r="H360" t="str">
        <v/>
      </c>
      <c r="I360" t="str">
        <v>28/09/2026</v>
      </c>
      <c r="J360" t="str">
        <v>16:39:14</v>
      </c>
      <c r="K360">
        <v>-12.317489</v>
      </c>
      <c r="L360">
        <v>-76.830246</v>
      </c>
      <c r="M360">
        <f>HYPERLINK("https://www.google.com/maps/search/?api=1&amp;query=-12.317489,-76.830246","Carretera Panamericana Sur, Punta Hermosa, Lima")</f>
      </c>
      <c r="N360">
        <v>22.4</v>
      </c>
      <c r="O360">
        <v>82</v>
      </c>
      <c r="P360">
        <v>1752.46</v>
      </c>
      <c r="Q360" t="str">
        <v>69.60</v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F8R-810</v>
      </c>
      <c r="D361" t="str">
        <v>F8R-810</v>
      </c>
      <c r="E361" t="str">
        <v/>
      </c>
      <c r="F361" t="str">
        <v>867806078868827</v>
      </c>
      <c r="G361" t="str">
        <v>TBD</v>
      </c>
      <c r="H361" t="str">
        <v/>
      </c>
      <c r="I361" t="str">
        <v>28/09/2026</v>
      </c>
      <c r="J361" t="str">
        <v>16:39:19</v>
      </c>
      <c r="K361">
        <v>-12.317265</v>
      </c>
      <c r="L361">
        <v>-76.83047</v>
      </c>
      <c r="M361">
        <f>HYPERLINK("https://www.google.com/maps/search/?api=1&amp;query=-12.317265,-76.83047","Carretera Panamericana Sur, Punta Hermosa, Lima")</f>
      </c>
      <c r="N361">
        <v>26.4</v>
      </c>
      <c r="O361">
        <v>82</v>
      </c>
      <c r="P361">
        <v>1752.5</v>
      </c>
      <c r="Q361" t="str">
        <v>69.60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F8R-810</v>
      </c>
      <c r="D362" t="str">
        <v>F8R-810</v>
      </c>
      <c r="E362" t="str">
        <v/>
      </c>
      <c r="F362" t="str">
        <v>867806078868827</v>
      </c>
      <c r="G362" t="str">
        <v>TBD</v>
      </c>
      <c r="H362" t="str">
        <v/>
      </c>
      <c r="I362" t="str">
        <v>28/09/2026</v>
      </c>
      <c r="J362" t="str">
        <v>16:39:21</v>
      </c>
      <c r="K362">
        <v>-12.317213</v>
      </c>
      <c r="L362">
        <v>-76.83051</v>
      </c>
      <c r="M362">
        <f>HYPERLINK("https://www.google.com/maps/search/?api=1&amp;query=-12.317213,-76.83051","Carretera Panamericana Sur, Punta Hermosa, Lima")</f>
      </c>
      <c r="N362">
        <v>27</v>
      </c>
      <c r="O362">
        <v>82</v>
      </c>
      <c r="P362">
        <v>1752.5</v>
      </c>
      <c r="Q362" t="str">
        <v>69.60</v>
      </c>
      <c r="R362" t="str">
        <v>Acelerado y giro brusco</v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F8R-810</v>
      </c>
      <c r="D363" t="str">
        <v>F8R-810</v>
      </c>
      <c r="E363" t="str">
        <v/>
      </c>
      <c r="F363" t="str">
        <v>867806078868827</v>
      </c>
      <c r="G363" t="str">
        <v>TBD</v>
      </c>
      <c r="H363" t="str">
        <v/>
      </c>
      <c r="I363" t="str">
        <v>28/09/2026</v>
      </c>
      <c r="J363" t="str">
        <v>16:39:30</v>
      </c>
      <c r="K363">
        <v>-12.316776</v>
      </c>
      <c r="L363">
        <v>-76.83093</v>
      </c>
      <c r="M363">
        <f>HYPERLINK("https://www.google.com/maps/search/?api=1&amp;query=-12.316776,-76.83093","Carretera Panamericana Sur, Punta Hermosa, Lima")</f>
      </c>
      <c r="N363">
        <v>29.6</v>
      </c>
      <c r="O363">
        <v>82</v>
      </c>
      <c r="P363">
        <v>1752.57</v>
      </c>
      <c r="Q363" t="str">
        <v>69.60</v>
      </c>
      <c r="R363" t="str">
        <v>Acelerado y giro brusco</v>
      </c>
      <c r="S363" t="str">
        <v/>
      </c>
      <c r="T363" t="str">
        <v/>
      </c>
      <c r="U363" t="str">
        <v/>
      </c>
    </row>
    <row r="364">
      <c r="A364" t="str">
        <v>363</v>
      </c>
      <c r="B364" t="str">
        <v>MASS BSF</v>
      </c>
      <c r="C364" t="str">
        <v>F8R-810</v>
      </c>
      <c r="D364" t="str">
        <v>F8R-810</v>
      </c>
      <c r="E364" t="str">
        <v/>
      </c>
      <c r="F364" t="str">
        <v>867806078868827</v>
      </c>
      <c r="G364" t="str">
        <v>TBD</v>
      </c>
      <c r="H364" t="str">
        <v/>
      </c>
      <c r="I364" t="str">
        <v>28/09/2026</v>
      </c>
      <c r="J364" t="str">
        <v>16:39:33</v>
      </c>
      <c r="K364">
        <v>-12.316519</v>
      </c>
      <c r="L364">
        <v>-76.83112</v>
      </c>
      <c r="M364">
        <f>HYPERLINK("https://www.google.com/maps/search/?api=1&amp;query=-12.316519,-76.83112","Carretera Panamericana Sur, Punta Hermosa, Lima")</f>
      </c>
      <c r="N364">
        <v>32.9</v>
      </c>
      <c r="O364">
        <v>82</v>
      </c>
      <c r="P364">
        <v>1752.61</v>
      </c>
      <c r="Q364" t="str">
        <v>69.60</v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F8R-810</v>
      </c>
      <c r="D365" t="str">
        <v>F8R-810</v>
      </c>
      <c r="E365" t="str">
        <v/>
      </c>
      <c r="F365" t="str">
        <v>867806078868827</v>
      </c>
      <c r="G365" t="str">
        <v>TBD</v>
      </c>
      <c r="H365" t="str">
        <v/>
      </c>
      <c r="I365" t="str">
        <v>28/09/2026</v>
      </c>
      <c r="J365" t="str">
        <v>16:39:38</v>
      </c>
      <c r="K365">
        <v>-12.316218</v>
      </c>
      <c r="L365">
        <v>-76.83133</v>
      </c>
      <c r="M365">
        <f>HYPERLINK("https://www.google.com/maps/search/?api=1&amp;query=-12.316218,-76.83133","Carretera Panamericana Sur, Punta Hermosa, Lima")</f>
      </c>
      <c r="N365">
        <v>37.5</v>
      </c>
      <c r="O365">
        <v>82</v>
      </c>
      <c r="P365">
        <v>1752.64</v>
      </c>
      <c r="Q365" t="str">
        <v>69.60</v>
      </c>
      <c r="R365" t="str">
        <v>Acelerado y giro brusco</v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F8R-810</v>
      </c>
      <c r="D366" t="str">
        <v>F8R-810</v>
      </c>
      <c r="E366" t="str">
        <v/>
      </c>
      <c r="F366" t="str">
        <v>867806078868827</v>
      </c>
      <c r="G366" t="str">
        <v>TBD</v>
      </c>
      <c r="H366" t="str">
        <v/>
      </c>
      <c r="I366" t="str">
        <v>28/09/2026</v>
      </c>
      <c r="J366" t="str">
        <v>16:39:51</v>
      </c>
      <c r="K366">
        <v>-12.314985</v>
      </c>
      <c r="L366">
        <v>-76.83215</v>
      </c>
      <c r="M366">
        <f>HYPERLINK("https://www.google.com/maps/search/?api=1&amp;query=-12.314985,-76.83215","Carretera Panamericana Sur, Punta Hermosa, Lima")</f>
      </c>
      <c r="N366">
        <v>50.7</v>
      </c>
      <c r="O366">
        <v>82</v>
      </c>
      <c r="P366">
        <v>1752.81</v>
      </c>
      <c r="Q366" t="str">
        <v>69.60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F8R-810</v>
      </c>
      <c r="D367" t="str">
        <v>F8R-810</v>
      </c>
      <c r="E367" t="str">
        <v/>
      </c>
      <c r="F367" t="str">
        <v>867806078868827</v>
      </c>
      <c r="G367" t="str">
        <v>TBD</v>
      </c>
      <c r="H367" t="str">
        <v/>
      </c>
      <c r="I367" t="str">
        <v>28/09/2026</v>
      </c>
      <c r="J367" t="str">
        <v>16:40:03</v>
      </c>
      <c r="K367">
        <v>-12.313632</v>
      </c>
      <c r="L367">
        <v>-76.83305</v>
      </c>
      <c r="M367">
        <f>HYPERLINK("https://www.google.com/maps/search/?api=1&amp;query=-12.313632,-76.83305","Carretera Panamericana Sur, Punta Hermosa, Lima")</f>
      </c>
      <c r="N367">
        <v>57.7</v>
      </c>
      <c r="O367">
        <v>82</v>
      </c>
      <c r="P367">
        <v>1752.99</v>
      </c>
      <c r="Q367" t="str">
        <v>69.60</v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F8R-810</v>
      </c>
      <c r="D368" t="str">
        <v>F8R-810</v>
      </c>
      <c r="E368" t="str">
        <v/>
      </c>
      <c r="F368" t="str">
        <v>867806078868827</v>
      </c>
      <c r="G368" t="str">
        <v>TBD</v>
      </c>
      <c r="H368" t="str">
        <v/>
      </c>
      <c r="I368" t="str">
        <v>28/09/2026</v>
      </c>
      <c r="J368" t="str">
        <v>16:40:11</v>
      </c>
      <c r="K368">
        <v>-12.312455</v>
      </c>
      <c r="L368">
        <v>-76.83385</v>
      </c>
      <c r="M368">
        <f>HYPERLINK("https://www.google.com/maps/search/?api=1&amp;query=-12.312455,-76.83385","Carretera Panamericana Sur, Punta Hermosa, Lima")</f>
      </c>
      <c r="N368">
        <v>66.6</v>
      </c>
      <c r="O368">
        <v>82</v>
      </c>
      <c r="P368">
        <v>1753.14</v>
      </c>
      <c r="Q368" t="str">
        <v>69.60</v>
      </c>
      <c r="R368" t="str">
        <v>Aceleración brusca</v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F8R-810</v>
      </c>
      <c r="D369" t="str">
        <v>F8R-810</v>
      </c>
      <c r="E369" t="str">
        <v/>
      </c>
      <c r="F369" t="str">
        <v>867806078868827</v>
      </c>
      <c r="G369" t="str">
        <v>TBD</v>
      </c>
      <c r="H369" t="str">
        <v/>
      </c>
      <c r="I369" t="str">
        <v>28/09/2026</v>
      </c>
      <c r="J369" t="str">
        <v>16:40:16</v>
      </c>
      <c r="K369">
        <v>-12.311889</v>
      </c>
      <c r="L369">
        <v>-76.83422</v>
      </c>
      <c r="M369">
        <f>HYPERLINK("https://www.google.com/maps/search/?api=1&amp;query=-12.311889,-76.83422","Carretera Panamericana Sur, Punta Hermosa, Lima")</f>
      </c>
      <c r="N369">
        <v>67.7</v>
      </c>
      <c r="O369">
        <v>82</v>
      </c>
      <c r="P369">
        <v>1753.21</v>
      </c>
      <c r="Q369" t="str">
        <v>69.60</v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F8R-810</v>
      </c>
      <c r="D370" t="str">
        <v>F8R-810</v>
      </c>
      <c r="E370" t="str">
        <v/>
      </c>
      <c r="F370" t="str">
        <v>867806078868827</v>
      </c>
      <c r="G370" t="str">
        <v>TBD</v>
      </c>
      <c r="H370" t="str">
        <v/>
      </c>
      <c r="I370" t="str">
        <v>28/09/2026</v>
      </c>
      <c r="J370" t="str">
        <v>16:40:22</v>
      </c>
      <c r="K370">
        <v>-12.310862</v>
      </c>
      <c r="L370">
        <v>-76.83491</v>
      </c>
      <c r="M370">
        <f>HYPERLINK("https://www.google.com/maps/search/?api=1&amp;query=-12.310862,-76.83491","Carretera Panamericana Sur, Punta Hermosa, Lima")</f>
      </c>
      <c r="N370">
        <v>71.3</v>
      </c>
      <c r="O370">
        <v>82</v>
      </c>
      <c r="P370">
        <v>1753.35</v>
      </c>
      <c r="Q370" t="str">
        <v>69.60</v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F8R-810</v>
      </c>
      <c r="D371" t="str">
        <v>F8R-810</v>
      </c>
      <c r="E371" t="str">
        <v/>
      </c>
      <c r="F371" t="str">
        <v>867806078868827</v>
      </c>
      <c r="G371" t="str">
        <v>TBD</v>
      </c>
      <c r="H371" t="str">
        <v/>
      </c>
      <c r="I371" t="str">
        <v>28/09/2026</v>
      </c>
      <c r="J371" t="str">
        <v>16:40:51</v>
      </c>
      <c r="K371">
        <v>-12.30649</v>
      </c>
      <c r="L371">
        <v>-76.83813</v>
      </c>
      <c r="M371">
        <f>HYPERLINK("https://www.google.com/maps/search/?api=1&amp;query=-12.30649,-76.83813","Carretera Panamericana Sur, Punta Hermosa, Lima")</f>
      </c>
      <c r="N371">
        <v>73.8</v>
      </c>
      <c r="O371">
        <v>82</v>
      </c>
      <c r="P371">
        <v>1753.95</v>
      </c>
      <c r="Q371" t="str">
        <v>69.60</v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F8R-810</v>
      </c>
      <c r="D372" t="str">
        <v>F8R-810</v>
      </c>
      <c r="E372" t="str">
        <v/>
      </c>
      <c r="F372" t="str">
        <v>867806078868827</v>
      </c>
      <c r="G372" t="str">
        <v>TBD</v>
      </c>
      <c r="H372" t="str">
        <v/>
      </c>
      <c r="I372" t="str">
        <v>28/09/2026</v>
      </c>
      <c r="J372" t="str">
        <v>16:41:08</v>
      </c>
      <c r="K372">
        <v>-12.304292</v>
      </c>
      <c r="L372">
        <v>-76.84047</v>
      </c>
      <c r="M372">
        <f>HYPERLINK("https://www.google.com/maps/search/?api=1&amp;query=-12.304292,-76.84047","Carretera Panamericana Sur, Lurín, Lima")</f>
      </c>
      <c r="N372">
        <v>71.1</v>
      </c>
      <c r="O372">
        <v>82</v>
      </c>
      <c r="P372">
        <v>1754.3</v>
      </c>
      <c r="Q372" t="str">
        <v>69.60</v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F8R-810</v>
      </c>
      <c r="D373" t="str">
        <v>F8R-810</v>
      </c>
      <c r="E373" t="str">
        <v/>
      </c>
      <c r="F373" t="str">
        <v>867806078868827</v>
      </c>
      <c r="G373" t="str">
        <v>TBD</v>
      </c>
      <c r="H373" t="str">
        <v/>
      </c>
      <c r="I373" t="str">
        <v>28/09/2026</v>
      </c>
      <c r="J373" t="str">
        <v>16:41:23</v>
      </c>
      <c r="K373">
        <v>-12.302925</v>
      </c>
      <c r="L373">
        <v>-76.84253</v>
      </c>
      <c r="M373">
        <f>HYPERLINK("https://www.google.com/maps/search/?api=1&amp;query=-12.302925,-76.84253","Carretera Panamericana Sur, Lurín, Lima")</f>
      </c>
      <c r="N373">
        <v>69</v>
      </c>
      <c r="O373">
        <v>82</v>
      </c>
      <c r="P373">
        <v>1754.57</v>
      </c>
      <c r="Q373" t="str">
        <v>69.60</v>
      </c>
      <c r="R373" t="str">
        <v>Acelerado y giro brusco</v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F8R-810</v>
      </c>
      <c r="D374" t="str">
        <v>F8R-810</v>
      </c>
      <c r="E374" t="str">
        <v/>
      </c>
      <c r="F374" t="str">
        <v>867806078868827</v>
      </c>
      <c r="G374" t="str">
        <v>TBD</v>
      </c>
      <c r="H374" t="str">
        <v/>
      </c>
      <c r="I374" t="str">
        <v>28/09/2026</v>
      </c>
      <c r="J374" t="str">
        <v>16:41:26</v>
      </c>
      <c r="K374">
        <v>-12.302587</v>
      </c>
      <c r="L374">
        <v>-76.84314</v>
      </c>
      <c r="M374">
        <f>HYPERLINK("https://www.google.com/maps/search/?api=1&amp;query=-12.302587,-76.84314","Carretera Panamericana Sur, Lurín, Lima")</f>
      </c>
      <c r="N374">
        <v>68.1</v>
      </c>
      <c r="O374">
        <v>82</v>
      </c>
      <c r="P374">
        <v>1754.64</v>
      </c>
      <c r="Q374" t="str">
        <v>69.60</v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F8R-810</v>
      </c>
      <c r="D375" t="str">
        <v>F8R-810</v>
      </c>
      <c r="E375" t="str">
        <v/>
      </c>
      <c r="F375" t="str">
        <v>867806078868827</v>
      </c>
      <c r="G375" t="str">
        <v>TBD</v>
      </c>
      <c r="H375" t="str">
        <v/>
      </c>
      <c r="I375" t="str">
        <v>28/09/2026</v>
      </c>
      <c r="J375" t="str">
        <v>16:41:27</v>
      </c>
      <c r="K375">
        <v>-12.302587</v>
      </c>
      <c r="L375">
        <v>-76.84314</v>
      </c>
      <c r="M375">
        <f>HYPERLINK("https://www.google.com/maps/search/?api=1&amp;query=-12.302587,-76.84314","Carretera Panamericana Sur, Lurín, Lima")</f>
      </c>
      <c r="N375">
        <v>68.1</v>
      </c>
      <c r="O375">
        <v>82</v>
      </c>
      <c r="P375">
        <v>1754.64</v>
      </c>
      <c r="Q375" t="str">
        <v>69.60</v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F8R-810</v>
      </c>
      <c r="D376" t="str">
        <v>F8R-810</v>
      </c>
      <c r="E376" t="str">
        <v/>
      </c>
      <c r="F376" t="str">
        <v>867806078868827</v>
      </c>
      <c r="G376" t="str">
        <v>TBD</v>
      </c>
      <c r="H376" t="str">
        <v/>
      </c>
      <c r="I376" t="str">
        <v>28/09/2026</v>
      </c>
      <c r="J376" t="str">
        <v>16:41:40</v>
      </c>
      <c r="K376">
        <v>-12.30169</v>
      </c>
      <c r="L376">
        <v>-76.84506</v>
      </c>
      <c r="M376">
        <f>HYPERLINK("https://www.google.com/maps/search/?api=1&amp;query=-12.30169,-76.84506","Carretera Panamericana Sur, Lurín, Lima")</f>
      </c>
      <c r="N376">
        <v>60.1</v>
      </c>
      <c r="O376">
        <v>82</v>
      </c>
      <c r="P376">
        <v>1754.87</v>
      </c>
      <c r="Q376" t="str">
        <v>69.60</v>
      </c>
      <c r="R376" t="str">
        <v>Acelerado y giro brusco</v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F8R-810</v>
      </c>
      <c r="D377" t="str">
        <v>F8R-810</v>
      </c>
      <c r="E377" t="str">
        <v/>
      </c>
      <c r="F377" t="str">
        <v>867806078868827</v>
      </c>
      <c r="G377" t="str">
        <v>TBD</v>
      </c>
      <c r="H377" t="str">
        <v/>
      </c>
      <c r="I377" t="str">
        <v>28/09/2026</v>
      </c>
      <c r="J377" t="str">
        <v>16:41:49</v>
      </c>
      <c r="K377">
        <v>-12.301113</v>
      </c>
      <c r="L377">
        <v>-76.846466</v>
      </c>
      <c r="M377">
        <f>HYPERLINK("https://www.google.com/maps/search/?api=1&amp;query=-12.301113,-76.846466","Carretera Panamericana Sur, Lurín, Lima")</f>
      </c>
      <c r="N377">
        <v>68.7</v>
      </c>
      <c r="O377">
        <v>82</v>
      </c>
      <c r="P377">
        <v>1755.04</v>
      </c>
      <c r="Q377" t="str">
        <v>69.60</v>
      </c>
      <c r="R377" t="str">
        <v>Acelerado y giro brusco</v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F8R-810</v>
      </c>
      <c r="D378" t="str">
        <v>F8R-810</v>
      </c>
      <c r="E378" t="str">
        <v/>
      </c>
      <c r="F378" t="str">
        <v>867806078868827</v>
      </c>
      <c r="G378" t="str">
        <v>TBD</v>
      </c>
      <c r="H378" t="str">
        <v/>
      </c>
      <c r="I378" t="str">
        <v>28/09/2026</v>
      </c>
      <c r="J378" t="str">
        <v>16:42:12</v>
      </c>
      <c r="K378">
        <v>-12.299356</v>
      </c>
      <c r="L378">
        <v>-76.85035</v>
      </c>
      <c r="M378">
        <f>HYPERLINK("https://www.google.com/maps/search/?api=1&amp;query=-12.299356,-76.85035","Carretera Panamericana Sur, Lurín, Lima")</f>
      </c>
      <c r="N378">
        <v>68.8</v>
      </c>
      <c r="O378">
        <v>82</v>
      </c>
      <c r="P378">
        <v>1755.5</v>
      </c>
      <c r="Q378" t="str">
        <v>69.60</v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F8R-810</v>
      </c>
      <c r="D379" t="str">
        <v>F8R-810</v>
      </c>
      <c r="E379" t="str">
        <v/>
      </c>
      <c r="F379" t="str">
        <v>867806078868827</v>
      </c>
      <c r="G379" t="str">
        <v>TBD</v>
      </c>
      <c r="H379" t="str">
        <v/>
      </c>
      <c r="I379" t="str">
        <v>28/09/2026</v>
      </c>
      <c r="J379" t="str">
        <v>16:42:14</v>
      </c>
      <c r="K379">
        <v>-12.299283</v>
      </c>
      <c r="L379">
        <v>-76.85051</v>
      </c>
      <c r="M379">
        <f>HYPERLINK("https://www.google.com/maps/search/?api=1&amp;query=-12.299283,-76.85051","Carretera Panamericana Sur, Lurín, Lima")</f>
      </c>
      <c r="N379">
        <v>68.3</v>
      </c>
      <c r="O379">
        <v>82</v>
      </c>
      <c r="P379">
        <v>1755.52</v>
      </c>
      <c r="Q379" t="str">
        <v>69.60</v>
      </c>
      <c r="R379" t="str">
        <v>Aceleración brusca</v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F8R-810</v>
      </c>
      <c r="D380" t="str">
        <v>F8R-810</v>
      </c>
      <c r="E380" t="str">
        <v/>
      </c>
      <c r="F380" t="str">
        <v>867806078868827</v>
      </c>
      <c r="G380" t="str">
        <v>TBD</v>
      </c>
      <c r="H380" t="str">
        <v/>
      </c>
      <c r="I380" t="str">
        <v>28/09/2026</v>
      </c>
      <c r="J380" t="str">
        <v>16:42:18</v>
      </c>
      <c r="K380">
        <v>-12.298986</v>
      </c>
      <c r="L380">
        <v>-76.85117</v>
      </c>
      <c r="M380">
        <f>HYPERLINK("https://www.google.com/maps/search/?api=1&amp;query=-12.298986,-76.85117","Carretera Panamericana Sur, Lurín, Lima")</f>
      </c>
      <c r="N380">
        <v>72.4</v>
      </c>
      <c r="O380">
        <v>82</v>
      </c>
      <c r="P380">
        <v>1755.6</v>
      </c>
      <c r="Q380" t="str">
        <v>69.60</v>
      </c>
      <c r="R380" t="str">
        <v>Aceleración brusca</v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F8R-810</v>
      </c>
      <c r="D381" t="str">
        <v>F8R-810</v>
      </c>
      <c r="E381" t="str">
        <v/>
      </c>
      <c r="F381" t="str">
        <v>867806078868827</v>
      </c>
      <c r="G381" t="str">
        <v>TBD</v>
      </c>
      <c r="H381" t="str">
        <v/>
      </c>
      <c r="I381" t="str">
        <v>28/09/2026</v>
      </c>
      <c r="J381" t="str">
        <v>16:42:33</v>
      </c>
      <c r="K381">
        <v>-12.297849</v>
      </c>
      <c r="L381">
        <v>-76.85374</v>
      </c>
      <c r="M381">
        <f>HYPERLINK("https://www.google.com/maps/search/?api=1&amp;query=-12.297849,-76.85374","Carretera Panamericana Sur, Lurín, Lima")</f>
      </c>
      <c r="N381">
        <v>72</v>
      </c>
      <c r="O381">
        <v>82</v>
      </c>
      <c r="P381">
        <v>1755.9</v>
      </c>
      <c r="Q381" t="str">
        <v>69.60</v>
      </c>
      <c r="R381" t="str">
        <v>Aceleración brusca</v>
      </c>
      <c r="S381" t="str">
        <v/>
      </c>
      <c r="T381" t="str">
        <v/>
      </c>
      <c r="U381" t="str">
        <v/>
      </c>
    </row>
    <row r="382">
      <c r="A382" t="str">
        <v>381</v>
      </c>
      <c r="B382" t="str">
        <v>MASS BSF</v>
      </c>
      <c r="C382" t="str">
        <v>F8R-810</v>
      </c>
      <c r="D382" t="str">
        <v>F8R-810</v>
      </c>
      <c r="E382" t="str">
        <v/>
      </c>
      <c r="F382" t="str">
        <v>867806078868827</v>
      </c>
      <c r="G382" t="str">
        <v>TBD</v>
      </c>
      <c r="H382" t="str">
        <v/>
      </c>
      <c r="I382" t="str">
        <v>28/09/2026</v>
      </c>
      <c r="J382" t="str">
        <v>16:42:53</v>
      </c>
      <c r="K382">
        <v>-12.296171</v>
      </c>
      <c r="L382">
        <v>-76.85749</v>
      </c>
      <c r="M382">
        <f>HYPERLINK("https://www.google.com/maps/search/?api=1&amp;query=-12.296171,-76.85749","Carretera Panamericana Sur, Lurín, Lima")</f>
      </c>
      <c r="N382">
        <v>77.9</v>
      </c>
      <c r="O382">
        <v>82</v>
      </c>
      <c r="P382">
        <v>1756.35</v>
      </c>
      <c r="Q382" t="str">
        <v>69.60</v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382</v>
      </c>
      <c r="B383" t="str">
        <v>MASS BSF</v>
      </c>
      <c r="C383" t="str">
        <v>F8R-810</v>
      </c>
      <c r="D383" t="str">
        <v>F8R-810</v>
      </c>
      <c r="E383" t="str">
        <v/>
      </c>
      <c r="F383" t="str">
        <v>867806078868827</v>
      </c>
      <c r="G383" t="str">
        <v>TBD</v>
      </c>
      <c r="H383" t="str">
        <v/>
      </c>
      <c r="I383" t="str">
        <v>28/09/2026</v>
      </c>
      <c r="J383" t="str">
        <v>16:43:32</v>
      </c>
      <c r="K383">
        <v>-12.29227</v>
      </c>
      <c r="L383">
        <v>-76.863976</v>
      </c>
      <c r="M383">
        <f>HYPERLINK("https://www.google.com/maps/search/?api=1&amp;query=-12.29227,-76.863976","Carretera Panamericana Sur, Lurín, Lima")</f>
      </c>
      <c r="N383">
        <v>78.1</v>
      </c>
      <c r="O383">
        <v>82</v>
      </c>
      <c r="P383">
        <v>1757.17</v>
      </c>
      <c r="Q383" t="str">
        <v>69.60</v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383</v>
      </c>
      <c r="B384" t="str">
        <v>MASS BSF</v>
      </c>
      <c r="C384" t="str">
        <v>F8R-810</v>
      </c>
      <c r="D384" t="str">
        <v>F8R-810</v>
      </c>
      <c r="E384" t="str">
        <v/>
      </c>
      <c r="F384" t="str">
        <v>867806078868827</v>
      </c>
      <c r="G384" t="str">
        <v>TBD</v>
      </c>
      <c r="H384" t="str">
        <v/>
      </c>
      <c r="I384" t="str">
        <v>28/09/2026</v>
      </c>
      <c r="J384" t="str">
        <v>16:44:10</v>
      </c>
      <c r="K384">
        <v>-12.288228</v>
      </c>
      <c r="L384">
        <v>-76.87036</v>
      </c>
      <c r="M384">
        <f>HYPERLINK("https://www.google.com/maps/search/?api=1&amp;query=-12.288228,-76.87036","Carretera Panamericana Sur, Lurín, Lima")</f>
      </c>
      <c r="N384">
        <v>70.7</v>
      </c>
      <c r="O384">
        <v>82</v>
      </c>
      <c r="P384">
        <v>1757.99</v>
      </c>
      <c r="Q384" t="str">
        <v>69.60</v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>384</v>
      </c>
      <c r="B385" t="str">
        <v>MASS BSF</v>
      </c>
      <c r="C385" t="str">
        <v>F8R-810</v>
      </c>
      <c r="D385" t="str">
        <v>F8R-810</v>
      </c>
      <c r="E385" t="str">
        <v/>
      </c>
      <c r="F385" t="str">
        <v>867806078868827</v>
      </c>
      <c r="G385" t="str">
        <v>TBD</v>
      </c>
      <c r="H385" t="str">
        <v/>
      </c>
      <c r="I385" t="str">
        <v>28/09/2026</v>
      </c>
      <c r="J385" t="str">
        <v>16:44:14</v>
      </c>
      <c r="K385">
        <v>-12.287942</v>
      </c>
      <c r="L385">
        <v>-76.87082</v>
      </c>
      <c r="M385">
        <f>HYPERLINK("https://www.google.com/maps/search/?api=1&amp;query=-12.287942,-76.87082","Carretera Panamericana Sur, Lurín, Lima")</f>
      </c>
      <c r="N385">
        <v>70.7</v>
      </c>
      <c r="O385">
        <v>82</v>
      </c>
      <c r="P385">
        <v>1758.05</v>
      </c>
      <c r="Q385" t="str">
        <v>69.60</v>
      </c>
      <c r="R385" t="str">
        <v>Aceleración brusca</v>
      </c>
      <c r="S385" t="str">
        <v/>
      </c>
      <c r="T385" t="str">
        <v/>
      </c>
      <c r="U385" t="str">
        <v/>
      </c>
    </row>
    <row r="386">
      <c r="A386" t="str">
        <v>385</v>
      </c>
      <c r="B386" t="str">
        <v>MASS BSF</v>
      </c>
      <c r="C386" t="str">
        <v>F8R-810</v>
      </c>
      <c r="D386" t="str">
        <v>F8R-810</v>
      </c>
      <c r="E386" t="str">
        <v/>
      </c>
      <c r="F386" t="str">
        <v>867806078868827</v>
      </c>
      <c r="G386" t="str">
        <v>TBD</v>
      </c>
      <c r="H386" t="str">
        <v/>
      </c>
      <c r="I386" t="str">
        <v>28/09/2026</v>
      </c>
      <c r="J386" t="str">
        <v>16:44:33</v>
      </c>
      <c r="K386">
        <v>-12.286219</v>
      </c>
      <c r="L386">
        <v>-76.873604</v>
      </c>
      <c r="M386">
        <f>HYPERLINK("https://www.google.com/maps/search/?api=1&amp;query=-12.286219,-76.873604","Carretera Panamericana Sur, Lurín, Lima")</f>
      </c>
      <c r="N386">
        <v>68.1</v>
      </c>
      <c r="O386">
        <v>94</v>
      </c>
      <c r="P386">
        <v>1758.41</v>
      </c>
      <c r="Q386" t="str">
        <v>69.60</v>
      </c>
      <c r="R386" t="str">
        <v/>
      </c>
      <c r="S386" t="str">
        <v/>
      </c>
      <c r="T386" t="str">
        <v/>
      </c>
      <c r="U386" t="str">
        <v/>
      </c>
    </row>
    <row r="387">
      <c r="A387" t="str">
        <v>386</v>
      </c>
      <c r="B387" t="str">
        <v>MASS BSF</v>
      </c>
      <c r="C387" t="str">
        <v>F8R-810</v>
      </c>
      <c r="D387" t="str">
        <v>F8R-810</v>
      </c>
      <c r="E387" t="str">
        <v/>
      </c>
      <c r="F387" t="str">
        <v>867806078868827</v>
      </c>
      <c r="G387" t="str">
        <v>TBD</v>
      </c>
      <c r="H387" t="str">
        <v/>
      </c>
      <c r="I387" t="str">
        <v>28/09/2026</v>
      </c>
      <c r="J387" t="str">
        <v>16:44:53</v>
      </c>
      <c r="K387">
        <v>-12.284237</v>
      </c>
      <c r="L387">
        <v>-76.876785</v>
      </c>
      <c r="M387">
        <f>HYPERLINK("https://www.google.com/maps/search/?api=1&amp;query=-12.284237,-76.876785","Carretera Panamericana Sur, Lurín, Lima")</f>
      </c>
      <c r="N387">
        <v>70.3</v>
      </c>
      <c r="O387">
        <v>94</v>
      </c>
      <c r="P387">
        <v>1758.81</v>
      </c>
      <c r="Q387" t="str">
        <v>69.60</v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>387</v>
      </c>
      <c r="B388" t="str">
        <v>MASS BSF</v>
      </c>
      <c r="C388" t="str">
        <v>F8R-810</v>
      </c>
      <c r="D388" t="str">
        <v>F8R-810</v>
      </c>
      <c r="E388" t="str">
        <v/>
      </c>
      <c r="F388" t="str">
        <v>867806078868827</v>
      </c>
      <c r="G388" t="str">
        <v>TBD</v>
      </c>
      <c r="H388" t="str">
        <v/>
      </c>
      <c r="I388" t="str">
        <v>28/09/2026</v>
      </c>
      <c r="J388" t="str">
        <v>16:45:35</v>
      </c>
      <c r="K388">
        <v>-12.280189</v>
      </c>
      <c r="L388">
        <v>-76.88325</v>
      </c>
      <c r="M388">
        <f>HYPERLINK("https://www.google.com/maps/search/?api=1&amp;query=-12.280189,-76.88325","Carretera Panamericana Sur, Lurín, Lima")</f>
      </c>
      <c r="N388">
        <v>72.4</v>
      </c>
      <c r="O388">
        <v>94</v>
      </c>
      <c r="P388">
        <v>1759.64</v>
      </c>
      <c r="Q388" t="str">
        <v>69.60</v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388</v>
      </c>
      <c r="B389" t="str">
        <v>MASS BSF</v>
      </c>
      <c r="C389" t="str">
        <v>F8R-810</v>
      </c>
      <c r="D389" t="str">
        <v>F8R-810</v>
      </c>
      <c r="E389" t="str">
        <v/>
      </c>
      <c r="F389" t="str">
        <v>867806078868827</v>
      </c>
      <c r="G389" t="str">
        <v>TBD</v>
      </c>
      <c r="H389" t="str">
        <v/>
      </c>
      <c r="I389" t="str">
        <v>28/09/2026</v>
      </c>
      <c r="J389" t="str">
        <v>16:46:15</v>
      </c>
      <c r="K389">
        <v>-12.276161</v>
      </c>
      <c r="L389">
        <v>-76.8896</v>
      </c>
      <c r="M389">
        <f>HYPERLINK("https://www.google.com/maps/search/?api=1&amp;query=-12.276161,-76.8896","Carretera Panamericana Sur, Lurín, Lima")</f>
      </c>
      <c r="N389">
        <v>73.8</v>
      </c>
      <c r="O389">
        <v>94</v>
      </c>
      <c r="P389">
        <v>1760.46</v>
      </c>
      <c r="Q389" t="str">
        <v>69.60</v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>389</v>
      </c>
      <c r="B390" t="str">
        <v>MASS BSF</v>
      </c>
      <c r="C390" t="str">
        <v>F8R-810</v>
      </c>
      <c r="D390" t="str">
        <v>F8R-810</v>
      </c>
      <c r="E390" t="str">
        <v/>
      </c>
      <c r="F390" t="str">
        <v>867806078868827</v>
      </c>
      <c r="G390" t="str">
        <v>TBD</v>
      </c>
      <c r="H390" t="str">
        <v/>
      </c>
      <c r="I390" t="str">
        <v>28/09/2026</v>
      </c>
      <c r="J390" t="str">
        <v>16:46:57</v>
      </c>
      <c r="K390">
        <v>-12.272123</v>
      </c>
      <c r="L390">
        <v>-76.89602</v>
      </c>
      <c r="M390">
        <f>HYPERLINK("https://www.google.com/maps/search/?api=1&amp;query=-12.272123,-76.89602","Carretera Panamericana Sur, Lurín, Lima")</f>
      </c>
      <c r="N390">
        <v>68.7</v>
      </c>
      <c r="O390">
        <v>94</v>
      </c>
      <c r="P390">
        <v>1761.28</v>
      </c>
      <c r="Q390" t="str">
        <v>69.60</v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390</v>
      </c>
      <c r="B391" t="str">
        <v>MASS BSF</v>
      </c>
      <c r="C391" t="str">
        <v>F8R-810</v>
      </c>
      <c r="D391" t="str">
        <v>F8R-810</v>
      </c>
      <c r="E391" t="str">
        <v/>
      </c>
      <c r="F391" t="str">
        <v>867806078868827</v>
      </c>
      <c r="G391" t="str">
        <v>TBD</v>
      </c>
      <c r="H391" t="str">
        <v/>
      </c>
      <c r="I391" t="str">
        <v>28/09/2026</v>
      </c>
      <c r="J391" t="str">
        <v>16:47:21</v>
      </c>
      <c r="K391">
        <v>-12.270059</v>
      </c>
      <c r="L391">
        <v>-76.899315</v>
      </c>
      <c r="M391">
        <f>HYPERLINK("https://www.google.com/maps/search/?api=1&amp;query=-12.270059,-76.899315","Carretera Panamericana Sur, Lurín, Lima")</f>
      </c>
      <c r="N391">
        <v>64.8</v>
      </c>
      <c r="O391">
        <v>94</v>
      </c>
      <c r="P391">
        <v>1761.71</v>
      </c>
      <c r="Q391" t="str">
        <v>69.60</v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391</v>
      </c>
      <c r="B392" t="str">
        <v>MASS BSF</v>
      </c>
      <c r="C392" t="str">
        <v>F8R-810</v>
      </c>
      <c r="D392" t="str">
        <v>F8R-810</v>
      </c>
      <c r="E392" t="str">
        <v/>
      </c>
      <c r="F392" t="str">
        <v>867806078868827</v>
      </c>
      <c r="G392" t="str">
        <v>TBD</v>
      </c>
      <c r="H392" t="str">
        <v/>
      </c>
      <c r="I392" t="str">
        <v>28/09/2026</v>
      </c>
      <c r="J392" t="str">
        <v>16:47:22</v>
      </c>
      <c r="K392">
        <v>-12.269974</v>
      </c>
      <c r="L392">
        <v>-76.89945</v>
      </c>
      <c r="M392">
        <f>HYPERLINK("https://www.google.com/maps/search/?api=1&amp;query=-12.269974,-76.89945","Carretera Panamericana Sur, Lurín, Lima")</f>
      </c>
      <c r="N392">
        <v>64.2</v>
      </c>
      <c r="O392">
        <v>94</v>
      </c>
      <c r="P392">
        <v>1761.72</v>
      </c>
      <c r="Q392" t="str">
        <v>69.60</v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>392</v>
      </c>
      <c r="B393" t="str">
        <v>MASS BSF</v>
      </c>
      <c r="C393" t="str">
        <v>F8R-810</v>
      </c>
      <c r="D393" t="str">
        <v>F8R-810</v>
      </c>
      <c r="E393" t="str">
        <v/>
      </c>
      <c r="F393" t="str">
        <v>867806078868827</v>
      </c>
      <c r="G393" t="str">
        <v>TBD</v>
      </c>
      <c r="H393" t="str">
        <v/>
      </c>
      <c r="I393" t="str">
        <v>28/09/2026</v>
      </c>
      <c r="J393" t="str">
        <v>16:47:25</v>
      </c>
      <c r="K393">
        <v>-12.269716</v>
      </c>
      <c r="L393">
        <v>-76.899864</v>
      </c>
      <c r="M393">
        <f>HYPERLINK("https://www.google.com/maps/search/?api=1&amp;query=-12.269716,-76.899864","Carretera Panamericana Sur, Lurín, Lima")</f>
      </c>
      <c r="N393">
        <v>63.1</v>
      </c>
      <c r="O393">
        <v>94</v>
      </c>
      <c r="P393">
        <v>1761.78</v>
      </c>
      <c r="Q393" t="str">
        <v>69.60</v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393</v>
      </c>
      <c r="B394" t="str">
        <v>MASS BSF</v>
      </c>
      <c r="C394" t="str">
        <v>F8R-810</v>
      </c>
      <c r="D394" t="str">
        <v>F8R-810</v>
      </c>
      <c r="E394" t="str">
        <v/>
      </c>
      <c r="F394" t="str">
        <v>867806078868827</v>
      </c>
      <c r="G394" t="str">
        <v>TBD</v>
      </c>
      <c r="H394" t="str">
        <v/>
      </c>
      <c r="I394" t="str">
        <v>28/09/2026</v>
      </c>
      <c r="J394" t="str">
        <v>16:47:42</v>
      </c>
      <c r="K394">
        <v>-12.268102</v>
      </c>
      <c r="L394">
        <v>-76.902435</v>
      </c>
      <c r="M394">
        <f>HYPERLINK("https://www.google.com/maps/search/?api=1&amp;query=-12.268102,-76.902435","Carretera Panamericana Sur, Lurín, Lima")</f>
      </c>
      <c r="N394">
        <v>67.4</v>
      </c>
      <c r="O394">
        <v>94</v>
      </c>
      <c r="P394">
        <v>1762.11</v>
      </c>
      <c r="Q394" t="str">
        <v>69.60</v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>394</v>
      </c>
      <c r="B395" t="str">
        <v>MASS BSF</v>
      </c>
      <c r="C395" t="str">
        <v>F8R-810</v>
      </c>
      <c r="D395" t="str">
        <v>F8R-810</v>
      </c>
      <c r="E395" t="str">
        <v/>
      </c>
      <c r="F395" t="str">
        <v>867806078868827</v>
      </c>
      <c r="G395" t="str">
        <v>TBD</v>
      </c>
      <c r="H395" t="str">
        <v/>
      </c>
      <c r="I395" t="str">
        <v>28/09/2026</v>
      </c>
      <c r="J395" t="str">
        <v>16:47:59</v>
      </c>
      <c r="K395">
        <v>-12.266622</v>
      </c>
      <c r="L395">
        <v>-76.90479</v>
      </c>
      <c r="M395">
        <f>HYPERLINK("https://www.google.com/maps/search/?api=1&amp;query=-12.266622,-76.90479","Carretera Panamericana Sur, Lurín, Lima")</f>
      </c>
      <c r="N395">
        <v>68.3</v>
      </c>
      <c r="O395">
        <v>94</v>
      </c>
      <c r="P395">
        <v>1762.41</v>
      </c>
      <c r="Q395" t="str">
        <v>69.60</v>
      </c>
      <c r="R395" t="str">
        <v>Aceleración brusca</v>
      </c>
      <c r="S395" t="str">
        <v/>
      </c>
      <c r="T395" t="str">
        <v/>
      </c>
      <c r="U395" t="str">
        <v/>
      </c>
    </row>
    <row r="396">
      <c r="A396" t="str">
        <v>395</v>
      </c>
      <c r="B396" t="str">
        <v>MASS BSF</v>
      </c>
      <c r="C396" t="str">
        <v>F8R-810</v>
      </c>
      <c r="D396" t="str">
        <v>F8R-810</v>
      </c>
      <c r="E396" t="str">
        <v/>
      </c>
      <c r="F396" t="str">
        <v>867806078868827</v>
      </c>
      <c r="G396" t="str">
        <v>TBD</v>
      </c>
      <c r="H396" t="str">
        <v/>
      </c>
      <c r="I396" t="str">
        <v>28/09/2026</v>
      </c>
      <c r="J396" t="str">
        <v>16:48:25</v>
      </c>
      <c r="K396">
        <v>-12.26408</v>
      </c>
      <c r="L396">
        <v>-76.90881</v>
      </c>
      <c r="M396">
        <f>HYPERLINK("https://www.google.com/maps/search/?api=1&amp;query=-12.26408,-76.90881","Carretera Panamericana Sur, Lurín, Lima")</f>
      </c>
      <c r="N396">
        <v>71.3</v>
      </c>
      <c r="O396">
        <v>94</v>
      </c>
      <c r="P396">
        <v>1762.93</v>
      </c>
      <c r="Q396" t="str">
        <v>69.60</v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396</v>
      </c>
      <c r="B397" t="str">
        <v>MASS BSF</v>
      </c>
      <c r="C397" t="str">
        <v>F8R-810</v>
      </c>
      <c r="D397" t="str">
        <v>F8R-810</v>
      </c>
      <c r="E397" t="str">
        <v/>
      </c>
      <c r="F397" t="str">
        <v>867806078868827</v>
      </c>
      <c r="G397" t="str">
        <v>TBD</v>
      </c>
      <c r="H397" t="str">
        <v/>
      </c>
      <c r="I397" t="str">
        <v>28/09/2026</v>
      </c>
      <c r="J397" t="str">
        <v>16:49:05</v>
      </c>
      <c r="K397">
        <v>-12.260491</v>
      </c>
      <c r="L397">
        <v>-76.91452</v>
      </c>
      <c r="M397">
        <f>HYPERLINK("https://www.google.com/maps/search/?api=1&amp;query=-12.260491,-76.91452","Carretera Panamericana Sur, Lurín, Lima")</f>
      </c>
      <c r="N397">
        <v>70</v>
      </c>
      <c r="O397">
        <v>93</v>
      </c>
      <c r="P397">
        <v>1763.66</v>
      </c>
      <c r="Q397" t="str">
        <v>69.60</v>
      </c>
      <c r="R397" t="str">
        <v>Aceleración brusca</v>
      </c>
      <c r="S397" t="str">
        <v/>
      </c>
      <c r="T397" t="str">
        <v/>
      </c>
      <c r="U397" t="str">
        <v/>
      </c>
    </row>
    <row r="398">
      <c r="A398" t="str">
        <v>397</v>
      </c>
      <c r="B398" t="str">
        <v>MASS BSF</v>
      </c>
      <c r="C398" t="str">
        <v>F8R-810</v>
      </c>
      <c r="D398" t="str">
        <v>F8R-810</v>
      </c>
      <c r="E398" t="str">
        <v/>
      </c>
      <c r="F398" t="str">
        <v>867806078868827</v>
      </c>
      <c r="G398" t="str">
        <v>TBD</v>
      </c>
      <c r="H398" t="str">
        <v/>
      </c>
      <c r="I398" t="str">
        <v>28/09/2026</v>
      </c>
      <c r="J398" t="str">
        <v>16:49:09</v>
      </c>
      <c r="K398">
        <v>-12.260021</v>
      </c>
      <c r="L398">
        <v>-76.91527</v>
      </c>
      <c r="M398">
        <f>HYPERLINK("https://www.google.com/maps/search/?api=1&amp;query=-12.260021,-76.91527","Carretera Panamericana Sur, Lurín, Lima")</f>
      </c>
      <c r="N398">
        <v>69</v>
      </c>
      <c r="O398">
        <v>93</v>
      </c>
      <c r="P398">
        <v>1763.76</v>
      </c>
      <c r="Q398" t="str">
        <v>69.60</v>
      </c>
      <c r="R398" t="str">
        <v/>
      </c>
      <c r="S398" t="str">
        <v/>
      </c>
      <c r="T398" t="str">
        <v/>
      </c>
      <c r="U398" t="str">
        <v/>
      </c>
    </row>
    <row r="399">
      <c r="A399" t="str">
        <v>398</v>
      </c>
      <c r="B399" t="str">
        <v>MASS BSF</v>
      </c>
      <c r="C399" t="str">
        <v>F8R-810</v>
      </c>
      <c r="D399" t="str">
        <v>F8R-810</v>
      </c>
      <c r="E399" t="str">
        <v/>
      </c>
      <c r="F399" t="str">
        <v>867806078868827</v>
      </c>
      <c r="G399" t="str">
        <v>TBD</v>
      </c>
      <c r="H399" t="str">
        <v/>
      </c>
      <c r="I399" t="str">
        <v>28/09/2026</v>
      </c>
      <c r="J399" t="str">
        <v>16:49:51</v>
      </c>
      <c r="K399">
        <v>-12.255972</v>
      </c>
      <c r="L399">
        <v>-76.92171</v>
      </c>
      <c r="M399">
        <f>HYPERLINK("https://www.google.com/maps/search/?api=1&amp;query=-12.255972,-76.92171","Carretera Panamericana Sur, Lurín, Lima")</f>
      </c>
      <c r="N399">
        <v>72.2</v>
      </c>
      <c r="O399">
        <v>93</v>
      </c>
      <c r="P399">
        <v>1764.58</v>
      </c>
      <c r="Q399" t="str">
        <v>69.60</v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>399</v>
      </c>
      <c r="B400" t="str">
        <v>MASS BSF</v>
      </c>
      <c r="C400" t="str">
        <v>F8R-810</v>
      </c>
      <c r="D400" t="str">
        <v>F8R-810</v>
      </c>
      <c r="E400" t="str">
        <v/>
      </c>
      <c r="F400" t="str">
        <v>867806078868827</v>
      </c>
      <c r="G400" t="str">
        <v>TBD</v>
      </c>
      <c r="H400" t="str">
        <v/>
      </c>
      <c r="I400" t="str">
        <v>28/09/2026</v>
      </c>
      <c r="J400" t="str">
        <v>16:50:34</v>
      </c>
      <c r="K400">
        <v>-12.252015</v>
      </c>
      <c r="L400">
        <v>-76.92832</v>
      </c>
      <c r="M400">
        <f>HYPERLINK("https://www.google.com/maps/search/?api=1&amp;query=-12.252015,-76.92832","Carretera Panamericana Sur, Lurín, Lima")</f>
      </c>
      <c r="N400">
        <v>71.8</v>
      </c>
      <c r="O400">
        <v>95</v>
      </c>
      <c r="P400">
        <v>1765.42</v>
      </c>
      <c r="Q400" t="str">
        <v>69.60</v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400</v>
      </c>
      <c r="B401" t="str">
        <v>MASS BSF</v>
      </c>
      <c r="C401" t="str">
        <v>F8R-810</v>
      </c>
      <c r="D401" t="str">
        <v>F8R-810</v>
      </c>
      <c r="E401" t="str">
        <v/>
      </c>
      <c r="F401" t="str">
        <v>867806078868827</v>
      </c>
      <c r="G401" t="str">
        <v>TBD</v>
      </c>
      <c r="H401" t="str">
        <v/>
      </c>
      <c r="I401" t="str">
        <v>28/09/2026</v>
      </c>
      <c r="J401" t="str">
        <v>16:51:23</v>
      </c>
      <c r="K401">
        <v>-12.247517</v>
      </c>
      <c r="L401">
        <v>-76.93422</v>
      </c>
      <c r="M401">
        <f>HYPERLINK("https://www.google.com/maps/search/?api=1&amp;query=-12.247517,-76.93422","Carretera Panamericana Sur, Villa El Salvador, Lima")</f>
      </c>
      <c r="N401">
        <v>66.3</v>
      </c>
      <c r="O401">
        <v>95</v>
      </c>
      <c r="P401">
        <v>1766.23</v>
      </c>
      <c r="Q401" t="str">
        <v>69.60</v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401</v>
      </c>
      <c r="B402" t="str">
        <v>MASS BSF</v>
      </c>
      <c r="C402" t="str">
        <v>F8R-810</v>
      </c>
      <c r="D402" t="str">
        <v>F8R-810</v>
      </c>
      <c r="E402" t="str">
        <v/>
      </c>
      <c r="F402" t="str">
        <v>867806078868827</v>
      </c>
      <c r="G402" t="str">
        <v>TBD</v>
      </c>
      <c r="H402" t="str">
        <v/>
      </c>
      <c r="I402" t="str">
        <v>28/09/2026</v>
      </c>
      <c r="J402" t="str">
        <v>16:52:06</v>
      </c>
      <c r="K402">
        <v>-12.243887</v>
      </c>
      <c r="L402">
        <v>-76.94102</v>
      </c>
      <c r="M402">
        <f>HYPERLINK("https://www.google.com/maps/search/?api=1&amp;query=-12.243887,-76.94102","Carretera Panamericana Sur, Villa El Salvador, Lima")</f>
      </c>
      <c r="N402">
        <v>72.4</v>
      </c>
      <c r="O402">
        <v>95</v>
      </c>
      <c r="P402">
        <v>1767.07</v>
      </c>
      <c r="Q402" t="str">
        <v>69.60</v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402</v>
      </c>
      <c r="B403" t="str">
        <v>MASS BSF</v>
      </c>
      <c r="C403" t="str">
        <v>F8R-810</v>
      </c>
      <c r="D403" t="str">
        <v>F8R-810</v>
      </c>
      <c r="E403" t="str">
        <v/>
      </c>
      <c r="F403" t="str">
        <v>867806078868827</v>
      </c>
      <c r="G403" t="str">
        <v>TBD</v>
      </c>
      <c r="H403" t="str">
        <v/>
      </c>
      <c r="I403" t="str">
        <v>28/09/2026</v>
      </c>
      <c r="J403" t="str">
        <v>16:52:50</v>
      </c>
      <c r="K403">
        <v>-12.240387</v>
      </c>
      <c r="L403">
        <v>-76.94778</v>
      </c>
      <c r="M403">
        <f>HYPERLINK("https://www.google.com/maps/search/?api=1&amp;query=-12.240387,-76.94778","Carretera Panamericana Sur, Villa El Salvador, Lima")</f>
      </c>
      <c r="N403">
        <v>70</v>
      </c>
      <c r="O403">
        <v>78</v>
      </c>
      <c r="P403">
        <v>1767.89</v>
      </c>
      <c r="Q403" t="str">
        <v>69.60</v>
      </c>
      <c r="R403" t="str">
        <v>Aceleración brusca</v>
      </c>
      <c r="S403" t="str">
        <v/>
      </c>
      <c r="T403" t="str">
        <v/>
      </c>
      <c r="U403" t="str">
        <v/>
      </c>
    </row>
    <row r="404">
      <c r="A404" t="str">
        <v>403</v>
      </c>
      <c r="B404" t="str">
        <v>MASS BSF</v>
      </c>
      <c r="C404" t="str">
        <v>F8R-810</v>
      </c>
      <c r="D404" t="str">
        <v>F8R-810</v>
      </c>
      <c r="E404" t="str">
        <v/>
      </c>
      <c r="F404" t="str">
        <v>867806078868827</v>
      </c>
      <c r="G404" t="str">
        <v>TBD</v>
      </c>
      <c r="H404" t="str">
        <v/>
      </c>
      <c r="I404" t="str">
        <v>28/09/2026</v>
      </c>
      <c r="J404" t="str">
        <v>16:52:50</v>
      </c>
      <c r="K404">
        <v>-12.240305</v>
      </c>
      <c r="L404">
        <v>-76.94794</v>
      </c>
      <c r="M404">
        <f>HYPERLINK("https://www.google.com/maps/search/?api=1&amp;query=-12.240305,-76.94794","Carretera Panamericana Sur, Villa El Salvador, Lima")</f>
      </c>
      <c r="N404">
        <v>69.2</v>
      </c>
      <c r="O404">
        <v>78</v>
      </c>
      <c r="P404">
        <v>1767.91</v>
      </c>
      <c r="Q404" t="str">
        <v>69.60</v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404</v>
      </c>
      <c r="B405" t="str">
        <v>MASS BSF</v>
      </c>
      <c r="C405" t="str">
        <v>F8R-810</v>
      </c>
      <c r="D405" t="str">
        <v>F8R-810</v>
      </c>
      <c r="E405" t="str">
        <v/>
      </c>
      <c r="F405" t="str">
        <v>867806078868827</v>
      </c>
      <c r="G405" t="str">
        <v>TBD</v>
      </c>
      <c r="H405" t="str">
        <v/>
      </c>
      <c r="I405" t="str">
        <v>28/09/2026</v>
      </c>
      <c r="J405" t="str">
        <v>16:53:36</v>
      </c>
      <c r="K405">
        <v>-12.236703</v>
      </c>
      <c r="L405">
        <v>-76.9548</v>
      </c>
      <c r="M405">
        <f>HYPERLINK("https://www.google.com/maps/search/?api=1&amp;query=-12.236703,-76.9548","Carretera Panamericana Sur, Villa El Salvador, Lima")</f>
      </c>
      <c r="N405">
        <v>73.3</v>
      </c>
      <c r="O405">
        <v>78</v>
      </c>
      <c r="P405">
        <v>1768.75</v>
      </c>
      <c r="Q405" t="str">
        <v>69.60</v>
      </c>
      <c r="R405" t="str">
        <v/>
      </c>
      <c r="S405" t="str">
        <v/>
      </c>
      <c r="T405" t="str">
        <v/>
      </c>
      <c r="U405" t="str">
        <v/>
      </c>
    </row>
    <row r="406">
      <c r="A406" t="str">
        <v>405</v>
      </c>
      <c r="B406" t="str">
        <v>MASS BSF</v>
      </c>
      <c r="C406" t="str">
        <v>F8R-810</v>
      </c>
      <c r="D406" t="str">
        <v>F8R-810</v>
      </c>
      <c r="E406" t="str">
        <v/>
      </c>
      <c r="F406" t="str">
        <v>867806078868827</v>
      </c>
      <c r="G406" t="str">
        <v>TBD</v>
      </c>
      <c r="H406" t="str">
        <v/>
      </c>
      <c r="I406" t="str">
        <v>28/09/2026</v>
      </c>
      <c r="J406" t="str">
        <v>16:54:05</v>
      </c>
      <c r="K406">
        <v>-12.23431</v>
      </c>
      <c r="L406">
        <v>-76.95942</v>
      </c>
      <c r="M406">
        <f>HYPERLINK("https://www.google.com/maps/search/?api=1&amp;query=-12.23431,-76.95942","Carretera Panamericana Sur, Villa El Salvador, Lima")</f>
      </c>
      <c r="N406">
        <v>71.1</v>
      </c>
      <c r="O406">
        <v>95</v>
      </c>
      <c r="P406">
        <v>1769.32</v>
      </c>
      <c r="Q406" t="str">
        <v>69.60</v>
      </c>
      <c r="R406" t="str">
        <v>Aceleración brusca</v>
      </c>
      <c r="S406" t="str">
        <v/>
      </c>
      <c r="T406" t="str">
        <v/>
      </c>
      <c r="U406" t="str">
        <v/>
      </c>
    </row>
    <row r="407">
      <c r="A407" t="str">
        <v>406</v>
      </c>
      <c r="B407" t="str">
        <v>MASS BSF</v>
      </c>
      <c r="C407" t="str">
        <v>F8R-810</v>
      </c>
      <c r="D407" t="str">
        <v>F8R-810</v>
      </c>
      <c r="E407" t="str">
        <v/>
      </c>
      <c r="F407" t="str">
        <v>867806078868827</v>
      </c>
      <c r="G407" t="str">
        <v>TBD</v>
      </c>
      <c r="H407" t="str">
        <v/>
      </c>
      <c r="I407" t="str">
        <v>28/09/2026</v>
      </c>
      <c r="J407" t="str">
        <v>16:54:18</v>
      </c>
      <c r="K407">
        <v>-12.233156</v>
      </c>
      <c r="L407">
        <v>-76.96165</v>
      </c>
      <c r="M407">
        <f>HYPERLINK("https://www.google.com/maps/search/?api=1&amp;query=-12.233156,-76.96165","Carretera Panamericana Sur, Villa El Salvador, Lima")</f>
      </c>
      <c r="N407">
        <v>70.1</v>
      </c>
      <c r="O407">
        <v>95</v>
      </c>
      <c r="P407">
        <v>1769.59</v>
      </c>
      <c r="Q407" t="str">
        <v>69.60</v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>407</v>
      </c>
      <c r="B408" t="str">
        <v>MASS BSF</v>
      </c>
      <c r="C408" t="str">
        <v>F8R-810</v>
      </c>
      <c r="D408" t="str">
        <v>F8R-810</v>
      </c>
      <c r="E408" t="str">
        <v/>
      </c>
      <c r="F408" t="str">
        <v>867806078868827</v>
      </c>
      <c r="G408" t="str">
        <v>TBD</v>
      </c>
      <c r="H408" t="str">
        <v/>
      </c>
      <c r="I408" t="str">
        <v>28/09/2026</v>
      </c>
      <c r="J408" t="str">
        <v>16:54:50</v>
      </c>
      <c r="K408">
        <v>-12.230438</v>
      </c>
      <c r="L408">
        <v>-76.96652</v>
      </c>
      <c r="M408">
        <f>HYPERLINK("https://www.google.com/maps/search/?api=1&amp;query=-12.230438,-76.96652","Carretera Panamericana Sur, Villa El Salvador, Lima")</f>
      </c>
      <c r="N408">
        <v>68.8</v>
      </c>
      <c r="O408">
        <v>95</v>
      </c>
      <c r="P408">
        <v>1770.2</v>
      </c>
      <c r="Q408" t="str">
        <v>69.60</v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>408</v>
      </c>
      <c r="B409" t="str">
        <v>MASS BSF</v>
      </c>
      <c r="C409" t="str">
        <v>F8R-810</v>
      </c>
      <c r="D409" t="str">
        <v>F8R-810</v>
      </c>
      <c r="E409" t="str">
        <v/>
      </c>
      <c r="F409" t="str">
        <v>867806078868827</v>
      </c>
      <c r="G409" t="str">
        <v>TBD</v>
      </c>
      <c r="H409" t="str">
        <v/>
      </c>
      <c r="I409" t="str">
        <v>28/09/2026</v>
      </c>
      <c r="J409" t="str">
        <v>16:54:52</v>
      </c>
      <c r="K409">
        <v>-12.230331</v>
      </c>
      <c r="L409">
        <v>-76.96666</v>
      </c>
      <c r="M409">
        <f>HYPERLINK("https://www.google.com/maps/search/?api=1&amp;query=-12.230331,-76.96666","Carretera Panamericana Sur, Villa El Salvador, Lima")</f>
      </c>
      <c r="N409">
        <v>68.8</v>
      </c>
      <c r="O409">
        <v>95</v>
      </c>
      <c r="P409">
        <v>1770.22</v>
      </c>
      <c r="Q409" t="str">
        <v>69.60</v>
      </c>
      <c r="R409" t="str">
        <v>Aceleración brusca</v>
      </c>
      <c r="S409" t="str">
        <v/>
      </c>
      <c r="T409" t="str">
        <v/>
      </c>
      <c r="U409" t="str">
        <v/>
      </c>
    </row>
    <row r="410">
      <c r="A410" t="str">
        <v>409</v>
      </c>
      <c r="B410" t="str">
        <v>MASS BSF</v>
      </c>
      <c r="C410" t="str">
        <v>F8R-810</v>
      </c>
      <c r="D410" t="str">
        <v>F8R-810</v>
      </c>
      <c r="E410" t="str">
        <v/>
      </c>
      <c r="F410" t="str">
        <v>867806078868827</v>
      </c>
      <c r="G410" t="str">
        <v>TBD</v>
      </c>
      <c r="H410" t="str">
        <v/>
      </c>
      <c r="I410" t="str">
        <v>28/09/2026</v>
      </c>
      <c r="J410" t="str">
        <v>16:55:07</v>
      </c>
      <c r="K410">
        <v>-12.228407</v>
      </c>
      <c r="L410">
        <v>-76.96864</v>
      </c>
      <c r="M410">
        <f>HYPERLINK("https://www.google.com/maps/search/?api=1&amp;query=-12.228407,-76.96864","Carretera Panamericana Sur, Villa El Salvador, Lima")</f>
      </c>
      <c r="N410">
        <v>67.2</v>
      </c>
      <c r="O410">
        <v>95</v>
      </c>
      <c r="P410">
        <v>1770.52</v>
      </c>
      <c r="Q410" t="str">
        <v>69.60</v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>410</v>
      </c>
      <c r="B411" t="str">
        <v>MASS BSF</v>
      </c>
      <c r="C411" t="str">
        <v>F8R-810</v>
      </c>
      <c r="D411" t="str">
        <v>F8R-810</v>
      </c>
      <c r="E411" t="str">
        <v/>
      </c>
      <c r="F411" t="str">
        <v>867806078868827</v>
      </c>
      <c r="G411" t="str">
        <v>TBD</v>
      </c>
      <c r="H411" t="str">
        <v/>
      </c>
      <c r="I411" t="str">
        <v>28/09/2026</v>
      </c>
      <c r="J411" t="str">
        <v>16:55:26</v>
      </c>
      <c r="K411">
        <v>-12.2262</v>
      </c>
      <c r="L411">
        <v>-76.97073</v>
      </c>
      <c r="M411">
        <f>HYPERLINK("https://www.google.com/maps/search/?api=1&amp;query=-12.2262,-76.97073","Carretera Panamericana Sur, Villa El Salvador, Lima")</f>
      </c>
      <c r="N411">
        <v>65.7</v>
      </c>
      <c r="O411">
        <v>95</v>
      </c>
      <c r="P411">
        <v>1770.85</v>
      </c>
      <c r="Q411" t="str">
        <v>69.60</v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411</v>
      </c>
      <c r="B412" t="str">
        <v>MASS BSF</v>
      </c>
      <c r="C412" t="str">
        <v>F8R-810</v>
      </c>
      <c r="D412" t="str">
        <v>F8R-810</v>
      </c>
      <c r="E412" t="str">
        <v/>
      </c>
      <c r="F412" t="str">
        <v>867806078868827</v>
      </c>
      <c r="G412" t="str">
        <v>TBD</v>
      </c>
      <c r="H412" t="str">
        <v/>
      </c>
      <c r="I412" t="str">
        <v>28/09/2026</v>
      </c>
      <c r="J412" t="str">
        <v>16:55:37</v>
      </c>
      <c r="K412">
        <v>-12.224921</v>
      </c>
      <c r="L412">
        <v>-76.97206</v>
      </c>
      <c r="M412">
        <f>HYPERLINK("https://www.google.com/maps/search/?api=1&amp;query=-12.224921,-76.97206","Carretera Panamericana Sur, Villa El Salvador, Lima")</f>
      </c>
      <c r="N412">
        <v>66.8</v>
      </c>
      <c r="O412">
        <v>95</v>
      </c>
      <c r="P412">
        <v>1771.05</v>
      </c>
      <c r="Q412" t="str">
        <v>69.60</v>
      </c>
      <c r="R412" t="str">
        <v>Aceleración brusca</v>
      </c>
      <c r="S412" t="str">
        <v/>
      </c>
      <c r="T412" t="str">
        <v/>
      </c>
      <c r="U412" t="str">
        <v/>
      </c>
    </row>
    <row r="413">
      <c r="A413" t="str">
        <v>412</v>
      </c>
      <c r="B413" t="str">
        <v>MASS BSF</v>
      </c>
      <c r="C413" t="str">
        <v>F8R-810</v>
      </c>
      <c r="D413" t="str">
        <v>F8R-810</v>
      </c>
      <c r="E413" t="str">
        <v/>
      </c>
      <c r="F413" t="str">
        <v>867806078868827</v>
      </c>
      <c r="G413" t="str">
        <v>TBD</v>
      </c>
      <c r="H413" t="str">
        <v/>
      </c>
      <c r="I413" t="str">
        <v>28/09/2026</v>
      </c>
      <c r="J413" t="str">
        <v>16:55:46</v>
      </c>
      <c r="K413">
        <v>-12.22382</v>
      </c>
      <c r="L413">
        <v>-76.973145</v>
      </c>
      <c r="M413">
        <f>HYPERLINK("https://www.google.com/maps/search/?api=1&amp;query=-12.22382,-76.973145","Carretera Panamericana Sur, Chorrillos, Lima")</f>
      </c>
      <c r="N413">
        <v>67.7</v>
      </c>
      <c r="O413">
        <v>95</v>
      </c>
      <c r="P413">
        <v>1771.22</v>
      </c>
      <c r="Q413" t="str">
        <v>69.60</v>
      </c>
      <c r="R413" t="str">
        <v>Aceleración brusca</v>
      </c>
      <c r="S413" t="str">
        <v/>
      </c>
      <c r="T413" t="str">
        <v/>
      </c>
      <c r="U413" t="str">
        <v/>
      </c>
    </row>
    <row r="414">
      <c r="A414" t="str">
        <v>413</v>
      </c>
      <c r="B414" t="str">
        <v>MASS BSF</v>
      </c>
      <c r="C414" t="str">
        <v>F8R-810</v>
      </c>
      <c r="D414" t="str">
        <v>F8R-810</v>
      </c>
      <c r="E414" t="str">
        <v/>
      </c>
      <c r="F414" t="str">
        <v>867806078868827</v>
      </c>
      <c r="G414" t="str">
        <v>TBD</v>
      </c>
      <c r="H414" t="str">
        <v/>
      </c>
      <c r="I414" t="str">
        <v>28/09/2026</v>
      </c>
      <c r="J414" t="str">
        <v>16:55:49</v>
      </c>
      <c r="K414">
        <v>-12.223331</v>
      </c>
      <c r="L414">
        <v>-76.973625</v>
      </c>
      <c r="M414">
        <f>HYPERLINK("https://www.google.com/maps/search/?api=1&amp;query=-12.223331,-76.973625","Carretera Panamericana Sur, Chorrillos, Lima")</f>
      </c>
      <c r="N414">
        <v>67.2</v>
      </c>
      <c r="O414">
        <v>95</v>
      </c>
      <c r="P414">
        <v>1771.29</v>
      </c>
      <c r="Q414" t="str">
        <v>69.60</v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414</v>
      </c>
      <c r="B415" t="str">
        <v>MASS BSF</v>
      </c>
      <c r="C415" t="str">
        <v>F8R-810</v>
      </c>
      <c r="D415" t="str">
        <v>F8R-810</v>
      </c>
      <c r="E415" t="str">
        <v/>
      </c>
      <c r="F415" t="str">
        <v>867806078868827</v>
      </c>
      <c r="G415" t="str">
        <v>TBD</v>
      </c>
      <c r="H415" t="str">
        <v/>
      </c>
      <c r="I415" t="str">
        <v>28/09/2026</v>
      </c>
      <c r="J415" t="str">
        <v>16:55:55</v>
      </c>
      <c r="K415">
        <v>-12.222733</v>
      </c>
      <c r="L415">
        <v>-76.97421</v>
      </c>
      <c r="M415">
        <f>HYPERLINK("https://www.google.com/maps/search/?api=1&amp;query=-12.222733,-76.97421","Carretera Panamericana Sur, Chorrillos, Lima")</f>
      </c>
      <c r="N415">
        <v>66.1</v>
      </c>
      <c r="O415">
        <v>95</v>
      </c>
      <c r="P415">
        <v>1771.39</v>
      </c>
      <c r="Q415" t="str">
        <v>69.60</v>
      </c>
      <c r="R415" t="str">
        <v>Aceleración brusca</v>
      </c>
      <c r="S415" t="str">
        <v/>
      </c>
      <c r="T415" t="str">
        <v/>
      </c>
      <c r="U415" t="str">
        <v/>
      </c>
    </row>
    <row r="416">
      <c r="A416" t="str">
        <v>415</v>
      </c>
      <c r="B416" t="str">
        <v>MASS BSF</v>
      </c>
      <c r="C416" t="str">
        <v>F8R-810</v>
      </c>
      <c r="D416" t="str">
        <v>F8R-810</v>
      </c>
      <c r="E416" t="str">
        <v/>
      </c>
      <c r="F416" t="str">
        <v>867806078868827</v>
      </c>
      <c r="G416" t="str">
        <v>TBD</v>
      </c>
      <c r="H416" t="str">
        <v/>
      </c>
      <c r="I416" t="str">
        <v>28/09/2026</v>
      </c>
      <c r="J416" t="str">
        <v>16:56:10</v>
      </c>
      <c r="K416">
        <v>-12.220965</v>
      </c>
      <c r="L416">
        <v>-76.975815</v>
      </c>
      <c r="M416">
        <f>HYPERLINK("https://www.google.com/maps/search/?api=1&amp;query=-12.220965,-76.975815","Carretera Panamericana Sur, Villa El Salvador, Lima")</f>
      </c>
      <c r="N416">
        <v>51.8</v>
      </c>
      <c r="O416">
        <v>95</v>
      </c>
      <c r="P416">
        <v>1771.65</v>
      </c>
      <c r="Q416" t="str">
        <v>69.60</v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>416</v>
      </c>
      <c r="B417" t="str">
        <v>MASS BSF</v>
      </c>
      <c r="C417" t="str">
        <v>F8R-810</v>
      </c>
      <c r="D417" t="str">
        <v>F8R-810</v>
      </c>
      <c r="E417" t="str">
        <v/>
      </c>
      <c r="F417" t="str">
        <v>867806078868827</v>
      </c>
      <c r="G417" t="str">
        <v>TBD</v>
      </c>
      <c r="H417" t="str">
        <v/>
      </c>
      <c r="I417" t="str">
        <v>28/09/2026</v>
      </c>
      <c r="J417" t="str">
        <v>16:56:15</v>
      </c>
      <c r="K417">
        <v>-12.220377</v>
      </c>
      <c r="L417">
        <v>-76.97598</v>
      </c>
      <c r="M417">
        <f>HYPERLINK("https://www.google.com/maps/search/?api=1&amp;query=-12.220377,-76.97598","Antigua Panamericana Sur, Villa El Salvador, Lima")</f>
      </c>
      <c r="N417">
        <v>50.3</v>
      </c>
      <c r="O417">
        <v>74</v>
      </c>
      <c r="P417">
        <v>1771.72</v>
      </c>
      <c r="Q417" t="str">
        <v>69.60</v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>417</v>
      </c>
      <c r="B418" t="str">
        <v>MASS BSF</v>
      </c>
      <c r="C418" t="str">
        <v>F8R-810</v>
      </c>
      <c r="D418" t="str">
        <v>F8R-810</v>
      </c>
      <c r="E418" t="str">
        <v/>
      </c>
      <c r="F418" t="str">
        <v>867806078868827</v>
      </c>
      <c r="G418" t="str">
        <v>TBD</v>
      </c>
      <c r="H418" t="str">
        <v/>
      </c>
      <c r="I418" t="str">
        <v>28/09/2026</v>
      </c>
      <c r="J418" t="str">
        <v>16:56:21</v>
      </c>
      <c r="K418">
        <v>-12.219742</v>
      </c>
      <c r="L418">
        <v>-76.9759</v>
      </c>
      <c r="M418">
        <f>HYPERLINK("https://www.google.com/maps/search/?api=1&amp;query=-12.219742,-76.9759","Villa El Salvador, Lima")</f>
      </c>
      <c r="N418">
        <v>50.7</v>
      </c>
      <c r="O418">
        <v>74</v>
      </c>
      <c r="P418">
        <v>1771.79</v>
      </c>
      <c r="Q418" t="str">
        <v>69.60</v>
      </c>
      <c r="R418" t="str">
        <v>Acelerado y giro brusco</v>
      </c>
      <c r="S418" t="str">
        <v/>
      </c>
      <c r="T418" t="str">
        <v/>
      </c>
      <c r="U418" t="str">
        <v/>
      </c>
    </row>
    <row r="419">
      <c r="A419" t="str">
        <v>418</v>
      </c>
      <c r="B419" t="str">
        <v>MASS BSF</v>
      </c>
      <c r="C419" t="str">
        <v>F8R-810</v>
      </c>
      <c r="D419" t="str">
        <v>F8R-810</v>
      </c>
      <c r="E419" t="str">
        <v/>
      </c>
      <c r="F419" t="str">
        <v>867806078868827</v>
      </c>
      <c r="G419" t="str">
        <v>TBD</v>
      </c>
      <c r="H419" t="str">
        <v/>
      </c>
      <c r="I419" t="str">
        <v>28/09/2026</v>
      </c>
      <c r="J419" t="str">
        <v>16:56:21</v>
      </c>
      <c r="K419">
        <v>-12.219619</v>
      </c>
      <c r="L419">
        <v>-76.975876</v>
      </c>
      <c r="M419">
        <f>HYPERLINK("https://www.google.com/maps/search/?api=1&amp;query=-12.219619,-76.975876","Villa El Salvador, Lima")</f>
      </c>
      <c r="N419">
        <v>50.1</v>
      </c>
      <c r="O419">
        <v>74</v>
      </c>
      <c r="P419">
        <v>1771.8</v>
      </c>
      <c r="Q419" t="str">
        <v>69.60</v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419</v>
      </c>
      <c r="B420" t="str">
        <v>MASS BSF</v>
      </c>
      <c r="C420" t="str">
        <v>F8R-810</v>
      </c>
      <c r="D420" t="str">
        <v>F8R-810</v>
      </c>
      <c r="E420" t="str">
        <v/>
      </c>
      <c r="F420" t="str">
        <v>867806078868827</v>
      </c>
      <c r="G420" t="str">
        <v>TBD</v>
      </c>
      <c r="H420" t="str">
        <v/>
      </c>
      <c r="I420" t="str">
        <v>28/09/2026</v>
      </c>
      <c r="J420" t="str">
        <v>16:56:27</v>
      </c>
      <c r="K420">
        <v>-12.218944</v>
      </c>
      <c r="L420">
        <v>-76.975784</v>
      </c>
      <c r="M420">
        <f>HYPERLINK("https://www.google.com/maps/search/?api=1&amp;query=-12.218944,-76.975784","Villa El Salvador, Lima")</f>
      </c>
      <c r="N420">
        <v>39.2</v>
      </c>
      <c r="O420">
        <v>74</v>
      </c>
      <c r="P420">
        <v>1771.88</v>
      </c>
      <c r="Q420" t="str">
        <v>69.60</v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420</v>
      </c>
      <c r="B421" t="str">
        <v>MASS BSF</v>
      </c>
      <c r="C421" t="str">
        <v>F8R-810</v>
      </c>
      <c r="D421" t="str">
        <v>F8R-810</v>
      </c>
      <c r="E421" t="str">
        <v/>
      </c>
      <c r="F421" t="str">
        <v>867806078868827</v>
      </c>
      <c r="G421" t="str">
        <v>TBD</v>
      </c>
      <c r="H421" t="str">
        <v/>
      </c>
      <c r="I421" t="str">
        <v>28/09/2026</v>
      </c>
      <c r="J421" t="str">
        <v>16:56:32</v>
      </c>
      <c r="K421">
        <v>-12.218473</v>
      </c>
      <c r="L421">
        <v>-76.97591</v>
      </c>
      <c r="M421">
        <f>HYPERLINK("https://www.google.com/maps/search/?api=1&amp;query=-12.218473,-76.97591","Villa El Salvador, Lima")</f>
      </c>
      <c r="N421">
        <v>40.1</v>
      </c>
      <c r="O421">
        <v>85</v>
      </c>
      <c r="P421">
        <v>1771.93</v>
      </c>
      <c r="Q421" t="str">
        <v>69.60</v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421</v>
      </c>
      <c r="B422" t="str">
        <v>MASS BSF</v>
      </c>
      <c r="C422" t="str">
        <v>F8R-810</v>
      </c>
      <c r="D422" t="str">
        <v>F8R-810</v>
      </c>
      <c r="E422" t="str">
        <v/>
      </c>
      <c r="F422" t="str">
        <v>867806078868827</v>
      </c>
      <c r="G422" t="str">
        <v>TBD</v>
      </c>
      <c r="H422" t="str">
        <v/>
      </c>
      <c r="I422" t="str">
        <v>28/09/2026</v>
      </c>
      <c r="J422" t="str">
        <v>16:56:37</v>
      </c>
      <c r="K422">
        <v>-12.218106</v>
      </c>
      <c r="L422">
        <v>-76.97626</v>
      </c>
      <c r="M422">
        <f>HYPERLINK("https://www.google.com/maps/search/?api=1&amp;query=-12.218106,-76.97626","Villa El Salvador, Lima")</f>
      </c>
      <c r="N422">
        <v>40.5</v>
      </c>
      <c r="O422">
        <v>85</v>
      </c>
      <c r="P422">
        <v>1771.98</v>
      </c>
      <c r="Q422" t="str">
        <v>69.60</v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>422</v>
      </c>
      <c r="B423" t="str">
        <v>MASS BSF</v>
      </c>
      <c r="C423" t="str">
        <v>F8R-810</v>
      </c>
      <c r="D423" t="str">
        <v>F8R-810</v>
      </c>
      <c r="E423" t="str">
        <v/>
      </c>
      <c r="F423" t="str">
        <v>867806078868827</v>
      </c>
      <c r="G423" t="str">
        <v>TBD</v>
      </c>
      <c r="H423" t="str">
        <v/>
      </c>
      <c r="I423" t="str">
        <v>28/09/2026</v>
      </c>
      <c r="J423" t="str">
        <v>16:56:42</v>
      </c>
      <c r="K423">
        <v>-12.21795</v>
      </c>
      <c r="L423">
        <v>-76.97675</v>
      </c>
      <c r="M423">
        <f>HYPERLINK("https://www.google.com/maps/search/?api=1&amp;query=-12.21795,-76.97675","Avenida Caminos del Inca, Villa El Salvador, Lima")</f>
      </c>
      <c r="N423">
        <v>42.7</v>
      </c>
      <c r="O423">
        <v>85</v>
      </c>
      <c r="P423">
        <v>1772.04</v>
      </c>
      <c r="Q423" t="str">
        <v>69.60</v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>423</v>
      </c>
      <c r="B424" t="str">
        <v>MASS BSF</v>
      </c>
      <c r="C424" t="str">
        <v>F8R-810</v>
      </c>
      <c r="D424" t="str">
        <v>F8R-810</v>
      </c>
      <c r="E424" t="str">
        <v/>
      </c>
      <c r="F424" t="str">
        <v>867806078868827</v>
      </c>
      <c r="G424" t="str">
        <v>TBD</v>
      </c>
      <c r="H424" t="str">
        <v/>
      </c>
      <c r="I424" t="str">
        <v>28/09/2026</v>
      </c>
      <c r="J424" t="str">
        <v>16:56:50</v>
      </c>
      <c r="K424">
        <v>-12.21792</v>
      </c>
      <c r="L424">
        <v>-76.97753</v>
      </c>
      <c r="M424">
        <f>HYPERLINK("https://www.google.com/maps/search/?api=1&amp;query=-12.21792,-76.97753","Avenida Caminos del Inca, Chorrillos, Lima")</f>
      </c>
      <c r="N424">
        <v>41.6</v>
      </c>
      <c r="O424">
        <v>85</v>
      </c>
      <c r="P424">
        <v>1772.13</v>
      </c>
      <c r="Q424" t="str">
        <v>69.60</v>
      </c>
      <c r="R424" t="str">
        <v>Acelerado y giro brusco</v>
      </c>
      <c r="S424" t="str">
        <v/>
      </c>
      <c r="T424" t="str">
        <v/>
      </c>
      <c r="U424" t="str">
        <v/>
      </c>
    </row>
    <row r="425">
      <c r="A425" t="str">
        <v>424</v>
      </c>
      <c r="B425" t="str">
        <v>MASS BSF</v>
      </c>
      <c r="C425" t="str">
        <v>F8R-810</v>
      </c>
      <c r="D425" t="str">
        <v>F8R-810</v>
      </c>
      <c r="E425" t="str">
        <v/>
      </c>
      <c r="F425" t="str">
        <v>867806078868827</v>
      </c>
      <c r="G425" t="str">
        <v>TBD</v>
      </c>
      <c r="H425" t="str">
        <v/>
      </c>
      <c r="I425" t="str">
        <v>28/09/2026</v>
      </c>
      <c r="J425" t="str">
        <v>16:56:56</v>
      </c>
      <c r="K425">
        <v>-12.217896</v>
      </c>
      <c r="L425">
        <v>-76.978</v>
      </c>
      <c r="M425">
        <f>HYPERLINK("https://www.google.com/maps/search/?api=1&amp;query=-12.217896,-76.978","Avenida Caminos del Inca, Chorrillos, Lima")</f>
      </c>
      <c r="N425">
        <v>12.5</v>
      </c>
      <c r="O425">
        <v>77</v>
      </c>
      <c r="P425">
        <v>1772.18</v>
      </c>
      <c r="Q425" t="str">
        <v>69.60</v>
      </c>
      <c r="R425" t="str">
        <v>Bache</v>
      </c>
      <c r="S425" t="str">
        <v/>
      </c>
      <c r="T425" t="str">
        <v/>
      </c>
      <c r="U425" t="str">
        <v/>
      </c>
    </row>
    <row r="426">
      <c r="A426" t="str">
        <v>425</v>
      </c>
      <c r="B426" t="str">
        <v>MASS BSF</v>
      </c>
      <c r="C426" t="str">
        <v>F8R-810</v>
      </c>
      <c r="D426" t="str">
        <v>F8R-810</v>
      </c>
      <c r="E426" t="str">
        <v/>
      </c>
      <c r="F426" t="str">
        <v>867806078868827</v>
      </c>
      <c r="G426" t="str">
        <v>TBD</v>
      </c>
      <c r="H426" t="str">
        <v/>
      </c>
      <c r="I426" t="str">
        <v>28/09/2026</v>
      </c>
      <c r="J426" t="str">
        <v>16:57:07</v>
      </c>
      <c r="K426">
        <v>-12.217822</v>
      </c>
      <c r="L426">
        <v>-76.97863</v>
      </c>
      <c r="M426">
        <f>HYPERLINK("https://www.google.com/maps/search/?api=1&amp;query=-12.217822,-76.97863","Avenida Caminos del Inca, Chorrillos, Lima")</f>
      </c>
      <c r="N426">
        <v>35.5</v>
      </c>
      <c r="O426">
        <v>85</v>
      </c>
      <c r="P426">
        <v>1772.24</v>
      </c>
      <c r="Q426" t="str">
        <v>69.60</v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426</v>
      </c>
      <c r="B427" t="str">
        <v>MASS BSF</v>
      </c>
      <c r="C427" t="str">
        <v>F8R-810</v>
      </c>
      <c r="D427" t="str">
        <v>F8R-810</v>
      </c>
      <c r="E427" t="str">
        <v/>
      </c>
      <c r="F427" t="str">
        <v>867806078868827</v>
      </c>
      <c r="G427" t="str">
        <v>TBD</v>
      </c>
      <c r="H427" t="str">
        <v/>
      </c>
      <c r="I427" t="str">
        <v>28/09/2026</v>
      </c>
      <c r="J427" t="str">
        <v>16:57:12</v>
      </c>
      <c r="K427">
        <v>-12.217617</v>
      </c>
      <c r="L427">
        <v>-76.97911</v>
      </c>
      <c r="M427">
        <f>HYPERLINK("https://www.google.com/maps/search/?api=1&amp;query=-12.217617,-76.97911","Avenida Caminos del Inca, Chorrillos, Lima")</f>
      </c>
      <c r="N427">
        <v>45.3</v>
      </c>
      <c r="O427">
        <v>85</v>
      </c>
      <c r="P427">
        <v>1772.3</v>
      </c>
      <c r="Q427" t="str">
        <v>69.60</v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427</v>
      </c>
      <c r="B428" t="str">
        <v>MASS BSF</v>
      </c>
      <c r="C428" t="str">
        <v>F8R-810</v>
      </c>
      <c r="D428" t="str">
        <v>F8R-810</v>
      </c>
      <c r="E428" t="str">
        <v/>
      </c>
      <c r="F428" t="str">
        <v>867806078868827</v>
      </c>
      <c r="G428" t="str">
        <v>TBD</v>
      </c>
      <c r="H428" t="str">
        <v/>
      </c>
      <c r="I428" t="str">
        <v>28/09/2026</v>
      </c>
      <c r="J428" t="str">
        <v>16:57:17</v>
      </c>
      <c r="K428">
        <v>-12.217235</v>
      </c>
      <c r="L428">
        <v>-76.97957</v>
      </c>
      <c r="M428">
        <f>HYPERLINK("https://www.google.com/maps/search/?api=1&amp;query=-12.217235,-76.97957","Avenida Caminos del Inca, Chorrillos, Lima")</f>
      </c>
      <c r="N428">
        <v>49.8</v>
      </c>
      <c r="O428">
        <v>93</v>
      </c>
      <c r="P428">
        <v>1772.37</v>
      </c>
      <c r="Q428" t="str">
        <v>69.60</v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>428</v>
      </c>
      <c r="B429" t="str">
        <v>MASS BSF</v>
      </c>
      <c r="C429" t="str">
        <v>F8R-810</v>
      </c>
      <c r="D429" t="str">
        <v>F8R-810</v>
      </c>
      <c r="E429" t="str">
        <v/>
      </c>
      <c r="F429" t="str">
        <v>867806078868827</v>
      </c>
      <c r="G429" t="str">
        <v>TBD</v>
      </c>
      <c r="H429" t="str">
        <v/>
      </c>
      <c r="I429" t="str">
        <v>28/09/2026</v>
      </c>
      <c r="J429" t="str">
        <v>16:57:31</v>
      </c>
      <c r="K429">
        <v>-12.216086</v>
      </c>
      <c r="L429">
        <v>-76.98066</v>
      </c>
      <c r="M429">
        <f>HYPERLINK("https://www.google.com/maps/search/?api=1&amp;query=-12.216086,-76.98066","Avenida Caminos del Inca, Chorrillos, Lima")</f>
      </c>
      <c r="N429">
        <v>37.5</v>
      </c>
      <c r="O429">
        <v>85</v>
      </c>
      <c r="P429">
        <v>1772.54</v>
      </c>
      <c r="Q429" t="str">
        <v>69.60</v>
      </c>
      <c r="R429" t="str">
        <v>Acelerado y giro brusco</v>
      </c>
      <c r="S429" t="str">
        <v/>
      </c>
      <c r="T429" t="str">
        <v/>
      </c>
      <c r="U429" t="str">
        <v/>
      </c>
    </row>
    <row r="430">
      <c r="A430" t="str">
        <v>429</v>
      </c>
      <c r="B430" t="str">
        <v>MASS BSF</v>
      </c>
      <c r="C430" t="str">
        <v>F8R-810</v>
      </c>
      <c r="D430" t="str">
        <v>F8R-810</v>
      </c>
      <c r="E430" t="str">
        <v/>
      </c>
      <c r="F430" t="str">
        <v>867806078868827</v>
      </c>
      <c r="G430" t="str">
        <v>TBD</v>
      </c>
      <c r="H430" t="str">
        <v/>
      </c>
      <c r="I430" t="str">
        <v>28/09/2026</v>
      </c>
      <c r="J430" t="str">
        <v>16:57:33</v>
      </c>
      <c r="K430">
        <v>-12.215898</v>
      </c>
      <c r="L430">
        <v>-76.98082</v>
      </c>
      <c r="M430">
        <f>HYPERLINK("https://www.google.com/maps/search/?api=1&amp;query=-12.215898,-76.98082","Avenida Caminos del Inca, Chorrillos, Lima")</f>
      </c>
      <c r="N430">
        <v>27.5</v>
      </c>
      <c r="O430">
        <v>93</v>
      </c>
      <c r="P430">
        <v>1772.57</v>
      </c>
      <c r="Q430" t="str">
        <v>69.60</v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>430</v>
      </c>
      <c r="B431" t="str">
        <v>MASS BSF</v>
      </c>
      <c r="C431" t="str">
        <v>F8R-810</v>
      </c>
      <c r="D431" t="str">
        <v>F8R-810</v>
      </c>
      <c r="E431" t="str">
        <v/>
      </c>
      <c r="F431" t="str">
        <v>867806078868827</v>
      </c>
      <c r="G431" t="str">
        <v>TBD</v>
      </c>
      <c r="H431" t="str">
        <v/>
      </c>
      <c r="I431" t="str">
        <v>28/09/2026</v>
      </c>
      <c r="J431" t="str">
        <v>16:57:37</v>
      </c>
      <c r="K431">
        <v>-12.215758</v>
      </c>
      <c r="L431">
        <v>-76.98091</v>
      </c>
      <c r="M431">
        <f>HYPERLINK("https://www.google.com/maps/search/?api=1&amp;query=-12.215758,-76.98091","Avenida Caminos del Inca, Chorrillos, Lima")</f>
      </c>
      <c r="N431">
        <v>18.5</v>
      </c>
      <c r="O431">
        <v>85</v>
      </c>
      <c r="P431">
        <v>1772.58</v>
      </c>
      <c r="Q431" t="str">
        <v>69.60</v>
      </c>
      <c r="R431" t="str">
        <v>Acelerado y giro brusco</v>
      </c>
      <c r="S431" t="str">
        <v/>
      </c>
      <c r="T431" t="str">
        <v/>
      </c>
      <c r="U431" t="str">
        <v/>
      </c>
    </row>
    <row r="432">
      <c r="A432" t="str">
        <v>431</v>
      </c>
      <c r="B432" t="str">
        <v>MASS BSF</v>
      </c>
      <c r="C432" t="str">
        <v>F8R-810</v>
      </c>
      <c r="D432" t="str">
        <v>F8R-810</v>
      </c>
      <c r="E432" t="str">
        <v/>
      </c>
      <c r="F432" t="str">
        <v>867806078868827</v>
      </c>
      <c r="G432" t="str">
        <v>TBD</v>
      </c>
      <c r="H432" t="str">
        <v/>
      </c>
      <c r="I432" t="str">
        <v>28/09/2026</v>
      </c>
      <c r="J432" t="str">
        <v>16:57:38</v>
      </c>
      <c r="K432">
        <v>-12.215698</v>
      </c>
      <c r="L432">
        <v>-76.98097</v>
      </c>
      <c r="M432">
        <f>HYPERLINK("https://www.google.com/maps/search/?api=1&amp;query=-12.215698,-76.98097","Avenida Caminos del Inca, Chorrillos, Lima")</f>
      </c>
      <c r="N432">
        <v>15.5</v>
      </c>
      <c r="O432">
        <v>85</v>
      </c>
      <c r="P432">
        <v>1772.59</v>
      </c>
      <c r="Q432" t="str">
        <v>69.60</v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432</v>
      </c>
      <c r="B433" t="str">
        <v>MASS BSF</v>
      </c>
      <c r="C433" t="str">
        <v>F8R-810</v>
      </c>
      <c r="D433" t="str">
        <v>F8R-810</v>
      </c>
      <c r="E433" t="str">
        <v/>
      </c>
      <c r="F433" t="str">
        <v>867806078868827</v>
      </c>
      <c r="G433" t="str">
        <v>TBD</v>
      </c>
      <c r="H433" t="str">
        <v/>
      </c>
      <c r="I433" t="str">
        <v>28/09/2026</v>
      </c>
      <c r="J433" t="str">
        <v>16:57:43</v>
      </c>
      <c r="K433">
        <v>-12.215725</v>
      </c>
      <c r="L433">
        <v>-76.981125</v>
      </c>
      <c r="M433">
        <f>HYPERLINK("https://www.google.com/maps/search/?api=1&amp;query=-12.215725,-76.981125","Avenida Caminos del Inca, Chorrillos, Lima")</f>
      </c>
      <c r="N433">
        <v>8.1</v>
      </c>
      <c r="O433">
        <v>85</v>
      </c>
      <c r="P433">
        <v>1772.61</v>
      </c>
      <c r="Q433" t="str">
        <v>69.60</v>
      </c>
      <c r="R433" t="str">
        <v/>
      </c>
      <c r="S433" t="str">
        <v/>
      </c>
      <c r="T433" t="str">
        <v/>
      </c>
      <c r="U433" t="str">
        <v/>
      </c>
    </row>
    <row r="434">
      <c r="A434" t="str">
        <v>433</v>
      </c>
      <c r="B434" t="str">
        <v>MASS BSF</v>
      </c>
      <c r="C434" t="str">
        <v>F8R-810</v>
      </c>
      <c r="D434" t="str">
        <v>F8R-810</v>
      </c>
      <c r="E434" t="str">
        <v/>
      </c>
      <c r="F434" t="str">
        <v>867806078868827</v>
      </c>
      <c r="G434" t="str">
        <v>TBD</v>
      </c>
      <c r="H434" t="str">
        <v/>
      </c>
      <c r="I434" t="str">
        <v>28/09/2026</v>
      </c>
      <c r="J434" t="str">
        <v>16:57:48</v>
      </c>
      <c r="K434">
        <v>-12.215858</v>
      </c>
      <c r="L434">
        <v>-76.981155</v>
      </c>
      <c r="M434">
        <f>HYPERLINK("https://www.google.com/maps/search/?api=1&amp;query=-12.215858,-76.981155","Avenida Caminos del Inca, Chorrillos, Lima")</f>
      </c>
      <c r="N434">
        <v>12</v>
      </c>
      <c r="O434">
        <v>85</v>
      </c>
      <c r="P434">
        <v>1772.63</v>
      </c>
      <c r="Q434" t="str">
        <v>69.60</v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434</v>
      </c>
      <c r="B435" t="str">
        <v>MASS BSF</v>
      </c>
      <c r="C435" t="str">
        <v>F8R-810</v>
      </c>
      <c r="D435" t="str">
        <v>F8R-810</v>
      </c>
      <c r="E435" t="str">
        <v/>
      </c>
      <c r="F435" t="str">
        <v>867806078868827</v>
      </c>
      <c r="G435" t="str">
        <v>TBD</v>
      </c>
      <c r="H435" t="str">
        <v/>
      </c>
      <c r="I435" t="str">
        <v>28/09/2026</v>
      </c>
      <c r="J435" t="str">
        <v>16:57:50</v>
      </c>
      <c r="K435">
        <v>-12.215917</v>
      </c>
      <c r="L435">
        <v>-76.98111</v>
      </c>
      <c r="M435">
        <f>HYPERLINK("https://www.google.com/maps/search/?api=1&amp;query=-12.215917,-76.98111","Prolongación Huaylas, Chorrillos, Lima")</f>
      </c>
      <c r="N435">
        <v>16.1</v>
      </c>
      <c r="O435">
        <v>85</v>
      </c>
      <c r="P435">
        <v>1772.63</v>
      </c>
      <c r="Q435" t="str">
        <v>69.60</v>
      </c>
      <c r="R435" t="str">
        <v>Acelerado y giro brusco</v>
      </c>
      <c r="S435" t="str">
        <v/>
      </c>
      <c r="T435" t="str">
        <v/>
      </c>
      <c r="U435" t="str">
        <v/>
      </c>
    </row>
    <row r="436">
      <c r="A436" t="str">
        <v>435</v>
      </c>
      <c r="B436" t="str">
        <v>MASS BSF</v>
      </c>
      <c r="C436" t="str">
        <v>F8R-810</v>
      </c>
      <c r="D436" t="str">
        <v>F8R-810</v>
      </c>
      <c r="E436" t="str">
        <v/>
      </c>
      <c r="F436" t="str">
        <v>867806078868827</v>
      </c>
      <c r="G436" t="str">
        <v>TBD</v>
      </c>
      <c r="H436" t="str">
        <v/>
      </c>
      <c r="I436" t="str">
        <v>28/09/2026</v>
      </c>
      <c r="J436" t="str">
        <v>16:57:53</v>
      </c>
      <c r="K436">
        <v>-12.21598</v>
      </c>
      <c r="L436">
        <v>-76.980995</v>
      </c>
      <c r="M436">
        <f>HYPERLINK("https://www.google.com/maps/search/?api=1&amp;query=-12.21598,-76.980995","Prolongación Huaylas, Chorrillos, Lima")</f>
      </c>
      <c r="N436">
        <v>17.7</v>
      </c>
      <c r="O436">
        <v>85</v>
      </c>
      <c r="P436">
        <v>1772.65</v>
      </c>
      <c r="Q436" t="str">
        <v>69.60</v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>436</v>
      </c>
      <c r="B437" t="str">
        <v>MASS BSF</v>
      </c>
      <c r="C437" t="str">
        <v>F8R-810</v>
      </c>
      <c r="D437" t="str">
        <v>F8R-810</v>
      </c>
      <c r="E437" t="str">
        <v/>
      </c>
      <c r="F437" t="str">
        <v>867806078868827</v>
      </c>
      <c r="G437" t="str">
        <v>TBD</v>
      </c>
      <c r="H437" t="str">
        <v/>
      </c>
      <c r="I437" t="str">
        <v>28/09/2026</v>
      </c>
      <c r="J437" t="str">
        <v>16:57:58</v>
      </c>
      <c r="K437">
        <v>-12.216097</v>
      </c>
      <c r="L437">
        <v>-76.98074</v>
      </c>
      <c r="M437">
        <f>HYPERLINK("https://www.google.com/maps/search/?api=1&amp;query=-12.216097,-76.98074","Avenida Caminos del Inca, Chorrillos, Lima")</f>
      </c>
      <c r="N437">
        <v>25.7</v>
      </c>
      <c r="O437">
        <v>95</v>
      </c>
      <c r="P437">
        <v>1772.68</v>
      </c>
      <c r="Q437" t="str">
        <v>69.60</v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>437</v>
      </c>
      <c r="B438" t="str">
        <v>MASS BSF</v>
      </c>
      <c r="C438" t="str">
        <v>F8R-810</v>
      </c>
      <c r="D438" t="str">
        <v>F8R-810</v>
      </c>
      <c r="E438" t="str">
        <v/>
      </c>
      <c r="F438" t="str">
        <v>867806078868827</v>
      </c>
      <c r="G438" t="str">
        <v>TBD</v>
      </c>
      <c r="H438" t="str">
        <v/>
      </c>
      <c r="I438" t="str">
        <v>28/09/2026</v>
      </c>
      <c r="J438" t="str">
        <v>16:58:03</v>
      </c>
      <c r="K438">
        <v>-12.216372</v>
      </c>
      <c r="L438">
        <v>-76.9805</v>
      </c>
      <c r="M438">
        <f>HYPERLINK("https://www.google.com/maps/search/?api=1&amp;query=-12.216372,-76.9805","Avenida Caminos del Inca, Chorrillos, Lima")</f>
      </c>
      <c r="N438">
        <v>31.8</v>
      </c>
      <c r="O438">
        <v>88</v>
      </c>
      <c r="P438">
        <v>1772.72</v>
      </c>
      <c r="Q438" t="str">
        <v>69.60</v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438</v>
      </c>
      <c r="B439" t="str">
        <v>MASS BSF</v>
      </c>
      <c r="C439" t="str">
        <v>F8R-810</v>
      </c>
      <c r="D439" t="str">
        <v>F8R-810</v>
      </c>
      <c r="E439" t="str">
        <v/>
      </c>
      <c r="F439" t="str">
        <v>867806078868827</v>
      </c>
      <c r="G439" t="str">
        <v>TBD</v>
      </c>
      <c r="H439" t="str">
        <v/>
      </c>
      <c r="I439" t="str">
        <v>28/09/2026</v>
      </c>
      <c r="J439" t="str">
        <v>16:58:12</v>
      </c>
      <c r="K439">
        <v>-12.216905</v>
      </c>
      <c r="L439">
        <v>-76.97999</v>
      </c>
      <c r="M439">
        <f>HYPERLINK("https://www.google.com/maps/search/?api=1&amp;query=-12.216905,-76.97999","Avenida Caminos del Inca, Chorrillos, Lima")</f>
      </c>
      <c r="N439">
        <v>40.5</v>
      </c>
      <c r="O439">
        <v>88</v>
      </c>
      <c r="P439">
        <v>1772.8</v>
      </c>
      <c r="Q439" t="str">
        <v>69.60</v>
      </c>
      <c r="R439" t="str">
        <v>Acelerado y giro brusco</v>
      </c>
      <c r="S439" t="str">
        <v/>
      </c>
      <c r="T439" t="str">
        <v/>
      </c>
      <c r="U439" t="str">
        <v/>
      </c>
    </row>
    <row r="440">
      <c r="A440" t="str">
        <v>439</v>
      </c>
      <c r="B440" t="str">
        <v>MASS BSF</v>
      </c>
      <c r="C440" t="str">
        <v>F8R-810</v>
      </c>
      <c r="D440" t="str">
        <v>F8R-810</v>
      </c>
      <c r="E440" t="str">
        <v/>
      </c>
      <c r="F440" t="str">
        <v>867806078868827</v>
      </c>
      <c r="G440" t="str">
        <v>TBD</v>
      </c>
      <c r="H440" t="str">
        <v/>
      </c>
      <c r="I440" t="str">
        <v>28/09/2026</v>
      </c>
      <c r="J440" t="str">
        <v>16:58:16</v>
      </c>
      <c r="K440">
        <v>-12.21727</v>
      </c>
      <c r="L440">
        <v>-76.97962</v>
      </c>
      <c r="M440">
        <f>HYPERLINK("https://www.google.com/maps/search/?api=1&amp;query=-12.21727,-76.97962","Avenida Caminos del Inca, Chorrillos, Lima")</f>
      </c>
      <c r="N440">
        <v>41.2</v>
      </c>
      <c r="O440">
        <v>88</v>
      </c>
      <c r="P440">
        <v>1772.86</v>
      </c>
      <c r="Q440" t="str">
        <v>69.60</v>
      </c>
      <c r="R440" t="str">
        <v>Acelerado y giro brusco</v>
      </c>
      <c r="S440" t="str">
        <v/>
      </c>
      <c r="T440" t="str">
        <v/>
      </c>
      <c r="U440" t="str">
        <v/>
      </c>
    </row>
    <row r="441">
      <c r="A441" t="str">
        <v>440</v>
      </c>
      <c r="B441" t="str">
        <v>MASS BSF</v>
      </c>
      <c r="C441" t="str">
        <v>F8R-810</v>
      </c>
      <c r="D441" t="str">
        <v>F8R-810</v>
      </c>
      <c r="E441" t="str">
        <v/>
      </c>
      <c r="F441" t="str">
        <v>867806078868827</v>
      </c>
      <c r="G441" t="str">
        <v>TBD</v>
      </c>
      <c r="H441" t="str">
        <v/>
      </c>
      <c r="I441" t="str">
        <v>28/09/2026</v>
      </c>
      <c r="J441" t="str">
        <v>16:58:20</v>
      </c>
      <c r="K441">
        <v>-12.21755</v>
      </c>
      <c r="L441">
        <v>-76.979324</v>
      </c>
      <c r="M441">
        <f>HYPERLINK("https://www.google.com/maps/search/?api=1&amp;query=-12.21755,-76.979324","Avenida Caminos del Inca, Chorrillos, Lima")</f>
      </c>
      <c r="N441">
        <v>39.4</v>
      </c>
      <c r="O441">
        <v>88</v>
      </c>
      <c r="P441">
        <v>1772.9</v>
      </c>
      <c r="Q441" t="str">
        <v>69.60</v>
      </c>
      <c r="R441" t="str">
        <v/>
      </c>
      <c r="S441" t="str">
        <v/>
      </c>
      <c r="T441" t="str">
        <v/>
      </c>
      <c r="U441" t="str">
        <v/>
      </c>
    </row>
    <row r="442">
      <c r="A442" t="str">
        <v>441</v>
      </c>
      <c r="B442" t="str">
        <v>MASS BSF</v>
      </c>
      <c r="C442" t="str">
        <v>F8R-810</v>
      </c>
      <c r="D442" t="str">
        <v>F8R-810</v>
      </c>
      <c r="E442" t="str">
        <v/>
      </c>
      <c r="F442" t="str">
        <v>867806078868827</v>
      </c>
      <c r="G442" t="str">
        <v>TBD</v>
      </c>
      <c r="H442" t="str">
        <v/>
      </c>
      <c r="I442" t="str">
        <v>28/09/2026</v>
      </c>
      <c r="J442" t="str">
        <v>16:58:23</v>
      </c>
      <c r="K442">
        <v>-12.217667</v>
      </c>
      <c r="L442">
        <v>-76.97916</v>
      </c>
      <c r="M442">
        <f>HYPERLINK("https://www.google.com/maps/search/?api=1&amp;query=-12.217667,-76.97916","Avenida Caminos del Inca, Chorrillos, Lima")</f>
      </c>
      <c r="N442">
        <v>39.6</v>
      </c>
      <c r="O442">
        <v>88</v>
      </c>
      <c r="P442">
        <v>1772.92</v>
      </c>
      <c r="Q442" t="str">
        <v>69.60</v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>442</v>
      </c>
      <c r="B443" t="str">
        <v>MASS BSF</v>
      </c>
      <c r="C443" t="str">
        <v>F8R-810</v>
      </c>
      <c r="D443" t="str">
        <v>F8R-810</v>
      </c>
      <c r="E443" t="str">
        <v/>
      </c>
      <c r="F443" t="str">
        <v>867806078868827</v>
      </c>
      <c r="G443" t="str">
        <v>TBD</v>
      </c>
      <c r="H443" t="str">
        <v/>
      </c>
      <c r="I443" t="str">
        <v>28/09/2026</v>
      </c>
      <c r="J443" t="str">
        <v>16:58:25</v>
      </c>
      <c r="K443">
        <v>-12.217807</v>
      </c>
      <c r="L443">
        <v>-76.97891</v>
      </c>
      <c r="M443">
        <f>HYPERLINK("https://www.google.com/maps/search/?api=1&amp;query=-12.217807,-76.97891","Avenida Caminos del Inca, Chorrillos, Lima")</f>
      </c>
      <c r="N443">
        <v>35</v>
      </c>
      <c r="O443">
        <v>88</v>
      </c>
      <c r="P443">
        <v>1772.95</v>
      </c>
      <c r="Q443" t="str">
        <v>69.60</v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>443</v>
      </c>
      <c r="B444" t="str">
        <v>MASS BSF</v>
      </c>
      <c r="C444" t="str">
        <v>F8R-810</v>
      </c>
      <c r="D444" t="str">
        <v>F8R-810</v>
      </c>
      <c r="E444" t="str">
        <v/>
      </c>
      <c r="F444" t="str">
        <v>867806078868827</v>
      </c>
      <c r="G444" t="str">
        <v>TBD</v>
      </c>
      <c r="H444" t="str">
        <v/>
      </c>
      <c r="I444" t="str">
        <v>28/09/2026</v>
      </c>
      <c r="J444" t="str">
        <v>16:58:31</v>
      </c>
      <c r="K444">
        <v>-12.21797</v>
      </c>
      <c r="L444">
        <v>-76.97847</v>
      </c>
      <c r="M444">
        <f>HYPERLINK("https://www.google.com/maps/search/?api=1&amp;query=-12.21797,-76.97847","Avenida Caminos del Inca, Chorrillos, Lima")</f>
      </c>
      <c r="N444">
        <v>26.2</v>
      </c>
      <c r="O444">
        <v>88</v>
      </c>
      <c r="P444">
        <v>1773</v>
      </c>
      <c r="Q444" t="str">
        <v>69.60</v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444</v>
      </c>
      <c r="B445" t="str">
        <v>MASS BSF</v>
      </c>
      <c r="C445" t="str">
        <v>F8R-810</v>
      </c>
      <c r="D445" t="str">
        <v>F8R-810</v>
      </c>
      <c r="E445" t="str">
        <v/>
      </c>
      <c r="F445" t="str">
        <v>867806078868827</v>
      </c>
      <c r="G445" t="str">
        <v>TBD</v>
      </c>
      <c r="H445" t="str">
        <v/>
      </c>
      <c r="I445" t="str">
        <v>28/09/2026</v>
      </c>
      <c r="J445" t="str">
        <v>16:58:36</v>
      </c>
      <c r="K445">
        <v>-12.218012</v>
      </c>
      <c r="L445">
        <v>-76.97826</v>
      </c>
      <c r="M445">
        <f>HYPERLINK("https://www.google.com/maps/search/?api=1&amp;query=-12.218012,-76.97826","Avenida Caminos del Inca, Chorrillos, Lima")</f>
      </c>
      <c r="N445">
        <v>7.5</v>
      </c>
      <c r="O445">
        <v>88</v>
      </c>
      <c r="P445">
        <v>1773.03</v>
      </c>
      <c r="Q445" t="str">
        <v>69.60</v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>445</v>
      </c>
      <c r="B446" t="str">
        <v>MASS BSF</v>
      </c>
      <c r="C446" t="str">
        <v>F8R-810</v>
      </c>
      <c r="D446" t="str">
        <v>F8R-810</v>
      </c>
      <c r="E446" t="str">
        <v/>
      </c>
      <c r="F446" t="str">
        <v>867806078868827</v>
      </c>
      <c r="G446" t="str">
        <v>TBD</v>
      </c>
      <c r="H446" t="str">
        <v/>
      </c>
      <c r="I446" t="str">
        <v>28/09/2026</v>
      </c>
      <c r="J446" t="str">
        <v>16:58:39</v>
      </c>
      <c r="K446">
        <v>-12.218015</v>
      </c>
      <c r="L446">
        <v>-76.97822</v>
      </c>
      <c r="M446">
        <f>HYPERLINK("https://www.google.com/maps/search/?api=1&amp;query=-12.218015,-76.97822","Avenida Caminos del Inca, Chorrillos, Lima")</f>
      </c>
      <c r="N446">
        <v>8.1</v>
      </c>
      <c r="O446">
        <v>88</v>
      </c>
      <c r="P446">
        <v>1773.03</v>
      </c>
      <c r="Q446" t="str">
        <v>69.60</v>
      </c>
      <c r="R446" t="str">
        <v>Acelerado y giro brusco</v>
      </c>
      <c r="S446" t="str">
        <v/>
      </c>
      <c r="T446" t="str">
        <v/>
      </c>
      <c r="U446" t="str">
        <v/>
      </c>
    </row>
    <row r="447">
      <c r="A447" t="str">
        <v>446</v>
      </c>
      <c r="B447" t="str">
        <v>MASS BSF</v>
      </c>
      <c r="C447" t="str">
        <v>F8R-810</v>
      </c>
      <c r="D447" t="str">
        <v>F8R-810</v>
      </c>
      <c r="E447" t="str">
        <v/>
      </c>
      <c r="F447" t="str">
        <v>867806078868827</v>
      </c>
      <c r="G447" t="str">
        <v>TBD</v>
      </c>
      <c r="H447" t="str">
        <v/>
      </c>
      <c r="I447" t="str">
        <v>28/09/2026</v>
      </c>
      <c r="J447" t="str">
        <v>16:58:59</v>
      </c>
      <c r="K447">
        <v>-12.218032</v>
      </c>
      <c r="L447">
        <v>-76.97728</v>
      </c>
      <c r="M447">
        <f>HYPERLINK("https://www.google.com/maps/search/?api=1&amp;query=-12.218032,-76.97728","Avenida Caminos del Inca, Chorrillos, Lima")</f>
      </c>
      <c r="N447">
        <v>23.7</v>
      </c>
      <c r="O447">
        <v>88</v>
      </c>
      <c r="P447">
        <v>1773.13</v>
      </c>
      <c r="Q447" t="str">
        <v>69.60</v>
      </c>
      <c r="R447" t="str">
        <v>Acelerado y giro brusco</v>
      </c>
      <c r="S447" t="str">
        <v/>
      </c>
      <c r="T447" t="str">
        <v/>
      </c>
      <c r="U447" t="str">
        <v/>
      </c>
    </row>
    <row r="448">
      <c r="A448" t="str">
        <v>447</v>
      </c>
      <c r="B448" t="str">
        <v>MASS BSF</v>
      </c>
      <c r="C448" t="str">
        <v>F8R-810</v>
      </c>
      <c r="D448" t="str">
        <v>F8R-810</v>
      </c>
      <c r="E448" t="str">
        <v/>
      </c>
      <c r="F448" t="str">
        <v>867806078868827</v>
      </c>
      <c r="G448" t="str">
        <v>TBD</v>
      </c>
      <c r="H448" t="str">
        <v/>
      </c>
      <c r="I448" t="str">
        <v>28/09/2026</v>
      </c>
      <c r="J448" t="str">
        <v>16:59:05</v>
      </c>
      <c r="K448">
        <v>-12.218045</v>
      </c>
      <c r="L448">
        <v>-76.9769</v>
      </c>
      <c r="M448">
        <f>HYPERLINK("https://www.google.com/maps/search/?api=1&amp;query=-12.218045,-76.9769","Avenida Caminos del Inca, Chorrillos, Lima")</f>
      </c>
      <c r="N448">
        <v>25</v>
      </c>
      <c r="O448">
        <v>88</v>
      </c>
      <c r="P448">
        <v>1773.17</v>
      </c>
      <c r="Q448" t="str">
        <v>69.60</v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448</v>
      </c>
      <c r="B449" t="str">
        <v>MASS BSF</v>
      </c>
      <c r="C449" t="str">
        <v>F8R-810</v>
      </c>
      <c r="D449" t="str">
        <v>F8R-810</v>
      </c>
      <c r="E449" t="str">
        <v/>
      </c>
      <c r="F449" t="str">
        <v>867806078868827</v>
      </c>
      <c r="G449" t="str">
        <v>TBD</v>
      </c>
      <c r="H449" t="str">
        <v/>
      </c>
      <c r="I449" t="str">
        <v>28/09/2026</v>
      </c>
      <c r="J449" t="str">
        <v>16:59:09</v>
      </c>
      <c r="K449">
        <v>-12.218077</v>
      </c>
      <c r="L449">
        <v>-76.976616</v>
      </c>
      <c r="M449">
        <f>HYPERLINK("https://www.google.com/maps/search/?api=1&amp;query=-12.218077,-76.976616","Avenida Caminos del Inca, Villa El Salvador, Lima")</f>
      </c>
      <c r="N449">
        <v>29.8</v>
      </c>
      <c r="O449">
        <v>90</v>
      </c>
      <c r="P449">
        <v>1773.2</v>
      </c>
      <c r="Q449" t="str">
        <v>69.60</v>
      </c>
      <c r="R449" t="str">
        <v>Acelerado y giro brusco</v>
      </c>
      <c r="S449" t="str">
        <v/>
      </c>
      <c r="T449" t="str">
        <v/>
      </c>
      <c r="U449" t="str">
        <v/>
      </c>
    </row>
    <row r="450">
      <c r="A450" t="str">
        <v>449</v>
      </c>
      <c r="B450" t="str">
        <v>MASS BSF</v>
      </c>
      <c r="C450" t="str">
        <v>F8R-810</v>
      </c>
      <c r="D450" t="str">
        <v>F8R-810</v>
      </c>
      <c r="E450" t="str">
        <v/>
      </c>
      <c r="F450" t="str">
        <v>867806078868827</v>
      </c>
      <c r="G450" t="str">
        <v>TBD</v>
      </c>
      <c r="H450" t="str">
        <v/>
      </c>
      <c r="I450" t="str">
        <v>28/09/2026</v>
      </c>
      <c r="J450" t="str">
        <v>16:59:09</v>
      </c>
      <c r="K450">
        <v>-12.218097</v>
      </c>
      <c r="L450">
        <v>-76.97655</v>
      </c>
      <c r="M450">
        <f>HYPERLINK("https://www.google.com/maps/search/?api=1&amp;query=-12.218097,-76.97655","Avenida Caminos del Inca, Villa El Salvador, Lima")</f>
      </c>
      <c r="N450">
        <v>29.2</v>
      </c>
      <c r="O450">
        <v>88</v>
      </c>
      <c r="P450">
        <v>1773.21</v>
      </c>
      <c r="Q450" t="str">
        <v>69.60</v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450</v>
      </c>
      <c r="B451" t="str">
        <v>MASS BSF</v>
      </c>
      <c r="C451" t="str">
        <v>F8R-810</v>
      </c>
      <c r="D451" t="str">
        <v>F8R-810</v>
      </c>
      <c r="E451" t="str">
        <v/>
      </c>
      <c r="F451" t="str">
        <v>867806078868827</v>
      </c>
      <c r="G451" t="str">
        <v>TBD</v>
      </c>
      <c r="H451" t="str">
        <v/>
      </c>
      <c r="I451" t="str">
        <v>28/09/2026</v>
      </c>
      <c r="J451" t="str">
        <v>16:59:12</v>
      </c>
      <c r="K451">
        <v>-12.21815</v>
      </c>
      <c r="L451">
        <v>-76.9764</v>
      </c>
      <c r="M451">
        <f>HYPERLINK("https://www.google.com/maps/search/?api=1&amp;query=-12.21815,-76.9764","Villa El Salvador, Lima")</f>
      </c>
      <c r="N451">
        <v>30.5</v>
      </c>
      <c r="O451">
        <v>88</v>
      </c>
      <c r="P451">
        <v>1773.23</v>
      </c>
      <c r="Q451" t="str">
        <v>69.60</v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>451</v>
      </c>
      <c r="B452" t="str">
        <v>MASS BSF</v>
      </c>
      <c r="C452" t="str">
        <v>F8R-810</v>
      </c>
      <c r="D452" t="str">
        <v>F8R-810</v>
      </c>
      <c r="E452" t="str">
        <v/>
      </c>
      <c r="F452" t="str">
        <v>867806078868827</v>
      </c>
      <c r="G452" t="str">
        <v>TBD</v>
      </c>
      <c r="H452" t="str">
        <v/>
      </c>
      <c r="I452" t="str">
        <v>28/09/2026</v>
      </c>
      <c r="J452" t="str">
        <v>16:59:14</v>
      </c>
      <c r="K452">
        <v>-12.21828</v>
      </c>
      <c r="L452">
        <v>-76.9762</v>
      </c>
      <c r="M452">
        <f>HYPERLINK("https://www.google.com/maps/search/?api=1&amp;query=-12.21828,-76.9762","Villa El Salvador, Lima")</f>
      </c>
      <c r="N452">
        <v>32</v>
      </c>
      <c r="O452">
        <v>88</v>
      </c>
      <c r="P452">
        <v>1773.25</v>
      </c>
      <c r="Q452" t="str">
        <v>69.60</v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>452</v>
      </c>
      <c r="B453" t="str">
        <v>MASS BSF</v>
      </c>
      <c r="C453" t="str">
        <v>F8R-810</v>
      </c>
      <c r="D453" t="str">
        <v>F8R-810</v>
      </c>
      <c r="E453" t="str">
        <v/>
      </c>
      <c r="F453" t="str">
        <v>867806078868827</v>
      </c>
      <c r="G453" t="str">
        <v>TBD</v>
      </c>
      <c r="H453" t="str">
        <v/>
      </c>
      <c r="I453" t="str">
        <v>28/09/2026</v>
      </c>
      <c r="J453" t="str">
        <v>16:59:19</v>
      </c>
      <c r="K453">
        <v>-12.218623</v>
      </c>
      <c r="L453">
        <v>-76.975945</v>
      </c>
      <c r="M453">
        <f>HYPERLINK("https://www.google.com/maps/search/?api=1&amp;query=-12.218623,-76.975945","Villa El Salvador, Lima")</f>
      </c>
      <c r="N453">
        <v>33.7</v>
      </c>
      <c r="O453">
        <v>90</v>
      </c>
      <c r="P453">
        <v>1773.3</v>
      </c>
      <c r="Q453" t="str">
        <v>69.60</v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>453</v>
      </c>
      <c r="B454" t="str">
        <v>MASS BSF</v>
      </c>
      <c r="C454" t="str">
        <v>F8R-810</v>
      </c>
      <c r="D454" t="str">
        <v>F8R-810</v>
      </c>
      <c r="E454" t="str">
        <v/>
      </c>
      <c r="F454" t="str">
        <v>867806078868827</v>
      </c>
      <c r="G454" t="str">
        <v>TBD</v>
      </c>
      <c r="H454" t="str">
        <v/>
      </c>
      <c r="I454" t="str">
        <v>28/09/2026</v>
      </c>
      <c r="J454" t="str">
        <v>16:59:24</v>
      </c>
      <c r="K454">
        <v>-12.218998</v>
      </c>
      <c r="L454">
        <v>-76.9759</v>
      </c>
      <c r="M454">
        <f>HYPERLINK("https://www.google.com/maps/search/?api=1&amp;query=-12.218998,-76.9759","Villa El Salvador, Lima")</f>
      </c>
      <c r="N454">
        <v>27.9</v>
      </c>
      <c r="O454">
        <v>90</v>
      </c>
      <c r="P454">
        <v>1773.34</v>
      </c>
      <c r="Q454" t="str">
        <v>69.60</v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454</v>
      </c>
      <c r="B455" t="str">
        <v>MASS BSF</v>
      </c>
      <c r="C455" t="str">
        <v>F8R-810</v>
      </c>
      <c r="D455" t="str">
        <v>F8R-810</v>
      </c>
      <c r="E455" t="str">
        <v/>
      </c>
      <c r="F455" t="str">
        <v>867806078868827</v>
      </c>
      <c r="G455" t="str">
        <v>TBD</v>
      </c>
      <c r="H455" t="str">
        <v/>
      </c>
      <c r="I455" t="str">
        <v>28/09/2026</v>
      </c>
      <c r="J455" t="str">
        <v>16:59:29</v>
      </c>
      <c r="K455">
        <v>-12.219225</v>
      </c>
      <c r="L455">
        <v>-76.97607</v>
      </c>
      <c r="M455">
        <f>HYPERLINK("https://www.google.com/maps/search/?api=1&amp;query=-12.219225,-76.97607","Villa El Salvador, Lima")</f>
      </c>
      <c r="N455">
        <v>28.8</v>
      </c>
      <c r="O455">
        <v>85</v>
      </c>
      <c r="P455">
        <v>1773.37</v>
      </c>
      <c r="Q455" t="str">
        <v>69.60</v>
      </c>
      <c r="R455" t="str">
        <v>Aceleración brusca</v>
      </c>
      <c r="S455" t="str">
        <v/>
      </c>
      <c r="T455" t="str">
        <v/>
      </c>
      <c r="U455" t="str">
        <v/>
      </c>
    </row>
    <row r="456">
      <c r="A456" t="str">
        <v>455</v>
      </c>
      <c r="B456" t="str">
        <v>MASS BSF</v>
      </c>
      <c r="C456" t="str">
        <v>F8R-810</v>
      </c>
      <c r="D456" t="str">
        <v>F8R-810</v>
      </c>
      <c r="E456" t="str">
        <v/>
      </c>
      <c r="F456" t="str">
        <v>867806078868827</v>
      </c>
      <c r="G456" t="str">
        <v>TBD</v>
      </c>
      <c r="H456" t="str">
        <v/>
      </c>
      <c r="I456" t="str">
        <v>28/09/2026</v>
      </c>
      <c r="J456" t="str">
        <v>16:59:29</v>
      </c>
      <c r="K456">
        <v>-12.219262</v>
      </c>
      <c r="L456">
        <v>-76.976135</v>
      </c>
      <c r="M456">
        <f>HYPERLINK("https://www.google.com/maps/search/?api=1&amp;query=-12.219262,-76.976135","Villa El Salvador, Lima")</f>
      </c>
      <c r="N456">
        <v>27.2</v>
      </c>
      <c r="O456">
        <v>85</v>
      </c>
      <c r="P456">
        <v>1773.38</v>
      </c>
      <c r="Q456" t="str">
        <v>69.60</v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456</v>
      </c>
      <c r="B457" t="str">
        <v>MASS BSF</v>
      </c>
      <c r="C457" t="str">
        <v>F8R-810</v>
      </c>
      <c r="D457" t="str">
        <v>F8R-810</v>
      </c>
      <c r="E457" t="str">
        <v/>
      </c>
      <c r="F457" t="str">
        <v>867806078868827</v>
      </c>
      <c r="G457" t="str">
        <v>TBD</v>
      </c>
      <c r="H457" t="str">
        <v/>
      </c>
      <c r="I457" t="str">
        <v>28/09/2026</v>
      </c>
      <c r="J457" t="str">
        <v>16:59:34</v>
      </c>
      <c r="K457">
        <v>-12.219305</v>
      </c>
      <c r="L457">
        <v>-76.9763</v>
      </c>
      <c r="M457">
        <f>HYPERLINK("https://www.google.com/maps/search/?api=1&amp;query=-12.219305,-76.9763","Villa El Salvador, Lima")</f>
      </c>
      <c r="N457">
        <v>10</v>
      </c>
      <c r="O457">
        <v>85</v>
      </c>
      <c r="P457">
        <v>1773.4</v>
      </c>
      <c r="Q457" t="str">
        <v>69.60</v>
      </c>
      <c r="R457" t="str">
        <v>Acelerado y giro brusco</v>
      </c>
      <c r="S457" t="str">
        <v/>
      </c>
      <c r="T457" t="str">
        <v/>
      </c>
      <c r="U457" t="str">
        <v/>
      </c>
    </row>
    <row r="458">
      <c r="A458" t="str">
        <v>457</v>
      </c>
      <c r="B458" t="str">
        <v>MASS BSF</v>
      </c>
      <c r="C458" t="str">
        <v>F8R-810</v>
      </c>
      <c r="D458" t="str">
        <v>F8R-810</v>
      </c>
      <c r="E458" t="str">
        <v/>
      </c>
      <c r="F458" t="str">
        <v>867806078868827</v>
      </c>
      <c r="G458" t="str">
        <v>TBD</v>
      </c>
      <c r="H458" t="str">
        <v/>
      </c>
      <c r="I458" t="str">
        <v>28/09/2026</v>
      </c>
      <c r="J458" t="str">
        <v>16:59:34</v>
      </c>
      <c r="K458">
        <v>-12.219303</v>
      </c>
      <c r="L458">
        <v>-76.976326</v>
      </c>
      <c r="M458">
        <f>HYPERLINK("https://www.google.com/maps/search/?api=1&amp;query=-12.219303,-76.976326","Villa El Salvador, Lima")</f>
      </c>
      <c r="N458">
        <v>6.2</v>
      </c>
      <c r="O458">
        <v>85</v>
      </c>
      <c r="P458">
        <v>1773.4</v>
      </c>
      <c r="Q458" t="str">
        <v>69.60</v>
      </c>
      <c r="R458" t="str">
        <v/>
      </c>
      <c r="S458" t="str">
        <v/>
      </c>
      <c r="T458" t="str">
        <v/>
      </c>
      <c r="U458" t="str">
        <v/>
      </c>
    </row>
    <row r="459">
      <c r="A459" t="str">
        <v>458</v>
      </c>
      <c r="B459" t="str">
        <v>MASS BSF</v>
      </c>
      <c r="C459" t="str">
        <v>F8R-810</v>
      </c>
      <c r="D459" t="str">
        <v>F8R-810</v>
      </c>
      <c r="E459" t="str">
        <v/>
      </c>
      <c r="F459" t="str">
        <v>867806078868827</v>
      </c>
      <c r="G459" t="str">
        <v>TBD</v>
      </c>
      <c r="H459" t="str">
        <v/>
      </c>
      <c r="I459" t="str">
        <v>28/09/2026</v>
      </c>
      <c r="J459" t="str">
        <v>16:59:47</v>
      </c>
      <c r="K459">
        <v>-12.219282</v>
      </c>
      <c r="L459">
        <v>-76.97642</v>
      </c>
      <c r="M459">
        <f>HYPERLINK("https://www.google.com/maps/search/?api=1&amp;query=-12.219282,-76.97642","Villa El Salvador, Lima")</f>
      </c>
      <c r="N459">
        <v>10.9</v>
      </c>
      <c r="O459">
        <v>85</v>
      </c>
      <c r="P459">
        <v>1773.41</v>
      </c>
      <c r="Q459" t="str">
        <v>69.60</v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>459</v>
      </c>
      <c r="B460" t="str">
        <v>MASS BSF</v>
      </c>
      <c r="C460" t="str">
        <v>F8R-810</v>
      </c>
      <c r="D460" t="str">
        <v>F8R-810</v>
      </c>
      <c r="E460" t="str">
        <v/>
      </c>
      <c r="F460" t="str">
        <v>867806078868827</v>
      </c>
      <c r="G460" t="str">
        <v>TBD</v>
      </c>
      <c r="H460" t="str">
        <v/>
      </c>
      <c r="I460" t="str">
        <v>28/09/2026</v>
      </c>
      <c r="J460" t="str">
        <v>16:59:52</v>
      </c>
      <c r="K460">
        <v>-12.219203</v>
      </c>
      <c r="L460">
        <v>-76.976585</v>
      </c>
      <c r="M460">
        <f>HYPERLINK("https://www.google.com/maps/search/?api=1&amp;query=-12.219203,-76.976585","Carretera Panamericana Sur, Villa El Salvador, Lima")</f>
      </c>
      <c r="N460">
        <v>15.7</v>
      </c>
      <c r="O460">
        <v>85</v>
      </c>
      <c r="P460">
        <v>1773.43</v>
      </c>
      <c r="Q460" t="str">
        <v>69.60</v>
      </c>
      <c r="R460" t="str">
        <v/>
      </c>
      <c r="S460" t="str">
        <v/>
      </c>
      <c r="T460" t="str">
        <v/>
      </c>
      <c r="U460" t="str">
        <v/>
      </c>
    </row>
    <row r="461">
      <c r="A461" t="str">
        <v>460</v>
      </c>
      <c r="B461" t="str">
        <v>MASS BSF</v>
      </c>
      <c r="C461" t="str">
        <v>F8R-810</v>
      </c>
      <c r="D461" t="str">
        <v>F8R-810</v>
      </c>
      <c r="E461" t="str">
        <v/>
      </c>
      <c r="F461" t="str">
        <v>867806078868827</v>
      </c>
      <c r="G461" t="str">
        <v>TBD</v>
      </c>
      <c r="H461" t="str">
        <v/>
      </c>
      <c r="I461" t="str">
        <v>28/09/2026</v>
      </c>
      <c r="J461" t="str">
        <v>16:59:57</v>
      </c>
      <c r="K461">
        <v>-12.21904</v>
      </c>
      <c r="L461">
        <v>-76.97671</v>
      </c>
      <c r="M461">
        <f>HYPERLINK("https://www.google.com/maps/search/?api=1&amp;query=-12.21904,-76.97671","Carretera Panamericana Sur, Villa El Salvador, Lima")</f>
      </c>
      <c r="N461">
        <v>16.8</v>
      </c>
      <c r="O461">
        <v>85</v>
      </c>
      <c r="P461">
        <v>1773.45</v>
      </c>
      <c r="Q461" t="str">
        <v>69.60</v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461</v>
      </c>
      <c r="B462" t="str">
        <v>MASS BSF</v>
      </c>
      <c r="C462" t="str">
        <v>F8R-810</v>
      </c>
      <c r="D462" t="str">
        <v>F8R-810</v>
      </c>
      <c r="E462" t="str">
        <v/>
      </c>
      <c r="F462" t="str">
        <v>867806078868827</v>
      </c>
      <c r="G462" t="str">
        <v>TBD</v>
      </c>
      <c r="H462" t="str">
        <v/>
      </c>
      <c r="I462" t="str">
        <v>28/09/2026</v>
      </c>
      <c r="J462" t="str">
        <v>17:00:02</v>
      </c>
      <c r="K462">
        <v>-12.218797</v>
      </c>
      <c r="L462">
        <v>-76.97678</v>
      </c>
      <c r="M462">
        <f>HYPERLINK("https://www.google.com/maps/search/?api=1&amp;query=-12.218797,-76.97678","Carretera Panamericana Sur, Villa El Salvador, Lima")</f>
      </c>
      <c r="N462">
        <v>21.8</v>
      </c>
      <c r="O462">
        <v>88</v>
      </c>
      <c r="P462">
        <v>1773.48</v>
      </c>
      <c r="Q462" t="str">
        <v>69.60</v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>462</v>
      </c>
      <c r="B463" t="str">
        <v>MASS BSF</v>
      </c>
      <c r="C463" t="str">
        <v>F8R-810</v>
      </c>
      <c r="D463" t="str">
        <v>F8R-810</v>
      </c>
      <c r="E463" t="str">
        <v/>
      </c>
      <c r="F463" t="str">
        <v>867806078868827</v>
      </c>
      <c r="G463" t="str">
        <v>TBD</v>
      </c>
      <c r="H463" t="str">
        <v/>
      </c>
      <c r="I463" t="str">
        <v>28/09/2026</v>
      </c>
      <c r="J463" t="str">
        <v>17:00:05</v>
      </c>
      <c r="K463">
        <v>-12.218692</v>
      </c>
      <c r="L463">
        <v>-76.97681</v>
      </c>
      <c r="M463">
        <f>HYPERLINK("https://www.google.com/maps/search/?api=1&amp;query=-12.218692,-76.97681","Carretera Panamericana Sur, Villa El Salvador, Lima")</f>
      </c>
      <c r="N463">
        <v>22</v>
      </c>
      <c r="O463">
        <v>88</v>
      </c>
      <c r="P463">
        <v>1773.49</v>
      </c>
      <c r="Q463" t="str">
        <v>69.60</v>
      </c>
      <c r="R463" t="str">
        <v>Acelerado y giro brusco</v>
      </c>
      <c r="S463" t="str">
        <v/>
      </c>
      <c r="T463" t="str">
        <v/>
      </c>
      <c r="U463" t="str">
        <v/>
      </c>
    </row>
    <row r="464">
      <c r="A464" t="str">
        <v>463</v>
      </c>
      <c r="B464" t="str">
        <v>MASS BSF</v>
      </c>
      <c r="C464" t="str">
        <v>F8R-810</v>
      </c>
      <c r="D464" t="str">
        <v>F8R-810</v>
      </c>
      <c r="E464" t="str">
        <v/>
      </c>
      <c r="F464" t="str">
        <v>867806078868827</v>
      </c>
      <c r="G464" t="str">
        <v>TBD</v>
      </c>
      <c r="H464" t="str">
        <v/>
      </c>
      <c r="I464" t="str">
        <v>28/09/2026</v>
      </c>
      <c r="J464" t="str">
        <v>17:00:09</v>
      </c>
      <c r="K464">
        <v>-12.21844</v>
      </c>
      <c r="L464">
        <v>-76.97685</v>
      </c>
      <c r="M464">
        <f>HYPERLINK("https://www.google.com/maps/search/?api=1&amp;query=-12.21844,-76.97685","Carretera Panamericana Sur, Villa El Salvador, Lima")</f>
      </c>
      <c r="N464">
        <v>19.8</v>
      </c>
      <c r="O464">
        <v>88</v>
      </c>
      <c r="P464">
        <v>1773.52</v>
      </c>
      <c r="Q464" t="str">
        <v>69.60</v>
      </c>
      <c r="R464" t="str">
        <v/>
      </c>
      <c r="S464" t="str">
        <v/>
      </c>
      <c r="T464" t="str">
        <v/>
      </c>
      <c r="U464" t="str">
        <v/>
      </c>
    </row>
    <row r="465">
      <c r="A465" t="str">
        <v>464</v>
      </c>
      <c r="B465" t="str">
        <v>MASS BSF</v>
      </c>
      <c r="C465" t="str">
        <v>F8R-810</v>
      </c>
      <c r="D465" t="str">
        <v>F8R-810</v>
      </c>
      <c r="E465" t="str">
        <v/>
      </c>
      <c r="F465" t="str">
        <v>867806078868827</v>
      </c>
      <c r="G465" t="str">
        <v>TBD</v>
      </c>
      <c r="H465" t="str">
        <v/>
      </c>
      <c r="I465" t="str">
        <v>28/09/2026</v>
      </c>
      <c r="J465" t="str">
        <v>17:00:20</v>
      </c>
      <c r="K465">
        <v>-12.21785</v>
      </c>
      <c r="L465">
        <v>-76.976845</v>
      </c>
      <c r="M465">
        <f>HYPERLINK("https://www.google.com/maps/search/?api=1&amp;query=-12.21785,-76.976845","Carretera Panamericana Sur, Chorrillos, Lima")</f>
      </c>
      <c r="N465">
        <v>18.1</v>
      </c>
      <c r="O465">
        <v>88</v>
      </c>
      <c r="P465">
        <v>1773.59</v>
      </c>
      <c r="Q465" t="str">
        <v>69.60</v>
      </c>
      <c r="R465" t="str">
        <v/>
      </c>
      <c r="S465" t="str">
        <v/>
      </c>
      <c r="T465" t="str">
        <v/>
      </c>
      <c r="U465" t="str">
        <v/>
      </c>
    </row>
    <row r="466">
      <c r="A466" t="str">
        <v>465</v>
      </c>
      <c r="B466" t="str">
        <v>MASS BSF</v>
      </c>
      <c r="C466" t="str">
        <v>F8R-810</v>
      </c>
      <c r="D466" t="str">
        <v>F8R-810</v>
      </c>
      <c r="E466" t="str">
        <v/>
      </c>
      <c r="F466" t="str">
        <v>867806078868827</v>
      </c>
      <c r="G466" t="str">
        <v>TBD</v>
      </c>
      <c r="H466" t="str">
        <v/>
      </c>
      <c r="I466" t="str">
        <v>28/09/2026</v>
      </c>
      <c r="J466" t="str">
        <v>17:00:25</v>
      </c>
      <c r="K466">
        <v>-12.217657</v>
      </c>
      <c r="L466">
        <v>-76.97676</v>
      </c>
      <c r="M466">
        <f>HYPERLINK("https://www.google.com/maps/search/?api=1&amp;query=-12.217657,-76.97676","Carretera Panamericana Sur, Villa El Salvador, Lima")</f>
      </c>
      <c r="N466">
        <v>17</v>
      </c>
      <c r="O466">
        <v>88</v>
      </c>
      <c r="P466">
        <v>1773.61</v>
      </c>
      <c r="Q466" t="str">
        <v>69.60</v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>466</v>
      </c>
      <c r="B467" t="str">
        <v>MASS BSF</v>
      </c>
      <c r="C467" t="str">
        <v>F8R-810</v>
      </c>
      <c r="D467" t="str">
        <v>F8R-810</v>
      </c>
      <c r="E467" t="str">
        <v/>
      </c>
      <c r="F467" t="str">
        <v>867806078868827</v>
      </c>
      <c r="G467" t="str">
        <v>TBD</v>
      </c>
      <c r="H467" t="str">
        <v/>
      </c>
      <c r="I467" t="str">
        <v>28/09/2026</v>
      </c>
      <c r="J467" t="str">
        <v>17:00:29</v>
      </c>
      <c r="K467">
        <v>-12.217598</v>
      </c>
      <c r="L467">
        <v>-76.97663</v>
      </c>
      <c r="M467">
        <f>HYPERLINK("https://www.google.com/maps/search/?api=1&amp;query=-12.217598,-76.97663","Carretera Panamericana Sur, Villa El Salvador, Lima")</f>
      </c>
      <c r="N467">
        <v>19.6</v>
      </c>
      <c r="O467">
        <v>88</v>
      </c>
      <c r="P467">
        <v>1773.63</v>
      </c>
      <c r="Q467" t="str">
        <v>69.60</v>
      </c>
      <c r="R467" t="str">
        <v>Acelerado y giro brusco</v>
      </c>
      <c r="S467" t="str">
        <v/>
      </c>
      <c r="T467" t="str">
        <v/>
      </c>
      <c r="U467" t="str">
        <v/>
      </c>
    </row>
    <row r="468">
      <c r="A468" t="str">
        <v>467</v>
      </c>
      <c r="B468" t="str">
        <v>MASS BSF</v>
      </c>
      <c r="C468" t="str">
        <v>F8R-810</v>
      </c>
      <c r="D468" t="str">
        <v>F8R-810</v>
      </c>
      <c r="E468" t="str">
        <v/>
      </c>
      <c r="F468" t="str">
        <v>867806078868827</v>
      </c>
      <c r="G468" t="str">
        <v>TBD</v>
      </c>
      <c r="H468" t="str">
        <v/>
      </c>
      <c r="I468" t="str">
        <v>28/09/2026</v>
      </c>
      <c r="J468" t="str">
        <v>17:00:30</v>
      </c>
      <c r="K468">
        <v>-12.217607</v>
      </c>
      <c r="L468">
        <v>-76.976524</v>
      </c>
      <c r="M468">
        <f>HYPERLINK("https://www.google.com/maps/search/?api=1&amp;query=-12.217607,-76.976524","Antigua Panamericana Sur, Villa El Salvador, Lima")</f>
      </c>
      <c r="N468">
        <v>21.6</v>
      </c>
      <c r="O468">
        <v>88</v>
      </c>
      <c r="P468">
        <v>1773.64</v>
      </c>
      <c r="Q468" t="str">
        <v>69.60</v>
      </c>
      <c r="R468" t="str">
        <v/>
      </c>
      <c r="S468" t="str">
        <v/>
      </c>
      <c r="T468" t="str">
        <v/>
      </c>
      <c r="U468" t="str">
        <v/>
      </c>
    </row>
    <row r="469">
      <c r="A469" t="str">
        <v>468</v>
      </c>
      <c r="B469" t="str">
        <v>MASS BSF</v>
      </c>
      <c r="C469" t="str">
        <v>F8R-810</v>
      </c>
      <c r="D469" t="str">
        <v>F8R-810</v>
      </c>
      <c r="E469" t="str">
        <v/>
      </c>
      <c r="F469" t="str">
        <v>867806078868827</v>
      </c>
      <c r="G469" t="str">
        <v>TBD</v>
      </c>
      <c r="H469" t="str">
        <v/>
      </c>
      <c r="I469" t="str">
        <v>28/09/2026</v>
      </c>
      <c r="J469" t="str">
        <v>17:00:35</v>
      </c>
      <c r="K469">
        <v>-12.217805</v>
      </c>
      <c r="L469">
        <v>-76.97627</v>
      </c>
      <c r="M469">
        <f>HYPERLINK("https://www.google.com/maps/search/?api=1&amp;query=-12.217805,-76.97627","Antigua Panamericana Sur, Villa El Salvador, Lima")</f>
      </c>
      <c r="N469">
        <v>28.7</v>
      </c>
      <c r="O469">
        <v>88</v>
      </c>
      <c r="P469">
        <v>1773.67</v>
      </c>
      <c r="Q469" t="str">
        <v>69.60</v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>469</v>
      </c>
      <c r="B470" t="str">
        <v>MASS BSF</v>
      </c>
      <c r="C470" t="str">
        <v>F8R-810</v>
      </c>
      <c r="D470" t="str">
        <v>F8R-810</v>
      </c>
      <c r="E470" t="str">
        <v/>
      </c>
      <c r="F470" t="str">
        <v>867806078868827</v>
      </c>
      <c r="G470" t="str">
        <v>TBD</v>
      </c>
      <c r="H470" t="str">
        <v/>
      </c>
      <c r="I470" t="str">
        <v>28/09/2026</v>
      </c>
      <c r="J470" t="str">
        <v>17:00:44</v>
      </c>
      <c r="K470">
        <v>-12.218378</v>
      </c>
      <c r="L470">
        <v>-76.9758</v>
      </c>
      <c r="M470">
        <f>HYPERLINK("https://www.google.com/maps/search/?api=1&amp;query=-12.218378,-76.9758","Antigua Panamericana Sur, Villa El Salvador, Lima")</f>
      </c>
      <c r="N470">
        <v>33.7</v>
      </c>
      <c r="O470">
        <v>88</v>
      </c>
      <c r="P470">
        <v>1773.75</v>
      </c>
      <c r="Q470" t="str">
        <v>69.60</v>
      </c>
      <c r="R470" t="str">
        <v/>
      </c>
      <c r="S470" t="str">
        <v/>
      </c>
      <c r="T470" t="str">
        <v/>
      </c>
      <c r="U470" t="str">
        <v/>
      </c>
    </row>
    <row r="471">
      <c r="A471" t="str">
        <v>470</v>
      </c>
      <c r="B471" t="str">
        <v>MASS BSF</v>
      </c>
      <c r="C471" t="str">
        <v>F8R-810</v>
      </c>
      <c r="D471" t="str">
        <v>F8R-810</v>
      </c>
      <c r="E471" t="str">
        <v/>
      </c>
      <c r="F471" t="str">
        <v>867806078868827</v>
      </c>
      <c r="G471" t="str">
        <v>TBD</v>
      </c>
      <c r="H471" t="str">
        <v/>
      </c>
      <c r="I471" t="str">
        <v>28/09/2026</v>
      </c>
      <c r="J471" t="str">
        <v>17:00:49</v>
      </c>
      <c r="K471">
        <v>-12.218795</v>
      </c>
      <c r="L471">
        <v>-76.97565</v>
      </c>
      <c r="M471">
        <f>HYPERLINK("https://www.google.com/maps/search/?api=1&amp;query=-12.218795,-76.97565","Antigua Panamericana Sur, Villa El Salvador, Lima")</f>
      </c>
      <c r="N471">
        <v>36.1</v>
      </c>
      <c r="O471">
        <v>88</v>
      </c>
      <c r="P471">
        <v>1773.8</v>
      </c>
      <c r="Q471" t="str">
        <v>69.60</v>
      </c>
      <c r="R471" t="str">
        <v/>
      </c>
      <c r="S471" t="str">
        <v/>
      </c>
      <c r="T471" t="str">
        <v/>
      </c>
      <c r="U471" t="str">
        <v/>
      </c>
    </row>
    <row r="472">
      <c r="A472" t="str">
        <v>471</v>
      </c>
      <c r="B472" t="str">
        <v>MASS BSF</v>
      </c>
      <c r="C472" t="str">
        <v>F8R-810</v>
      </c>
      <c r="D472" t="str">
        <v>F8R-810</v>
      </c>
      <c r="E472" t="str">
        <v/>
      </c>
      <c r="F472" t="str">
        <v>867806078868827</v>
      </c>
      <c r="G472" t="str">
        <v>TBD</v>
      </c>
      <c r="H472" t="str">
        <v/>
      </c>
      <c r="I472" t="str">
        <v>28/09/2026</v>
      </c>
      <c r="J472" t="str">
        <v>17:00:54</v>
      </c>
      <c r="K472">
        <v>-12.219165</v>
      </c>
      <c r="L472">
        <v>-76.97564</v>
      </c>
      <c r="M472">
        <f>HYPERLINK("https://www.google.com/maps/search/?api=1&amp;query=-12.219165,-76.97564","Antigua Panamericana Sur, Villa El Salvador, Lima")</f>
      </c>
      <c r="N472">
        <v>36.8</v>
      </c>
      <c r="O472">
        <v>87</v>
      </c>
      <c r="P472">
        <v>1773.84</v>
      </c>
      <c r="Q472" t="str">
        <v>69.60</v>
      </c>
      <c r="R472" t="str">
        <v>Acelerado y giro brusco</v>
      </c>
      <c r="S472" t="str">
        <v/>
      </c>
      <c r="T472" t="str">
        <v/>
      </c>
      <c r="U472" t="str">
        <v/>
      </c>
    </row>
    <row r="473">
      <c r="A473" t="str">
        <v>472</v>
      </c>
      <c r="B473" t="str">
        <v>MASS BSF</v>
      </c>
      <c r="C473" t="str">
        <v>F8R-810</v>
      </c>
      <c r="D473" t="str">
        <v>F8R-810</v>
      </c>
      <c r="E473" t="str">
        <v/>
      </c>
      <c r="F473" t="str">
        <v>867806078868827</v>
      </c>
      <c r="G473" t="str">
        <v>TBD</v>
      </c>
      <c r="H473" t="str">
        <v/>
      </c>
      <c r="I473" t="str">
        <v>28/09/2026</v>
      </c>
      <c r="J473" t="str">
        <v>17:00:54</v>
      </c>
      <c r="K473">
        <v>-12.219256</v>
      </c>
      <c r="L473">
        <v>-76.97565</v>
      </c>
      <c r="M473">
        <f>HYPERLINK("https://www.google.com/maps/search/?api=1&amp;query=-12.219256,-76.97565","Antigua Panamericana Sur, Villa El Salvador, Lima")</f>
      </c>
      <c r="N473">
        <v>37</v>
      </c>
      <c r="O473">
        <v>88</v>
      </c>
      <c r="P473">
        <v>1773.85</v>
      </c>
      <c r="Q473" t="str">
        <v>69.60</v>
      </c>
      <c r="R473" t="str">
        <v/>
      </c>
      <c r="S473" t="str">
        <v/>
      </c>
      <c r="T473" t="str">
        <v/>
      </c>
      <c r="U473" t="str">
        <v/>
      </c>
    </row>
    <row r="474">
      <c r="A474" t="str">
        <v>473</v>
      </c>
      <c r="B474" t="str">
        <v>MASS BSF</v>
      </c>
      <c r="C474" t="str">
        <v>F8R-810</v>
      </c>
      <c r="D474" t="str">
        <v>F8R-810</v>
      </c>
      <c r="E474" t="str">
        <v/>
      </c>
      <c r="F474" t="str">
        <v>867806078868827</v>
      </c>
      <c r="G474" t="str">
        <v>TBD</v>
      </c>
      <c r="H474" t="str">
        <v/>
      </c>
      <c r="I474" t="str">
        <v>28/09/2026</v>
      </c>
      <c r="J474" t="str">
        <v>17:01:00</v>
      </c>
      <c r="K474">
        <v>-12.219755</v>
      </c>
      <c r="L474">
        <v>-76.97572</v>
      </c>
      <c r="M474">
        <f>HYPERLINK("https://www.google.com/maps/search/?api=1&amp;query=-12.219755,-76.97572","Antigua Panamericana Sur, Villa El Salvador, Lima")</f>
      </c>
      <c r="N474">
        <v>42.9</v>
      </c>
      <c r="O474">
        <v>87</v>
      </c>
      <c r="P474">
        <v>1773.91</v>
      </c>
      <c r="Q474" t="str">
        <v>69.60</v>
      </c>
      <c r="R474" t="str">
        <v>Aceleración brusca</v>
      </c>
      <c r="S474" t="str">
        <v/>
      </c>
      <c r="T474" t="str">
        <v/>
      </c>
      <c r="U474" t="str">
        <v/>
      </c>
    </row>
    <row r="475">
      <c r="A475" t="str">
        <v>474</v>
      </c>
      <c r="B475" t="str">
        <v>MASS BSF</v>
      </c>
      <c r="C475" t="str">
        <v>F8R-810</v>
      </c>
      <c r="D475" t="str">
        <v>F8R-810</v>
      </c>
      <c r="E475" t="str">
        <v/>
      </c>
      <c r="F475" t="str">
        <v>867806078868827</v>
      </c>
      <c r="G475" t="str">
        <v>TBD</v>
      </c>
      <c r="H475" t="str">
        <v/>
      </c>
      <c r="I475" t="str">
        <v>28/09/2026</v>
      </c>
      <c r="J475" t="str">
        <v>17:01:03</v>
      </c>
      <c r="K475">
        <v>-12.220094</v>
      </c>
      <c r="L475">
        <v>-76.975784</v>
      </c>
      <c r="M475">
        <f>HYPERLINK("https://www.google.com/maps/search/?api=1&amp;query=-12.220094,-76.975784","Antigua Panamericana Sur, Villa El Salvador, Lima")</f>
      </c>
      <c r="N475">
        <v>45.7</v>
      </c>
      <c r="O475">
        <v>87</v>
      </c>
      <c r="P475">
        <v>1773.95</v>
      </c>
      <c r="Q475" t="str">
        <v>69.60</v>
      </c>
      <c r="R475" t="str">
        <v/>
      </c>
      <c r="S475" t="str">
        <v/>
      </c>
      <c r="T475" t="str">
        <v/>
      </c>
      <c r="U475" t="str">
        <v/>
      </c>
    </row>
    <row r="476">
      <c r="A476" t="str">
        <v>475</v>
      </c>
      <c r="B476" t="str">
        <v>MASS BSF</v>
      </c>
      <c r="C476" t="str">
        <v>F8R-810</v>
      </c>
      <c r="D476" t="str">
        <v>F8R-810</v>
      </c>
      <c r="E476" t="str">
        <v/>
      </c>
      <c r="F476" t="str">
        <v>867806078868827</v>
      </c>
      <c r="G476" t="str">
        <v>TBD</v>
      </c>
      <c r="H476" t="str">
        <v/>
      </c>
      <c r="I476" t="str">
        <v>28/09/2026</v>
      </c>
      <c r="J476" t="str">
        <v>17:01:06</v>
      </c>
      <c r="K476">
        <v>-12.220529</v>
      </c>
      <c r="L476">
        <v>-76.97583</v>
      </c>
      <c r="M476">
        <f>HYPERLINK("https://www.google.com/maps/search/?api=1&amp;query=-12.220529,-76.97583","Antigua Panamericana Sur, Villa El Salvador, Lima")</f>
      </c>
      <c r="N476">
        <v>39</v>
      </c>
      <c r="O476">
        <v>87</v>
      </c>
      <c r="P476">
        <v>1773.99</v>
      </c>
      <c r="Q476" t="str">
        <v>69.60</v>
      </c>
      <c r="R476" t="str">
        <v/>
      </c>
      <c r="S476" t="str">
        <v/>
      </c>
      <c r="T476" t="str">
        <v/>
      </c>
      <c r="U476" t="str">
        <v/>
      </c>
    </row>
    <row r="477">
      <c r="A477" t="str">
        <v>476</v>
      </c>
      <c r="B477" t="str">
        <v>MASS BSF</v>
      </c>
      <c r="C477" t="str">
        <v>F8R-810</v>
      </c>
      <c r="D477" t="str">
        <v>F8R-810</v>
      </c>
      <c r="E477" t="str">
        <v/>
      </c>
      <c r="F477" t="str">
        <v>867806078868827</v>
      </c>
      <c r="G477" t="str">
        <v>TBD</v>
      </c>
      <c r="H477" t="str">
        <v/>
      </c>
      <c r="I477" t="str">
        <v>28/09/2026</v>
      </c>
      <c r="J477" t="str">
        <v>17:01:08</v>
      </c>
      <c r="K477">
        <v>-12.220625</v>
      </c>
      <c r="L477">
        <v>-76.975815</v>
      </c>
      <c r="M477">
        <f>HYPERLINK("https://www.google.com/maps/search/?api=1&amp;query=-12.220625,-76.975815","Antigua Panamericana Sur, Villa El Salvador, Lima")</f>
      </c>
      <c r="N477">
        <v>39.4</v>
      </c>
      <c r="O477">
        <v>87</v>
      </c>
      <c r="P477">
        <v>1774.01</v>
      </c>
      <c r="Q477" t="str">
        <v>69.60</v>
      </c>
      <c r="R477" t="str">
        <v>Acelerado y giro brusco</v>
      </c>
      <c r="S477" t="str">
        <v/>
      </c>
      <c r="T477" t="str">
        <v/>
      </c>
      <c r="U477" t="str">
        <v/>
      </c>
    </row>
    <row r="478">
      <c r="A478" t="str">
        <v>477</v>
      </c>
      <c r="B478" t="str">
        <v>MASS BSF</v>
      </c>
      <c r="C478" t="str">
        <v>F8R-810</v>
      </c>
      <c r="D478" t="str">
        <v>F8R-810</v>
      </c>
      <c r="E478" t="str">
        <v/>
      </c>
      <c r="F478" t="str">
        <v>867806078868827</v>
      </c>
      <c r="G478" t="str">
        <v>TBD</v>
      </c>
      <c r="H478" t="str">
        <v/>
      </c>
      <c r="I478" t="str">
        <v>28/09/2026</v>
      </c>
      <c r="J478" t="str">
        <v>17:01:11</v>
      </c>
      <c r="K478">
        <v>-12.220983</v>
      </c>
      <c r="L478">
        <v>-76.975655</v>
      </c>
      <c r="M478">
        <f>HYPERLINK("https://www.google.com/maps/search/?api=1&amp;query=-12.220983,-76.975655","Antigua Panamericana Sur, Villa El Salvador, Lima")</f>
      </c>
      <c r="N478">
        <v>40</v>
      </c>
      <c r="O478">
        <v>87</v>
      </c>
      <c r="P478">
        <v>1774.05</v>
      </c>
      <c r="Q478" t="str">
        <v>69.60</v>
      </c>
      <c r="R478" t="str">
        <v/>
      </c>
      <c r="S478" t="str">
        <v/>
      </c>
      <c r="T478" t="str">
        <v/>
      </c>
      <c r="U478" t="str">
        <v/>
      </c>
    </row>
    <row r="479">
      <c r="A479" t="str">
        <v>478</v>
      </c>
      <c r="B479" t="str">
        <v>MASS BSF</v>
      </c>
      <c r="C479" t="str">
        <v>F8R-810</v>
      </c>
      <c r="D479" t="str">
        <v>F8R-810</v>
      </c>
      <c r="E479" t="str">
        <v/>
      </c>
      <c r="F479" t="str">
        <v>867806078868827</v>
      </c>
      <c r="G479" t="str">
        <v>TBD</v>
      </c>
      <c r="H479" t="str">
        <v/>
      </c>
      <c r="I479" t="str">
        <v>28/09/2026</v>
      </c>
      <c r="J479" t="str">
        <v>17:01:14</v>
      </c>
      <c r="K479">
        <v>-12.221135</v>
      </c>
      <c r="L479">
        <v>-76.97551</v>
      </c>
      <c r="M479">
        <f>HYPERLINK("https://www.google.com/maps/search/?api=1&amp;query=-12.221135,-76.97551","Antigua Panamericana Sur, Villa El Salvador, Lima")</f>
      </c>
      <c r="N479">
        <v>42.7</v>
      </c>
      <c r="O479">
        <v>87</v>
      </c>
      <c r="P479">
        <v>1774.07</v>
      </c>
      <c r="Q479" t="str">
        <v>69.60</v>
      </c>
      <c r="R479" t="str">
        <v>Acelerado y giro brusco</v>
      </c>
      <c r="S479" t="str">
        <v/>
      </c>
      <c r="T479" t="str">
        <v/>
      </c>
      <c r="U479" t="str">
        <v/>
      </c>
    </row>
    <row r="480">
      <c r="A480" t="str">
        <v>479</v>
      </c>
      <c r="B480" t="str">
        <v>MASS BSF</v>
      </c>
      <c r="C480" t="str">
        <v>F8R-810</v>
      </c>
      <c r="D480" t="str">
        <v>F8R-810</v>
      </c>
      <c r="E480" t="str">
        <v/>
      </c>
      <c r="F480" t="str">
        <v>867806078868827</v>
      </c>
      <c r="G480" t="str">
        <v>TBD</v>
      </c>
      <c r="H480" t="str">
        <v/>
      </c>
      <c r="I480" t="str">
        <v>28/09/2026</v>
      </c>
      <c r="J480" t="str">
        <v>17:01:26</v>
      </c>
      <c r="K480">
        <v>-12.221945</v>
      </c>
      <c r="L480">
        <v>-76.9747</v>
      </c>
      <c r="M480">
        <f>HYPERLINK("https://www.google.com/maps/search/?api=1&amp;query=-12.221945,-76.9747","Antigua Panamericana Sur, Villa El Salvador, Lima")</f>
      </c>
      <c r="N480">
        <v>28.3</v>
      </c>
      <c r="O480">
        <v>87</v>
      </c>
      <c r="P480">
        <v>1774.2</v>
      </c>
      <c r="Q480" t="str">
        <v>69.60</v>
      </c>
      <c r="R480" t="str">
        <v>Acelerado y giro brusco</v>
      </c>
      <c r="S480" t="str">
        <v/>
      </c>
      <c r="T480" t="str">
        <v/>
      </c>
      <c r="U480" t="str">
        <v/>
      </c>
    </row>
    <row r="481">
      <c r="A481" t="str">
        <v>480</v>
      </c>
      <c r="B481" t="str">
        <v>MASS BSF</v>
      </c>
      <c r="C481" t="str">
        <v>F8R-810</v>
      </c>
      <c r="D481" t="str">
        <v>F8R-810</v>
      </c>
      <c r="E481" t="str">
        <v/>
      </c>
      <c r="F481" t="str">
        <v>867806078868827</v>
      </c>
      <c r="G481" t="str">
        <v>TBD</v>
      </c>
      <c r="H481" t="str">
        <v/>
      </c>
      <c r="I481" t="str">
        <v>28/09/2026</v>
      </c>
      <c r="J481" t="str">
        <v>17:01:34</v>
      </c>
      <c r="K481">
        <v>-12.222188</v>
      </c>
      <c r="L481">
        <v>-76.974495</v>
      </c>
      <c r="M481">
        <f>HYPERLINK("https://www.google.com/maps/search/?api=1&amp;query=-12.222188,-76.974495","Antigua Panamericana Sur, Villa El Salvador, Lima")</f>
      </c>
      <c r="N481">
        <v>7.9</v>
      </c>
      <c r="O481">
        <v>87</v>
      </c>
      <c r="P481">
        <v>1774.23</v>
      </c>
      <c r="Q481" t="str">
        <v>69.60</v>
      </c>
      <c r="R481" t="str">
        <v/>
      </c>
      <c r="S481" t="str">
        <v/>
      </c>
      <c r="T481" t="str">
        <v/>
      </c>
      <c r="U481" t="str">
        <v/>
      </c>
    </row>
    <row r="482">
      <c r="A482" t="str">
        <v>481</v>
      </c>
      <c r="B482" t="str">
        <v>MASS BSF</v>
      </c>
      <c r="C482" t="str">
        <v>F8R-810</v>
      </c>
      <c r="D482" t="str">
        <v>F8R-810</v>
      </c>
      <c r="E482" t="str">
        <v/>
      </c>
      <c r="F482" t="str">
        <v>867806078868827</v>
      </c>
      <c r="G482" t="str">
        <v>TBD</v>
      </c>
      <c r="H482" t="str">
        <v/>
      </c>
      <c r="I482" t="str">
        <v>28/09/2026</v>
      </c>
      <c r="J482" t="str">
        <v>17:01:39</v>
      </c>
      <c r="K482">
        <v>-12.222183</v>
      </c>
      <c r="L482">
        <v>-76.97438</v>
      </c>
      <c r="M482">
        <f>HYPERLINK("https://www.google.com/maps/search/?api=1&amp;query=-12.222183,-76.97438","Avenida El Sol, Villa El Salvador, Lima")</f>
      </c>
      <c r="N482">
        <v>12.9</v>
      </c>
      <c r="O482">
        <v>87</v>
      </c>
      <c r="P482">
        <v>1774.24</v>
      </c>
      <c r="Q482" t="str">
        <v>69.60</v>
      </c>
      <c r="R482" t="str">
        <v/>
      </c>
      <c r="S482" t="str">
        <v/>
      </c>
      <c r="T482" t="str">
        <v/>
      </c>
      <c r="U482" t="str">
        <v/>
      </c>
    </row>
    <row r="483">
      <c r="A483" t="str">
        <v>482</v>
      </c>
      <c r="B483" t="str">
        <v>MASS BSF</v>
      </c>
      <c r="C483" t="str">
        <v>F8R-810</v>
      </c>
      <c r="D483" t="str">
        <v>F8R-810</v>
      </c>
      <c r="E483" t="str">
        <v/>
      </c>
      <c r="F483" t="str">
        <v>867806078868827</v>
      </c>
      <c r="G483" t="str">
        <v>TBD</v>
      </c>
      <c r="H483" t="str">
        <v/>
      </c>
      <c r="I483" t="str">
        <v>28/09/2026</v>
      </c>
      <c r="J483" t="str">
        <v>17:01:55</v>
      </c>
      <c r="K483">
        <v>-12.221608</v>
      </c>
      <c r="L483">
        <v>-76.97378</v>
      </c>
      <c r="M483">
        <f>HYPERLINK("https://www.google.com/maps/search/?api=1&amp;query=-12.221608,-76.97378","Avenida El Sol, Villa El Salvador, Lima")</f>
      </c>
      <c r="N483">
        <v>28.7</v>
      </c>
      <c r="O483">
        <v>87</v>
      </c>
      <c r="P483">
        <v>1774.33</v>
      </c>
      <c r="Q483" t="str">
        <v>69.60</v>
      </c>
      <c r="R483" t="str">
        <v/>
      </c>
      <c r="S483" t="str">
        <v/>
      </c>
      <c r="T483" t="str">
        <v/>
      </c>
      <c r="U483" t="str">
        <v/>
      </c>
    </row>
    <row r="484">
      <c r="A484" t="str">
        <v>483</v>
      </c>
      <c r="B484" t="str">
        <v>MASS BSF</v>
      </c>
      <c r="C484" t="str">
        <v>F8R-810</v>
      </c>
      <c r="D484" t="str">
        <v>F8R-810</v>
      </c>
      <c r="E484" t="str">
        <v/>
      </c>
      <c r="F484" t="str">
        <v>867806078868827</v>
      </c>
      <c r="G484" t="str">
        <v>TBD</v>
      </c>
      <c r="H484" t="str">
        <v/>
      </c>
      <c r="I484" t="str">
        <v>28/09/2026</v>
      </c>
      <c r="J484" t="str">
        <v>17:02:07</v>
      </c>
      <c r="K484">
        <v>-12.221095</v>
      </c>
      <c r="L484">
        <v>-76.97323</v>
      </c>
      <c r="M484">
        <f>HYPERLINK("https://www.google.com/maps/search/?api=1&amp;query=-12.221095,-76.97323","Avenida El Sol, Villa El Salvador, Lima")</f>
      </c>
      <c r="N484">
        <v>22.4</v>
      </c>
      <c r="O484">
        <v>87</v>
      </c>
      <c r="P484">
        <v>1774.41</v>
      </c>
      <c r="Q484" t="str">
        <v>69.60</v>
      </c>
      <c r="R484" t="str">
        <v/>
      </c>
      <c r="S484" t="str">
        <v/>
      </c>
      <c r="T484" t="str">
        <v/>
      </c>
      <c r="U484" t="str">
        <v/>
      </c>
    </row>
    <row r="485">
      <c r="A485" t="str">
        <v>484</v>
      </c>
      <c r="B485" t="str">
        <v>MASS BSF</v>
      </c>
      <c r="C485" t="str">
        <v>F8R-810</v>
      </c>
      <c r="D485" t="str">
        <v>F8R-810</v>
      </c>
      <c r="E485" t="str">
        <v/>
      </c>
      <c r="F485" t="str">
        <v>867806078868827</v>
      </c>
      <c r="G485" t="str">
        <v>TBD</v>
      </c>
      <c r="H485" t="str">
        <v/>
      </c>
      <c r="I485" t="str">
        <v>28/09/2026</v>
      </c>
      <c r="J485" t="str">
        <v>17:02:14</v>
      </c>
      <c r="K485">
        <v>-12.220775</v>
      </c>
      <c r="L485">
        <v>-76.97286</v>
      </c>
      <c r="M485">
        <f>HYPERLINK("https://www.google.com/maps/search/?api=1&amp;query=-12.220775,-76.97286","Avenida El Sol, Villa El Salvador, Lima")</f>
      </c>
      <c r="N485">
        <v>28.8</v>
      </c>
      <c r="O485">
        <v>85</v>
      </c>
      <c r="P485">
        <v>1774.47</v>
      </c>
      <c r="Q485" t="str">
        <v>69.60</v>
      </c>
      <c r="R485" t="str">
        <v/>
      </c>
      <c r="S485" t="str">
        <v/>
      </c>
      <c r="T485" t="str">
        <v/>
      </c>
      <c r="U485" t="str">
        <v/>
      </c>
    </row>
    <row r="486">
      <c r="A486" t="str">
        <v>485</v>
      </c>
      <c r="B486" t="str">
        <v>MASS BSF</v>
      </c>
      <c r="C486" t="str">
        <v>F8R-810</v>
      </c>
      <c r="D486" t="str">
        <v>F8R-810</v>
      </c>
      <c r="E486" t="str">
        <v/>
      </c>
      <c r="F486" t="str">
        <v>867806078868827</v>
      </c>
      <c r="G486" t="str">
        <v>TBD</v>
      </c>
      <c r="H486" t="str">
        <v/>
      </c>
      <c r="I486" t="str">
        <v>28/09/2026</v>
      </c>
      <c r="J486" t="str">
        <v>17:02:19</v>
      </c>
      <c r="K486">
        <v>-12.220551</v>
      </c>
      <c r="L486">
        <v>-76.97266</v>
      </c>
      <c r="M486">
        <f>HYPERLINK("https://www.google.com/maps/search/?api=1&amp;query=-12.220551,-76.97266","Avenida El Sol, Villa El Salvador, Lima")</f>
      </c>
      <c r="N486">
        <v>30.1</v>
      </c>
      <c r="O486">
        <v>85</v>
      </c>
      <c r="P486">
        <v>1774.5</v>
      </c>
      <c r="Q486" t="str">
        <v>69.60</v>
      </c>
      <c r="R486" t="str">
        <v>Acelerado y giro brusco</v>
      </c>
      <c r="S486" t="str">
        <v/>
      </c>
      <c r="T486" t="str">
        <v/>
      </c>
      <c r="U486" t="str">
        <v/>
      </c>
    </row>
    <row r="487">
      <c r="A487" t="str">
        <v>486</v>
      </c>
      <c r="B487" t="str">
        <v>MASS BSF</v>
      </c>
      <c r="C487" t="str">
        <v>F8R-810</v>
      </c>
      <c r="D487" t="str">
        <v>F8R-810</v>
      </c>
      <c r="E487" t="str">
        <v/>
      </c>
      <c r="F487" t="str">
        <v>867806078868827</v>
      </c>
      <c r="G487" t="str">
        <v>TBD</v>
      </c>
      <c r="H487" t="str">
        <v/>
      </c>
      <c r="I487" t="str">
        <v>28/09/2026</v>
      </c>
      <c r="J487" t="str">
        <v>17:02:53</v>
      </c>
      <c r="K487">
        <v>-12.219415</v>
      </c>
      <c r="L487">
        <v>-76.97148</v>
      </c>
      <c r="M487">
        <f>HYPERLINK("https://www.google.com/maps/search/?api=1&amp;query=-12.219415,-76.97148","Avenida El Sol, Villa El Salvador, Lima")</f>
      </c>
      <c r="N487">
        <v>17</v>
      </c>
      <c r="O487">
        <v>85</v>
      </c>
      <c r="P487">
        <v>1774.68</v>
      </c>
      <c r="Q487" t="str">
        <v>69.60</v>
      </c>
      <c r="R487" t="str">
        <v>Acelerado y giro brusco</v>
      </c>
      <c r="S487" t="str">
        <v/>
      </c>
      <c r="T487" t="str">
        <v/>
      </c>
      <c r="U487" t="str">
        <v/>
      </c>
    </row>
    <row r="488">
      <c r="A488" t="str">
        <v>487</v>
      </c>
      <c r="B488" t="str">
        <v>MASS BSF</v>
      </c>
      <c r="C488" t="str">
        <v>F8R-810</v>
      </c>
      <c r="D488" t="str">
        <v>F8R-810</v>
      </c>
      <c r="E488" t="str">
        <v/>
      </c>
      <c r="F488" t="str">
        <v>867806078868827</v>
      </c>
      <c r="G488" t="str">
        <v>TBD</v>
      </c>
      <c r="H488" t="str">
        <v/>
      </c>
      <c r="I488" t="str">
        <v>28/09/2026</v>
      </c>
      <c r="J488" t="str">
        <v>17:03:06</v>
      </c>
      <c r="K488">
        <v>-12.219022</v>
      </c>
      <c r="L488">
        <v>-76.97106</v>
      </c>
      <c r="M488">
        <f>HYPERLINK("https://www.google.com/maps/search/?api=1&amp;query=-12.219022,-76.97106","Avenida El Sol, Villa El Salvador, Lima")</f>
      </c>
      <c r="N488">
        <v>17.5</v>
      </c>
      <c r="O488">
        <v>85</v>
      </c>
      <c r="P488">
        <v>1774.74</v>
      </c>
      <c r="Q488" t="str">
        <v>69.60</v>
      </c>
      <c r="R488" t="str">
        <v/>
      </c>
      <c r="S488" t="str">
        <v/>
      </c>
      <c r="T488" t="str">
        <v/>
      </c>
      <c r="U488" t="str">
        <v/>
      </c>
    </row>
    <row r="489">
      <c r="A489" t="str">
        <v>488</v>
      </c>
      <c r="B489" t="str">
        <v>MASS BSF</v>
      </c>
      <c r="C489" t="str">
        <v>F8R-810</v>
      </c>
      <c r="D489" t="str">
        <v>F8R-810</v>
      </c>
      <c r="E489" t="str">
        <v/>
      </c>
      <c r="F489" t="str">
        <v>867806078868827</v>
      </c>
      <c r="G489" t="str">
        <v>TBD</v>
      </c>
      <c r="H489" t="str">
        <v/>
      </c>
      <c r="I489" t="str">
        <v>28/09/2026</v>
      </c>
      <c r="J489" t="str">
        <v>17:03:14</v>
      </c>
      <c r="K489">
        <v>-12.218779</v>
      </c>
      <c r="L489">
        <v>-76.97081</v>
      </c>
      <c r="M489">
        <f>HYPERLINK("https://www.google.com/maps/search/?api=1&amp;query=-12.218779,-76.97081","Avenida El Sol, Villa El Salvador, Lima")</f>
      </c>
      <c r="N489">
        <v>17.5</v>
      </c>
      <c r="O489">
        <v>85</v>
      </c>
      <c r="P489">
        <v>1774.78</v>
      </c>
      <c r="Q489" t="str">
        <v>69.60</v>
      </c>
      <c r="R489" t="str">
        <v/>
      </c>
      <c r="S489" t="str">
        <v/>
      </c>
      <c r="T489" t="str">
        <v/>
      </c>
      <c r="U489" t="str">
        <v/>
      </c>
    </row>
    <row r="490">
      <c r="A490" t="str">
        <v>489</v>
      </c>
      <c r="B490" t="str">
        <v>MASS BSF</v>
      </c>
      <c r="C490" t="str">
        <v>F8R-810</v>
      </c>
      <c r="D490" t="str">
        <v>F8R-810</v>
      </c>
      <c r="E490" t="str">
        <v/>
      </c>
      <c r="F490" t="str">
        <v>867806078868827</v>
      </c>
      <c r="G490" t="str">
        <v>TBD</v>
      </c>
      <c r="H490" t="str">
        <v/>
      </c>
      <c r="I490" t="str">
        <v>28/09/2026</v>
      </c>
      <c r="J490" t="str">
        <v>17:03:22</v>
      </c>
      <c r="K490">
        <v>-12.218535</v>
      </c>
      <c r="L490">
        <v>-76.97054</v>
      </c>
      <c r="M490">
        <f>HYPERLINK("https://www.google.com/maps/search/?api=1&amp;query=-12.218535,-76.97054","Avenida El Sol, Villa El Salvador, Lima")</f>
      </c>
      <c r="N490">
        <v>17.2</v>
      </c>
      <c r="O490">
        <v>85</v>
      </c>
      <c r="P490">
        <v>1774.81</v>
      </c>
      <c r="Q490" t="str">
        <v>69.60</v>
      </c>
      <c r="R490" t="str">
        <v/>
      </c>
      <c r="S490" t="str">
        <v/>
      </c>
      <c r="T490" t="str">
        <v/>
      </c>
      <c r="U490" t="str">
        <v/>
      </c>
    </row>
    <row r="491">
      <c r="A491" t="str">
        <v>490</v>
      </c>
      <c r="B491" t="str">
        <v>MASS BSF</v>
      </c>
      <c r="C491" t="str">
        <v>F8R-810</v>
      </c>
      <c r="D491" t="str">
        <v>F8R-810</v>
      </c>
      <c r="E491" t="str">
        <v/>
      </c>
      <c r="F491" t="str">
        <v>867806078868827</v>
      </c>
      <c r="G491" t="str">
        <v>TBD</v>
      </c>
      <c r="H491" t="str">
        <v/>
      </c>
      <c r="I491" t="str">
        <v>28/09/2026</v>
      </c>
      <c r="J491" t="str">
        <v>17:03:28</v>
      </c>
      <c r="K491">
        <v>-12.218353</v>
      </c>
      <c r="L491">
        <v>-76.97036</v>
      </c>
      <c r="M491">
        <f>HYPERLINK("https://www.google.com/maps/search/?api=1&amp;query=-12.218353,-76.97036","Avenida El Sol, Villa El Salvador, Lima")</f>
      </c>
      <c r="N491">
        <v>17.2</v>
      </c>
      <c r="O491">
        <v>85</v>
      </c>
      <c r="P491">
        <v>1774.84</v>
      </c>
      <c r="Q491" t="str">
        <v>69.60</v>
      </c>
      <c r="R491" t="str">
        <v>Acelerado y giro brusco</v>
      </c>
      <c r="S491" t="str">
        <v/>
      </c>
      <c r="T491" t="str">
        <v/>
      </c>
      <c r="U491" t="str">
        <v/>
      </c>
    </row>
    <row r="492">
      <c r="A492" t="str">
        <v>491</v>
      </c>
      <c r="B492" t="str">
        <v>MASS BSF</v>
      </c>
      <c r="C492" t="str">
        <v>F8R-810</v>
      </c>
      <c r="D492" t="str">
        <v>F8R-810</v>
      </c>
      <c r="E492" t="str">
        <v/>
      </c>
      <c r="F492" t="str">
        <v>867806078868827</v>
      </c>
      <c r="G492" t="str">
        <v>TBD</v>
      </c>
      <c r="H492" t="str">
        <v/>
      </c>
      <c r="I492" t="str">
        <v>28/09/2026</v>
      </c>
      <c r="J492" t="str">
        <v>17:03:38</v>
      </c>
      <c r="K492">
        <v>-12.218055</v>
      </c>
      <c r="L492">
        <v>-76.97004</v>
      </c>
      <c r="M492">
        <f>HYPERLINK("https://www.google.com/maps/search/?api=1&amp;query=-12.218055,-76.97004","Avenida El Sol, Villa El Salvador, Lima")</f>
      </c>
      <c r="N492">
        <v>17.2</v>
      </c>
      <c r="O492">
        <v>85</v>
      </c>
      <c r="P492">
        <v>1774.89</v>
      </c>
      <c r="Q492" t="str">
        <v>69.60</v>
      </c>
      <c r="R492" t="str">
        <v>Aceleración brusca</v>
      </c>
      <c r="S492" t="str">
        <v/>
      </c>
      <c r="T492" t="str">
        <v/>
      </c>
      <c r="U492" t="str">
        <v/>
      </c>
    </row>
    <row r="493">
      <c r="A493" t="str">
        <v>492</v>
      </c>
      <c r="B493" t="str">
        <v>MASS BSF</v>
      </c>
      <c r="C493" t="str">
        <v>F8R-810</v>
      </c>
      <c r="D493" t="str">
        <v>F8R-810</v>
      </c>
      <c r="E493" t="str">
        <v/>
      </c>
      <c r="F493" t="str">
        <v>867806078868827</v>
      </c>
      <c r="G493" t="str">
        <v>TBD</v>
      </c>
      <c r="H493" t="str">
        <v/>
      </c>
      <c r="I493" t="str">
        <v>28/09/2026</v>
      </c>
      <c r="J493" t="str">
        <v>17:04:03</v>
      </c>
      <c r="K493">
        <v>-12.217102</v>
      </c>
      <c r="L493">
        <v>-76.96898</v>
      </c>
      <c r="M493">
        <f>HYPERLINK("https://www.google.com/maps/search/?api=1&amp;query=-12.217102,-76.96898","Avenida El Sol, Villa El Salvador, Lima")</f>
      </c>
      <c r="N493">
        <v>20.5</v>
      </c>
      <c r="O493">
        <v>85</v>
      </c>
      <c r="P493">
        <v>1775.04</v>
      </c>
      <c r="Q493" t="str">
        <v>69.60</v>
      </c>
      <c r="R493" t="str">
        <v>Acelerado y giro brusco</v>
      </c>
      <c r="S493" t="str">
        <v/>
      </c>
      <c r="T493" t="str">
        <v/>
      </c>
      <c r="U493" t="str">
        <v/>
      </c>
    </row>
    <row r="494">
      <c r="A494" t="str">
        <v>493</v>
      </c>
      <c r="B494" t="str">
        <v>MASS BSF</v>
      </c>
      <c r="C494" t="str">
        <v>F8R-810</v>
      </c>
      <c r="D494" t="str">
        <v>F8R-810</v>
      </c>
      <c r="E494" t="str">
        <v/>
      </c>
      <c r="F494" t="str">
        <v>867806078868827</v>
      </c>
      <c r="G494" t="str">
        <v>TBD</v>
      </c>
      <c r="H494" t="str">
        <v/>
      </c>
      <c r="I494" t="str">
        <v>28/09/2026</v>
      </c>
      <c r="J494" t="str">
        <v>17:04:06</v>
      </c>
      <c r="K494">
        <v>-12.21701</v>
      </c>
      <c r="L494">
        <v>-76.96888</v>
      </c>
      <c r="M494">
        <f>HYPERLINK("https://www.google.com/maps/search/?api=1&amp;query=-12.21701,-76.96888","Avenida El Sol, Villa El Salvador, Lima")</f>
      </c>
      <c r="N494">
        <v>14.2</v>
      </c>
      <c r="O494">
        <v>85</v>
      </c>
      <c r="P494">
        <v>1775.06</v>
      </c>
      <c r="Q494" t="str">
        <v>69.60</v>
      </c>
      <c r="R494" t="str">
        <v/>
      </c>
      <c r="S494" t="str">
        <v/>
      </c>
      <c r="T494" t="str">
        <v/>
      </c>
      <c r="U494" t="str">
        <v/>
      </c>
    </row>
    <row r="495">
      <c r="A495" t="str">
        <v>494</v>
      </c>
      <c r="B495" t="str">
        <v>MASS BSF</v>
      </c>
      <c r="C495" t="str">
        <v>F8R-810</v>
      </c>
      <c r="D495" t="str">
        <v>F8R-810</v>
      </c>
      <c r="E495" t="str">
        <v/>
      </c>
      <c r="F495" t="str">
        <v>867806078868827</v>
      </c>
      <c r="G495" t="str">
        <v>TBD</v>
      </c>
      <c r="H495" t="str">
        <v/>
      </c>
      <c r="I495" t="str">
        <v>28/09/2026</v>
      </c>
      <c r="J495" t="str">
        <v>17:04:09</v>
      </c>
      <c r="K495">
        <v>-12.216964</v>
      </c>
      <c r="L495">
        <v>-76.96883</v>
      </c>
      <c r="M495">
        <f>HYPERLINK("https://www.google.com/maps/search/?api=1&amp;query=-12.216964,-76.96883","Avenida El Sol, Villa El Salvador, Lima")</f>
      </c>
      <c r="N495">
        <v>7</v>
      </c>
      <c r="O495">
        <v>85</v>
      </c>
      <c r="P495">
        <v>1775.06</v>
      </c>
      <c r="Q495" t="str">
        <v>69.60</v>
      </c>
      <c r="R495" t="str">
        <v/>
      </c>
      <c r="S495" t="str">
        <v/>
      </c>
      <c r="T495" t="str">
        <v/>
      </c>
      <c r="U495" t="str">
        <v/>
      </c>
    </row>
    <row r="496">
      <c r="A496" t="str">
        <v>495</v>
      </c>
      <c r="B496" t="str">
        <v>MASS BSF</v>
      </c>
      <c r="C496" t="str">
        <v>F8R-810</v>
      </c>
      <c r="D496" t="str">
        <v>F8R-810</v>
      </c>
      <c r="E496" t="str">
        <v/>
      </c>
      <c r="F496" t="str">
        <v>867806078868827</v>
      </c>
      <c r="G496" t="str">
        <v>TBD</v>
      </c>
      <c r="H496" t="str">
        <v/>
      </c>
      <c r="I496" t="str">
        <v>28/09/2026</v>
      </c>
      <c r="J496" t="str">
        <v>17:04:09</v>
      </c>
      <c r="K496">
        <v>-12.216964</v>
      </c>
      <c r="L496">
        <v>-76.96883</v>
      </c>
      <c r="M496">
        <f>HYPERLINK("https://www.google.com/maps/search/?api=1&amp;query=-12.216964,-76.96883","Avenida El Sol, Villa El Salvador, Lima")</f>
      </c>
      <c r="N496">
        <v>7</v>
      </c>
      <c r="O496">
        <v>85</v>
      </c>
      <c r="P496">
        <v>1775.06</v>
      </c>
      <c r="Q496" t="str">
        <v>69.60</v>
      </c>
      <c r="R496" t="str">
        <v/>
      </c>
      <c r="S496" t="str">
        <v/>
      </c>
      <c r="T496" t="str">
        <v/>
      </c>
      <c r="U496" t="str">
        <v/>
      </c>
    </row>
    <row r="497">
      <c r="A497" t="str">
        <v>496</v>
      </c>
      <c r="B497" t="str">
        <v>MASS BSF</v>
      </c>
      <c r="C497" t="str">
        <v>F8R-810</v>
      </c>
      <c r="D497" t="str">
        <v>F8R-810</v>
      </c>
      <c r="E497" t="str">
        <v/>
      </c>
      <c r="F497" t="str">
        <v>867806078868827</v>
      </c>
      <c r="G497" t="str">
        <v>TBD</v>
      </c>
      <c r="H497" t="str">
        <v/>
      </c>
      <c r="I497" t="str">
        <v>28/09/2026</v>
      </c>
      <c r="J497" t="str">
        <v>17:04:30</v>
      </c>
      <c r="K497">
        <v>-12.216289</v>
      </c>
      <c r="L497">
        <v>-76.96807</v>
      </c>
      <c r="M497">
        <f>HYPERLINK("https://www.google.com/maps/search/?api=1&amp;query=-12.216289,-76.96807","Avenida El Sol, Villa El Salvador, Lima")</f>
      </c>
      <c r="N497">
        <v>31.2</v>
      </c>
      <c r="O497">
        <v>88</v>
      </c>
      <c r="P497">
        <v>1775.17</v>
      </c>
      <c r="Q497" t="str">
        <v>69.60</v>
      </c>
      <c r="R497" t="str">
        <v>Acelerado y giro brusco</v>
      </c>
      <c r="S497" t="str">
        <v/>
      </c>
      <c r="T497" t="str">
        <v/>
      </c>
      <c r="U497" t="str">
        <v/>
      </c>
    </row>
    <row r="498">
      <c r="A498" t="str">
        <v>497</v>
      </c>
      <c r="B498" t="str">
        <v>MASS BSF</v>
      </c>
      <c r="C498" t="str">
        <v>F8R-810</v>
      </c>
      <c r="D498" t="str">
        <v>F8R-810</v>
      </c>
      <c r="E498" t="str">
        <v/>
      </c>
      <c r="F498" t="str">
        <v>867806078868827</v>
      </c>
      <c r="G498" t="str">
        <v>TBD</v>
      </c>
      <c r="H498" t="str">
        <v/>
      </c>
      <c r="I498" t="str">
        <v>28/09/2026</v>
      </c>
      <c r="J498" t="str">
        <v>17:04:30</v>
      </c>
      <c r="K498">
        <v>-12.216289</v>
      </c>
      <c r="L498">
        <v>-76.96807</v>
      </c>
      <c r="M498">
        <f>HYPERLINK("https://www.google.com/maps/search/?api=1&amp;query=-12.216289,-76.96807","Avenida El Sol, Villa El Salvador, Lima")</f>
      </c>
      <c r="N498">
        <v>31.2</v>
      </c>
      <c r="O498">
        <v>88</v>
      </c>
      <c r="P498">
        <v>1775.17</v>
      </c>
      <c r="Q498" t="str">
        <v>69.60</v>
      </c>
      <c r="R498" t="str">
        <v>Acelerado y giro brusco</v>
      </c>
      <c r="S498" t="str">
        <v/>
      </c>
      <c r="T498" t="str">
        <v/>
      </c>
      <c r="U498" t="str">
        <v/>
      </c>
    </row>
    <row r="499">
      <c r="A499" t="str">
        <v>498</v>
      </c>
      <c r="B499" t="str">
        <v>MASS BSF</v>
      </c>
      <c r="C499" t="str">
        <v>F8R-810</v>
      </c>
      <c r="D499" t="str">
        <v>F8R-810</v>
      </c>
      <c r="E499" t="str">
        <v/>
      </c>
      <c r="F499" t="str">
        <v>867806078868827</v>
      </c>
      <c r="G499" t="str">
        <v>TBD</v>
      </c>
      <c r="H499" t="str">
        <v/>
      </c>
      <c r="I499" t="str">
        <v>28/09/2026</v>
      </c>
      <c r="J499" t="str">
        <v>17:04:35</v>
      </c>
      <c r="K499">
        <v>-12.215937</v>
      </c>
      <c r="L499">
        <v>-76.96773</v>
      </c>
      <c r="M499">
        <f>HYPERLINK("https://www.google.com/maps/search/?api=1&amp;query=-12.215937,-76.96773","Avenida El Sol, Villa El Salvador, Lima")</f>
      </c>
      <c r="N499">
        <v>32.4</v>
      </c>
      <c r="O499">
        <v>88</v>
      </c>
      <c r="P499">
        <v>1775.23</v>
      </c>
      <c r="Q499" t="str">
        <v>69.60</v>
      </c>
      <c r="R499" t="str">
        <v/>
      </c>
      <c r="S499" t="str">
        <v/>
      </c>
      <c r="T499" t="str">
        <v/>
      </c>
      <c r="U499" t="str">
        <v/>
      </c>
    </row>
    <row r="500">
      <c r="A500" t="str">
        <v>499</v>
      </c>
      <c r="B500" t="str">
        <v>MASS BSF</v>
      </c>
      <c r="C500" t="str">
        <v>F8R-810</v>
      </c>
      <c r="D500" t="str">
        <v>F8R-810</v>
      </c>
      <c r="E500" t="str">
        <v/>
      </c>
      <c r="F500" t="str">
        <v>867806078868827</v>
      </c>
      <c r="G500" t="str">
        <v>TBD</v>
      </c>
      <c r="H500" t="str">
        <v/>
      </c>
      <c r="I500" t="str">
        <v>28/09/2026</v>
      </c>
      <c r="J500" t="str">
        <v>17:04:38</v>
      </c>
      <c r="K500">
        <v>-12.215787</v>
      </c>
      <c r="L500">
        <v>-76.96765</v>
      </c>
      <c r="M500">
        <f>HYPERLINK("https://www.google.com/maps/search/?api=1&amp;query=-12.215787,-76.96765","Avenida El Sol, Villa El Salvador, Lima")</f>
      </c>
      <c r="N500">
        <v>35</v>
      </c>
      <c r="O500">
        <v>88</v>
      </c>
      <c r="P500">
        <v>1775.25</v>
      </c>
      <c r="Q500" t="str">
        <v>69.60</v>
      </c>
      <c r="R500" t="str">
        <v/>
      </c>
      <c r="S500" t="str">
        <v/>
      </c>
      <c r="T500" t="str">
        <v/>
      </c>
      <c r="U500" t="str">
        <v/>
      </c>
    </row>
    <row r="501">
      <c r="A501" t="str">
        <v>500</v>
      </c>
      <c r="B501" t="str">
        <v>MASS BSF</v>
      </c>
      <c r="C501" t="str">
        <v>F8R-810</v>
      </c>
      <c r="D501" t="str">
        <v>F8R-810</v>
      </c>
      <c r="E501" t="str">
        <v/>
      </c>
      <c r="F501" t="str">
        <v>867806078868827</v>
      </c>
      <c r="G501" t="str">
        <v>TBD</v>
      </c>
      <c r="H501" t="str">
        <v/>
      </c>
      <c r="I501" t="str">
        <v>28/09/2026</v>
      </c>
      <c r="J501" t="str">
        <v>17:04:48</v>
      </c>
      <c r="K501">
        <v>-12.214925</v>
      </c>
      <c r="L501">
        <v>-76.96716</v>
      </c>
      <c r="M501">
        <f>HYPERLINK("https://www.google.com/maps/search/?api=1&amp;query=-12.214925,-76.96716","Avenida El Sol, Villa El Salvador, Lima")</f>
      </c>
      <c r="N501">
        <v>37.2</v>
      </c>
      <c r="O501">
        <v>88</v>
      </c>
      <c r="P501">
        <v>1775.35</v>
      </c>
      <c r="Q501" t="str">
        <v>69.60</v>
      </c>
      <c r="R501" t="str">
        <v/>
      </c>
      <c r="S501" t="str">
        <v/>
      </c>
      <c r="T501" t="str">
        <v/>
      </c>
      <c r="U501" t="str">
        <v/>
      </c>
    </row>
    <row r="502">
      <c r="A502" t="str">
        <v>501</v>
      </c>
      <c r="B502" t="str">
        <v>MASS BSF</v>
      </c>
      <c r="C502" t="str">
        <v>F8R-810</v>
      </c>
      <c r="D502" t="str">
        <v>F8R-810</v>
      </c>
      <c r="E502" t="str">
        <v/>
      </c>
      <c r="F502" t="str">
        <v>867806078868827</v>
      </c>
      <c r="G502" t="str">
        <v>TBD</v>
      </c>
      <c r="H502" t="str">
        <v/>
      </c>
      <c r="I502" t="str">
        <v>28/09/2026</v>
      </c>
      <c r="J502" t="str">
        <v>17:04:55</v>
      </c>
      <c r="K502">
        <v>-12.214495</v>
      </c>
      <c r="L502">
        <v>-76.96674</v>
      </c>
      <c r="M502">
        <f>HYPERLINK("https://www.google.com/maps/search/?api=1&amp;query=-12.214495,-76.96674","Avenida El Sol, Villa El Salvador, Lima")</f>
      </c>
      <c r="N502">
        <v>41.6</v>
      </c>
      <c r="O502">
        <v>88</v>
      </c>
      <c r="P502">
        <v>1775.42</v>
      </c>
      <c r="Q502" t="str">
        <v>69.60</v>
      </c>
      <c r="R502" t="str">
        <v/>
      </c>
      <c r="S502" t="str">
        <v/>
      </c>
      <c r="T502" t="str">
        <v/>
      </c>
      <c r="U502" t="str">
        <v/>
      </c>
    </row>
    <row r="503">
      <c r="A503" t="str">
        <v>502</v>
      </c>
      <c r="B503" t="str">
        <v>MASS BSF</v>
      </c>
      <c r="C503" t="str">
        <v>F8R-810</v>
      </c>
      <c r="D503" t="str">
        <v>F8R-810</v>
      </c>
      <c r="E503" t="str">
        <v/>
      </c>
      <c r="F503" t="str">
        <v>867806078868827</v>
      </c>
      <c r="G503" t="str">
        <v>TBD</v>
      </c>
      <c r="H503" t="str">
        <v/>
      </c>
      <c r="I503" t="str">
        <v>28/09/2026</v>
      </c>
      <c r="J503" t="str">
        <v>17:04:56</v>
      </c>
      <c r="K503">
        <v>-12.21442</v>
      </c>
      <c r="L503">
        <v>-76.966675</v>
      </c>
      <c r="M503">
        <f>HYPERLINK("https://www.google.com/maps/search/?api=1&amp;query=-12.21442,-76.966675","Avenida El Sol, Villa El Salvador, Lima")</f>
      </c>
      <c r="N503">
        <v>41.4</v>
      </c>
      <c r="O503">
        <v>88</v>
      </c>
      <c r="P503">
        <v>1775.43</v>
      </c>
      <c r="Q503" t="str">
        <v>69.60</v>
      </c>
      <c r="R503" t="str">
        <v/>
      </c>
      <c r="S503" t="str">
        <v/>
      </c>
      <c r="T503" t="str">
        <v/>
      </c>
      <c r="U503" t="str">
        <v/>
      </c>
    </row>
    <row r="504">
      <c r="A504" t="str">
        <v>503</v>
      </c>
      <c r="B504" t="str">
        <v>MASS BSF</v>
      </c>
      <c r="C504" t="str">
        <v>F8R-810</v>
      </c>
      <c r="D504" t="str">
        <v>F8R-810</v>
      </c>
      <c r="E504" t="str">
        <v/>
      </c>
      <c r="F504" t="str">
        <v>867806078868827</v>
      </c>
      <c r="G504" t="str">
        <v>TBD</v>
      </c>
      <c r="H504" t="str">
        <v/>
      </c>
      <c r="I504" t="str">
        <v>28/09/2026</v>
      </c>
      <c r="J504" t="str">
        <v>17:04:57</v>
      </c>
      <c r="K504">
        <v>-12.214345</v>
      </c>
      <c r="L504">
        <v>-76.9666</v>
      </c>
      <c r="M504">
        <f>HYPERLINK("https://www.google.com/maps/search/?api=1&amp;query=-12.214345,-76.9666","Avenida El Sol, Villa El Salvador, Lima")</f>
      </c>
      <c r="N504">
        <v>42</v>
      </c>
      <c r="O504">
        <v>88</v>
      </c>
      <c r="P504">
        <v>1775.44</v>
      </c>
      <c r="Q504" t="str">
        <v>69.60</v>
      </c>
      <c r="R504" t="str">
        <v>Acelerado y giro brusco</v>
      </c>
      <c r="S504" t="str">
        <v/>
      </c>
      <c r="T504" t="str">
        <v/>
      </c>
      <c r="U504" t="str">
        <v/>
      </c>
    </row>
    <row r="505">
      <c r="A505" t="str">
        <v>504</v>
      </c>
      <c r="B505" t="str">
        <v>MASS BSF</v>
      </c>
      <c r="C505" t="str">
        <v>F8R-810</v>
      </c>
      <c r="D505" t="str">
        <v>F8R-810</v>
      </c>
      <c r="E505" t="str">
        <v/>
      </c>
      <c r="F505" t="str">
        <v>867806078868827</v>
      </c>
      <c r="G505" t="str">
        <v>TBD</v>
      </c>
      <c r="H505" t="str">
        <v/>
      </c>
      <c r="I505" t="str">
        <v>28/09/2026</v>
      </c>
      <c r="J505" t="str">
        <v>17:05:02</v>
      </c>
      <c r="K505">
        <v>-12.213965</v>
      </c>
      <c r="L505">
        <v>-76.966225</v>
      </c>
      <c r="M505">
        <f>HYPERLINK("https://www.google.com/maps/search/?api=1&amp;query=-12.213965,-76.966225","Avenida El Sol, Villa El Salvador, Lima")</f>
      </c>
      <c r="N505">
        <v>42.2</v>
      </c>
      <c r="O505">
        <v>88</v>
      </c>
      <c r="P505">
        <v>1775.5</v>
      </c>
      <c r="Q505" t="str">
        <v>69.60</v>
      </c>
      <c r="R505" t="str">
        <v/>
      </c>
      <c r="S505" t="str">
        <v/>
      </c>
      <c r="T505" t="str">
        <v/>
      </c>
      <c r="U505" t="str">
        <v/>
      </c>
    </row>
    <row r="506">
      <c r="A506" t="str">
        <v>505</v>
      </c>
      <c r="B506" t="str">
        <v>MASS BSF</v>
      </c>
      <c r="C506" t="str">
        <v>F8R-810</v>
      </c>
      <c r="D506" t="str">
        <v>F8R-810</v>
      </c>
      <c r="E506" t="str">
        <v/>
      </c>
      <c r="F506" t="str">
        <v>867806078868827</v>
      </c>
      <c r="G506" t="str">
        <v>TBD</v>
      </c>
      <c r="H506" t="str">
        <v/>
      </c>
      <c r="I506" t="str">
        <v>28/09/2026</v>
      </c>
      <c r="J506" t="str">
        <v>17:05:11</v>
      </c>
      <c r="K506">
        <v>-12.213317</v>
      </c>
      <c r="L506">
        <v>-76.96558</v>
      </c>
      <c r="M506">
        <f>HYPERLINK("https://www.google.com/maps/search/?api=1&amp;query=-12.213317,-76.96558","Avenida El Sol, Villa El Salvador, Lima")</f>
      </c>
      <c r="N506">
        <v>38.5</v>
      </c>
      <c r="O506">
        <v>96</v>
      </c>
      <c r="P506">
        <v>1775.6</v>
      </c>
      <c r="Q506" t="str">
        <v>69.60</v>
      </c>
      <c r="R506" t="str">
        <v/>
      </c>
      <c r="S506" t="str">
        <v/>
      </c>
      <c r="T506" t="str">
        <v/>
      </c>
      <c r="U506" t="str">
        <v/>
      </c>
    </row>
    <row r="507">
      <c r="A507" t="str">
        <v>506</v>
      </c>
      <c r="B507" t="str">
        <v>MASS BSF</v>
      </c>
      <c r="C507" t="str">
        <v>F8R-810</v>
      </c>
      <c r="D507" t="str">
        <v>F8R-810</v>
      </c>
      <c r="E507" t="str">
        <v/>
      </c>
      <c r="F507" t="str">
        <v>867806078868827</v>
      </c>
      <c r="G507" t="str">
        <v>TBD</v>
      </c>
      <c r="H507" t="str">
        <v/>
      </c>
      <c r="I507" t="str">
        <v>28/09/2026</v>
      </c>
      <c r="J507" t="str">
        <v>17:05:17</v>
      </c>
      <c r="K507">
        <v>-12.212935</v>
      </c>
      <c r="L507">
        <v>-76.9652</v>
      </c>
      <c r="M507">
        <f>HYPERLINK("https://www.google.com/maps/search/?api=1&amp;query=-12.212935,-76.9652","Avenida El Sol, Villa El Salvador, Lima")</f>
      </c>
      <c r="N507">
        <v>23.8</v>
      </c>
      <c r="O507">
        <v>96</v>
      </c>
      <c r="P507">
        <v>1775.66</v>
      </c>
      <c r="Q507" t="str">
        <v>69.60</v>
      </c>
      <c r="R507" t="str">
        <v/>
      </c>
      <c r="S507" t="str">
        <v/>
      </c>
      <c r="T507" t="str">
        <v/>
      </c>
      <c r="U507" t="str">
        <v/>
      </c>
    </row>
    <row r="508">
      <c r="A508" t="str">
        <v>507</v>
      </c>
      <c r="B508" t="str">
        <v>MASS BSF</v>
      </c>
      <c r="C508" t="str">
        <v>F8R-810</v>
      </c>
      <c r="D508" t="str">
        <v>F8R-810</v>
      </c>
      <c r="E508" t="str">
        <v/>
      </c>
      <c r="F508" t="str">
        <v>867806078868827</v>
      </c>
      <c r="G508" t="str">
        <v>TBD</v>
      </c>
      <c r="H508" t="str">
        <v/>
      </c>
      <c r="I508" t="str">
        <v>28/09/2026</v>
      </c>
      <c r="J508" t="str">
        <v>17:05:18</v>
      </c>
      <c r="K508">
        <v>-12.212935</v>
      </c>
      <c r="L508">
        <v>-76.9652</v>
      </c>
      <c r="M508">
        <f>HYPERLINK("https://www.google.com/maps/search/?api=1&amp;query=-12.212935,-76.9652","Avenida El Sol, Villa El Salvador, Lima")</f>
      </c>
      <c r="N508">
        <v>23.8</v>
      </c>
      <c r="O508">
        <v>70</v>
      </c>
      <c r="P508">
        <v>1775.66</v>
      </c>
      <c r="Q508" t="str">
        <v>69.60</v>
      </c>
      <c r="R508" t="str">
        <v>Acelerado y giro brusco</v>
      </c>
      <c r="S508" t="str">
        <v/>
      </c>
      <c r="T508" t="str">
        <v/>
      </c>
      <c r="U508" t="str">
        <v/>
      </c>
    </row>
    <row r="509">
      <c r="A509" t="str">
        <v>508</v>
      </c>
      <c r="B509" t="str">
        <v>MASS BSF</v>
      </c>
      <c r="C509" t="str">
        <v>F8R-810</v>
      </c>
      <c r="D509" t="str">
        <v>F8R-810</v>
      </c>
      <c r="E509" t="str">
        <v/>
      </c>
      <c r="F509" t="str">
        <v>867806078868827</v>
      </c>
      <c r="G509" t="str">
        <v>TBD</v>
      </c>
      <c r="H509" t="str">
        <v/>
      </c>
      <c r="I509" t="str">
        <v>28/09/2026</v>
      </c>
      <c r="J509" t="str">
        <v>17:05:22</v>
      </c>
      <c r="K509">
        <v>-12.212791</v>
      </c>
      <c r="L509">
        <v>-76.96492</v>
      </c>
      <c r="M509">
        <f>HYPERLINK("https://www.google.com/maps/search/?api=1&amp;query=-12.212791,-76.96492","Avenida El Sol, Villa El Salvador, Lima")</f>
      </c>
      <c r="N509">
        <v>25.1</v>
      </c>
      <c r="O509">
        <v>70</v>
      </c>
      <c r="P509">
        <v>1775.69</v>
      </c>
      <c r="Q509" t="str">
        <v>69.60</v>
      </c>
      <c r="R509" t="str">
        <v/>
      </c>
      <c r="S509" t="str">
        <v/>
      </c>
      <c r="T509" t="str">
        <v/>
      </c>
      <c r="U509" t="str">
        <v/>
      </c>
    </row>
    <row r="510">
      <c r="A510" t="str">
        <v>509</v>
      </c>
      <c r="B510" t="str">
        <v>MASS BSF</v>
      </c>
      <c r="C510" t="str">
        <v>F8R-810</v>
      </c>
      <c r="D510" t="str">
        <v>F8R-810</v>
      </c>
      <c r="E510" t="str">
        <v/>
      </c>
      <c r="F510" t="str">
        <v>867806078868827</v>
      </c>
      <c r="G510" t="str">
        <v>TBD</v>
      </c>
      <c r="H510" t="str">
        <v/>
      </c>
      <c r="I510" t="str">
        <v>28/09/2026</v>
      </c>
      <c r="J510" t="str">
        <v>17:05:33</v>
      </c>
      <c r="K510">
        <v>-12.212457</v>
      </c>
      <c r="L510">
        <v>-76.964264</v>
      </c>
      <c r="M510">
        <f>HYPERLINK("https://www.google.com/maps/search/?api=1&amp;query=-12.212457,-76.964264","Avenida El Sol, Villa El Salvador, Lima")</f>
      </c>
      <c r="N510">
        <v>30.9</v>
      </c>
      <c r="O510">
        <v>70</v>
      </c>
      <c r="P510">
        <v>1775.77</v>
      </c>
      <c r="Q510" t="str">
        <v>69.60</v>
      </c>
      <c r="R510" t="str">
        <v/>
      </c>
      <c r="S510" t="str">
        <v/>
      </c>
      <c r="T510" t="str">
        <v/>
      </c>
      <c r="U510" t="str">
        <v/>
      </c>
    </row>
    <row r="511">
      <c r="A511" t="str">
        <v>510</v>
      </c>
      <c r="B511" t="str">
        <v>MASS BSF</v>
      </c>
      <c r="C511" t="str">
        <v>F8R-810</v>
      </c>
      <c r="D511" t="str">
        <v>F8R-810</v>
      </c>
      <c r="E511" t="str">
        <v/>
      </c>
      <c r="F511" t="str">
        <v>867806078868827</v>
      </c>
      <c r="G511" t="str">
        <v>TBD</v>
      </c>
      <c r="H511" t="str">
        <v/>
      </c>
      <c r="I511" t="str">
        <v>28/09/2026</v>
      </c>
      <c r="J511" t="str">
        <v>17:05:37</v>
      </c>
      <c r="K511">
        <v>-12.21231</v>
      </c>
      <c r="L511">
        <v>-76.96398</v>
      </c>
      <c r="M511">
        <f>HYPERLINK("https://www.google.com/maps/search/?api=1&amp;query=-12.21231,-76.96398","Avenida El Sol, Villa El Salvador, Lima")</f>
      </c>
      <c r="N511">
        <v>30.9</v>
      </c>
      <c r="O511">
        <v>70</v>
      </c>
      <c r="P511">
        <v>1775.81</v>
      </c>
      <c r="Q511" t="str">
        <v>69.60</v>
      </c>
      <c r="R511" t="str">
        <v/>
      </c>
      <c r="S511" t="str">
        <v/>
      </c>
      <c r="T511" t="str">
        <v/>
      </c>
      <c r="U511" t="str">
        <v/>
      </c>
    </row>
    <row r="512">
      <c r="A512" t="str">
        <v>511</v>
      </c>
      <c r="B512" t="str">
        <v>MASS BSF</v>
      </c>
      <c r="C512" t="str">
        <v>F8R-810</v>
      </c>
      <c r="D512" t="str">
        <v>F8R-810</v>
      </c>
      <c r="E512" t="str">
        <v/>
      </c>
      <c r="F512" t="str">
        <v>867806078868827</v>
      </c>
      <c r="G512" t="str">
        <v>TBD</v>
      </c>
      <c r="H512" t="str">
        <v/>
      </c>
      <c r="I512" t="str">
        <v>28/09/2026</v>
      </c>
      <c r="J512" t="str">
        <v>17:05:48</v>
      </c>
      <c r="K512">
        <v>-12.211875</v>
      </c>
      <c r="L512">
        <v>-76.96318</v>
      </c>
      <c r="M512">
        <f>HYPERLINK("https://www.google.com/maps/search/?api=1&amp;query=-12.211875,-76.96318","Avenida El Sol, Villa El Salvador, Lima")</f>
      </c>
      <c r="N512">
        <v>35</v>
      </c>
      <c r="O512">
        <v>70</v>
      </c>
      <c r="P512">
        <v>1775.9</v>
      </c>
      <c r="Q512" t="str">
        <v>69.60</v>
      </c>
      <c r="R512" t="str">
        <v>Acelerado y giro brusco</v>
      </c>
      <c r="S512" t="str">
        <v/>
      </c>
      <c r="T512" t="str">
        <v/>
      </c>
      <c r="U512" t="str">
        <v/>
      </c>
    </row>
    <row r="513">
      <c r="A513" t="str">
        <v>512</v>
      </c>
      <c r="B513" t="str">
        <v>MASS BSF</v>
      </c>
      <c r="C513" t="str">
        <v>F8R-810</v>
      </c>
      <c r="D513" t="str">
        <v>F8R-810</v>
      </c>
      <c r="E513" t="str">
        <v/>
      </c>
      <c r="F513" t="str">
        <v>867806078868827</v>
      </c>
      <c r="G513" t="str">
        <v>TBD</v>
      </c>
      <c r="H513" t="str">
        <v/>
      </c>
      <c r="I513" t="str">
        <v>28/09/2026</v>
      </c>
      <c r="J513" t="str">
        <v>17:06:03</v>
      </c>
      <c r="K513">
        <v>-12.211255</v>
      </c>
      <c r="L513">
        <v>-76.962074</v>
      </c>
      <c r="M513">
        <f>HYPERLINK("https://www.google.com/maps/search/?api=1&amp;query=-12.211255,-76.962074","Avenida El Sol, Villa El Salvador, Lima")</f>
      </c>
      <c r="N513">
        <v>11.8</v>
      </c>
      <c r="O513">
        <v>70</v>
      </c>
      <c r="P513">
        <v>1776.04</v>
      </c>
      <c r="Q513" t="str">
        <v>69.60</v>
      </c>
      <c r="R513" t="str">
        <v/>
      </c>
      <c r="S513" t="str">
        <v/>
      </c>
      <c r="T513" t="str">
        <v/>
      </c>
      <c r="U513" t="str">
        <v/>
      </c>
    </row>
    <row r="514">
      <c r="A514" t="str">
        <v>513</v>
      </c>
      <c r="B514" t="str">
        <v>MASS BSF</v>
      </c>
      <c r="C514" t="str">
        <v>F8R-810</v>
      </c>
      <c r="D514" t="str">
        <v>F8R-810</v>
      </c>
      <c r="E514" t="str">
        <v/>
      </c>
      <c r="F514" t="str">
        <v>867806078868827</v>
      </c>
      <c r="G514" t="str">
        <v>TBD</v>
      </c>
      <c r="H514" t="str">
        <v/>
      </c>
      <c r="I514" t="str">
        <v>28/09/2026</v>
      </c>
      <c r="J514" t="str">
        <v>17:06:07</v>
      </c>
      <c r="K514">
        <v>-12.211275</v>
      </c>
      <c r="L514">
        <v>-76.962</v>
      </c>
      <c r="M514">
        <f>HYPERLINK("https://www.google.com/maps/search/?api=1&amp;query=-12.211275,-76.962","Calle 1, Villa El Salvador, Lima")</f>
      </c>
      <c r="N514">
        <v>9.6</v>
      </c>
      <c r="O514">
        <v>85</v>
      </c>
      <c r="P514">
        <v>1776.05</v>
      </c>
      <c r="Q514" t="str">
        <v>69.60</v>
      </c>
      <c r="R514" t="str">
        <v>Aceleración brusca</v>
      </c>
      <c r="S514" t="str">
        <v/>
      </c>
      <c r="T514" t="str">
        <v/>
      </c>
      <c r="U514" t="str">
        <v/>
      </c>
    </row>
    <row r="515">
      <c r="A515" t="str">
        <v>514</v>
      </c>
      <c r="B515" t="str">
        <v>MASS BSF</v>
      </c>
      <c r="C515" t="str">
        <v>F8R-810</v>
      </c>
      <c r="D515" t="str">
        <v>F8R-810</v>
      </c>
      <c r="E515" t="str">
        <v/>
      </c>
      <c r="F515" t="str">
        <v>867806078868827</v>
      </c>
      <c r="G515" t="str">
        <v>TBD</v>
      </c>
      <c r="H515" t="str">
        <v/>
      </c>
      <c r="I515" t="str">
        <v>28/09/2026</v>
      </c>
      <c r="J515" t="str">
        <v>17:06:19</v>
      </c>
      <c r="K515">
        <v>-12.211409</v>
      </c>
      <c r="L515">
        <v>-76.961914</v>
      </c>
      <c r="M515">
        <f>HYPERLINK("https://www.google.com/maps/search/?api=1&amp;query=-12.211409,-76.961914","Calle 1, Villa El Salvador, Lima")</f>
      </c>
      <c r="N515">
        <v>5.7</v>
      </c>
      <c r="O515">
        <v>70</v>
      </c>
      <c r="P515">
        <v>1776.07</v>
      </c>
      <c r="Q515" t="str">
        <v>69.60</v>
      </c>
      <c r="R515" t="str">
        <v/>
      </c>
      <c r="S515" t="str">
        <v/>
      </c>
      <c r="T515" t="str">
        <v/>
      </c>
      <c r="U515" t="str">
        <v/>
      </c>
    </row>
    <row r="516">
      <c r="A516" t="str">
        <v>515</v>
      </c>
      <c r="B516" t="str">
        <v>MASS BSF</v>
      </c>
      <c r="C516" t="str">
        <v>F8R-810</v>
      </c>
      <c r="D516" t="str">
        <v>F8R-810</v>
      </c>
      <c r="E516" t="str">
        <v/>
      </c>
      <c r="F516" t="str">
        <v>867806078868827</v>
      </c>
      <c r="G516" t="str">
        <v>TBD</v>
      </c>
      <c r="H516" t="str">
        <v/>
      </c>
      <c r="I516" t="str">
        <v>28/09/2026</v>
      </c>
      <c r="J516" t="str">
        <v>17:06:29</v>
      </c>
      <c r="K516">
        <v>-12.211487</v>
      </c>
      <c r="L516">
        <v>-76.961845</v>
      </c>
      <c r="M516">
        <f>HYPERLINK("https://www.google.com/maps/search/?api=1&amp;query=-12.211487,-76.961845","Calle 1, Villa El Salvador, Lima")</f>
      </c>
      <c r="N516">
        <v>0.5</v>
      </c>
      <c r="O516">
        <v>85</v>
      </c>
      <c r="P516">
        <v>1776.08</v>
      </c>
      <c r="Q516" t="str">
        <v>69.60</v>
      </c>
      <c r="R516" t="str">
        <v>Acelerado y giro brusco</v>
      </c>
      <c r="S516" t="str">
        <v/>
      </c>
      <c r="T516" t="str">
        <v/>
      </c>
      <c r="U516" t="str">
        <v/>
      </c>
    </row>
    <row r="517">
      <c r="A517" t="str">
        <v>516</v>
      </c>
      <c r="B517" t="str">
        <v>MASS BSF</v>
      </c>
      <c r="C517" t="str">
        <v>F8R-810</v>
      </c>
      <c r="D517" t="str">
        <v>F8R-810</v>
      </c>
      <c r="E517" t="str">
        <v/>
      </c>
      <c r="F517" t="str">
        <v>867806078868827</v>
      </c>
      <c r="G517" t="str">
        <v>TBD</v>
      </c>
      <c r="H517" t="str">
        <v/>
      </c>
      <c r="I517" t="str">
        <v>28/09/2026</v>
      </c>
      <c r="J517" t="str">
        <v>17:06:30</v>
      </c>
      <c r="K517">
        <v>-12.211507</v>
      </c>
      <c r="L517">
        <v>-76.96183</v>
      </c>
      <c r="M517">
        <f>HYPERLINK("https://www.google.com/maps/search/?api=1&amp;query=-12.211507,-76.96183","Calle 1, Villa El Salvador, Lima")</f>
      </c>
      <c r="N517">
        <v>5.7</v>
      </c>
      <c r="O517">
        <v>85</v>
      </c>
      <c r="P517">
        <v>1776.08</v>
      </c>
      <c r="Q517" t="str">
        <v>69.60</v>
      </c>
      <c r="R517" t="str">
        <v/>
      </c>
      <c r="S517" t="str">
        <v/>
      </c>
      <c r="T517" t="str">
        <v/>
      </c>
      <c r="U517" t="str">
        <v/>
      </c>
    </row>
    <row r="518">
      <c r="A518" t="str">
        <v>517</v>
      </c>
      <c r="B518" t="str">
        <v>MASS BSF</v>
      </c>
      <c r="C518" t="str">
        <v>F8R-810</v>
      </c>
      <c r="D518" t="str">
        <v>F8R-810</v>
      </c>
      <c r="E518" t="str">
        <v/>
      </c>
      <c r="F518" t="str">
        <v>867806078868827</v>
      </c>
      <c r="G518" t="str">
        <v>TBD</v>
      </c>
      <c r="H518" t="str">
        <v/>
      </c>
      <c r="I518" t="str">
        <v>28/09/2026</v>
      </c>
      <c r="J518" t="str">
        <v>17:06:42</v>
      </c>
      <c r="K518">
        <v>-12.21174</v>
      </c>
      <c r="L518">
        <v>-76.96164</v>
      </c>
      <c r="M518">
        <f>HYPERLINK("https://www.google.com/maps/search/?api=1&amp;query=-12.21174,-76.96164","Calle 1, Villa El Salvador, Lima")</f>
      </c>
      <c r="N518">
        <v>13.3</v>
      </c>
      <c r="O518">
        <v>85</v>
      </c>
      <c r="P518">
        <v>1776.11</v>
      </c>
      <c r="Q518" t="str">
        <v>69.60</v>
      </c>
      <c r="R518" t="str">
        <v/>
      </c>
      <c r="S518" t="str">
        <v/>
      </c>
      <c r="T518" t="str">
        <v/>
      </c>
      <c r="U518" t="str">
        <v/>
      </c>
    </row>
    <row r="519">
      <c r="A519" t="str">
        <v>518</v>
      </c>
      <c r="B519" t="str">
        <v>MASS BSF</v>
      </c>
      <c r="C519" t="str">
        <v>F8R-810</v>
      </c>
      <c r="D519" t="str">
        <v>F8R-810</v>
      </c>
      <c r="E519" t="str">
        <v/>
      </c>
      <c r="F519" t="str">
        <v>867806078868827</v>
      </c>
      <c r="G519" t="str">
        <v>TBD</v>
      </c>
      <c r="H519" t="str">
        <v/>
      </c>
      <c r="I519" t="str">
        <v>28/09/2026</v>
      </c>
      <c r="J519" t="str">
        <v>17:06:50</v>
      </c>
      <c r="K519">
        <v>-12.211935</v>
      </c>
      <c r="L519">
        <v>-76.96149</v>
      </c>
      <c r="M519">
        <f>HYPERLINK("https://www.google.com/maps/search/?api=1&amp;query=-12.211935,-76.96149","Calle 1, Villa El Salvador, Lima")</f>
      </c>
      <c r="N519">
        <v>12.5</v>
      </c>
      <c r="O519">
        <v>85</v>
      </c>
      <c r="P519">
        <v>1776.14</v>
      </c>
      <c r="Q519" t="str">
        <v>69.60</v>
      </c>
      <c r="R519" t="str">
        <v>Acelerado y giro brusco</v>
      </c>
      <c r="S519" t="str">
        <v/>
      </c>
      <c r="T519" t="str">
        <v/>
      </c>
      <c r="U519" t="str">
        <v/>
      </c>
    </row>
    <row r="520">
      <c r="A520" t="str">
        <v>519</v>
      </c>
      <c r="B520" t="str">
        <v>MASS BSF</v>
      </c>
      <c r="C520" t="str">
        <v>F8R-810</v>
      </c>
      <c r="D520" t="str">
        <v>F8R-810</v>
      </c>
      <c r="E520" t="str">
        <v/>
      </c>
      <c r="F520" t="str">
        <v>867806078868827</v>
      </c>
      <c r="G520" t="str">
        <v>TBD</v>
      </c>
      <c r="H520" t="str">
        <v/>
      </c>
      <c r="I520" t="str">
        <v>28/09/2026</v>
      </c>
      <c r="J520" t="str">
        <v>17:06:52</v>
      </c>
      <c r="K520">
        <v>-12.212015</v>
      </c>
      <c r="L520">
        <v>-76.96143</v>
      </c>
      <c r="M520">
        <f>HYPERLINK("https://www.google.com/maps/search/?api=1&amp;query=-12.212015,-76.96143","Calle 1, Villa El Salvador, Lima")</f>
      </c>
      <c r="N520">
        <v>11.1</v>
      </c>
      <c r="O520">
        <v>85</v>
      </c>
      <c r="P520">
        <v>1776.15</v>
      </c>
      <c r="Q520" t="str">
        <v>69.60</v>
      </c>
      <c r="R520" t="str">
        <v/>
      </c>
      <c r="S520" t="str">
        <v/>
      </c>
      <c r="T520" t="str">
        <v/>
      </c>
      <c r="U520" t="str">
        <v/>
      </c>
    </row>
    <row r="521">
      <c r="A521" t="str">
        <v>520</v>
      </c>
      <c r="B521" t="str">
        <v>MASS BSF</v>
      </c>
      <c r="C521" t="str">
        <v>F8R-810</v>
      </c>
      <c r="D521" t="str">
        <v>F8R-810</v>
      </c>
      <c r="E521" t="str">
        <v/>
      </c>
      <c r="F521" t="str">
        <v>867806078868827</v>
      </c>
      <c r="G521" t="str">
        <v>TBD</v>
      </c>
      <c r="H521" t="str">
        <v/>
      </c>
      <c r="I521" t="str">
        <v>28/09/2026</v>
      </c>
      <c r="J521" t="str">
        <v>17:07:04</v>
      </c>
      <c r="K521">
        <v>-12.2122</v>
      </c>
      <c r="L521">
        <v>-76.96133</v>
      </c>
      <c r="M521">
        <f>HYPERLINK("https://www.google.com/maps/search/?api=1&amp;query=-12.2122,-76.96133","Calle 1, Villa El Salvador, Lima")</f>
      </c>
      <c r="N521">
        <v>7.7</v>
      </c>
      <c r="O521">
        <v>85</v>
      </c>
      <c r="P521">
        <v>1776.17</v>
      </c>
      <c r="Q521" t="str">
        <v>69.60</v>
      </c>
      <c r="R521" t="str">
        <v>Acelerado y giro brusco</v>
      </c>
      <c r="S521" t="str">
        <v/>
      </c>
      <c r="T521" t="str">
        <v/>
      </c>
      <c r="U521" t="str">
        <v/>
      </c>
    </row>
    <row r="522">
      <c r="A522" t="str">
        <v>521</v>
      </c>
      <c r="B522" t="str">
        <v>MASS BSF</v>
      </c>
      <c r="C522" t="str">
        <v>F8R-810</v>
      </c>
      <c r="D522" t="str">
        <v>F8R-810</v>
      </c>
      <c r="E522" t="str">
        <v/>
      </c>
      <c r="F522" t="str">
        <v>867806078868827</v>
      </c>
      <c r="G522" t="str">
        <v>TBD</v>
      </c>
      <c r="H522" t="str">
        <v/>
      </c>
      <c r="I522" t="str">
        <v>28/09/2026</v>
      </c>
      <c r="J522" t="str">
        <v>17:07:09</v>
      </c>
      <c r="K522">
        <v>-12.212292</v>
      </c>
      <c r="L522">
        <v>-76.96127</v>
      </c>
      <c r="M522">
        <f>HYPERLINK("https://www.google.com/maps/search/?api=1&amp;query=-12.212292,-76.96127","Calle 1, Villa El Salvador, Lima")</f>
      </c>
      <c r="N522">
        <v>8.8</v>
      </c>
      <c r="O522">
        <v>85</v>
      </c>
      <c r="P522">
        <v>1776.18</v>
      </c>
      <c r="Q522" t="str">
        <v>69.60</v>
      </c>
      <c r="R522" t="str">
        <v>Acelerado y giro brusco</v>
      </c>
      <c r="S522" t="str">
        <v/>
      </c>
      <c r="T522" t="str">
        <v/>
      </c>
      <c r="U522" t="str">
        <v/>
      </c>
    </row>
    <row r="523">
      <c r="A523" t="str">
        <v>522</v>
      </c>
      <c r="B523" t="str">
        <v>MASS BSF</v>
      </c>
      <c r="C523" t="str">
        <v>F8R-810</v>
      </c>
      <c r="D523" t="str">
        <v>F8R-810</v>
      </c>
      <c r="E523" t="str">
        <v/>
      </c>
      <c r="F523" t="str">
        <v>867806078868827</v>
      </c>
      <c r="G523" t="str">
        <v>TBD</v>
      </c>
      <c r="H523" t="str">
        <v/>
      </c>
      <c r="I523" t="str">
        <v>28/09/2026</v>
      </c>
      <c r="J523" t="str">
        <v>17:07:18</v>
      </c>
      <c r="K523">
        <v>-12.212461</v>
      </c>
      <c r="L523">
        <v>-76.961174</v>
      </c>
      <c r="M523">
        <f>HYPERLINK("https://www.google.com/maps/search/?api=1&amp;query=-12.212461,-76.961174","Calle 1, Villa El Salvador, Lima")</f>
      </c>
      <c r="N523">
        <v>9.4</v>
      </c>
      <c r="O523">
        <v>85</v>
      </c>
      <c r="P523">
        <v>1776.2</v>
      </c>
      <c r="Q523" t="str">
        <v>69.60</v>
      </c>
      <c r="R523" t="str">
        <v>Acelerado y giro brusco</v>
      </c>
      <c r="S523" t="str">
        <v/>
      </c>
      <c r="T523" t="str">
        <v/>
      </c>
      <c r="U523" t="str">
        <v/>
      </c>
    </row>
    <row r="524">
      <c r="A524" t="str">
        <v>523</v>
      </c>
      <c r="B524" t="str">
        <v>MASS BSF</v>
      </c>
      <c r="C524" t="str">
        <v>F8R-810</v>
      </c>
      <c r="D524" t="str">
        <v>F8R-810</v>
      </c>
      <c r="E524" t="str">
        <v/>
      </c>
      <c r="F524" t="str">
        <v>867806078868827</v>
      </c>
      <c r="G524" t="str">
        <v>TBD</v>
      </c>
      <c r="H524" t="str">
        <v/>
      </c>
      <c r="I524" t="str">
        <v>28/09/2026</v>
      </c>
      <c r="J524" t="str">
        <v>17:07:29</v>
      </c>
      <c r="K524">
        <v>-12.212677</v>
      </c>
      <c r="L524">
        <v>-76.96106</v>
      </c>
      <c r="M524">
        <f>HYPERLINK("https://www.google.com/maps/search/?api=1&amp;query=-12.212677,-76.96106","Calle 1, Villa El Salvador, Lima")</f>
      </c>
      <c r="N524">
        <v>9.4</v>
      </c>
      <c r="O524">
        <v>85</v>
      </c>
      <c r="P524">
        <v>1776.23</v>
      </c>
      <c r="Q524" t="str">
        <v>69.60</v>
      </c>
      <c r="R524" t="str">
        <v>Acelerado y giro brusco</v>
      </c>
      <c r="S524" t="str">
        <v/>
      </c>
      <c r="T524" t="str">
        <v/>
      </c>
      <c r="U524" t="str">
        <v/>
      </c>
    </row>
    <row r="525">
      <c r="A525" t="str">
        <v>524</v>
      </c>
      <c r="B525" t="str">
        <v>MASS BSF</v>
      </c>
      <c r="C525" t="str">
        <v>F8R-810</v>
      </c>
      <c r="D525" t="str">
        <v>F8R-810</v>
      </c>
      <c r="E525" t="str">
        <v/>
      </c>
      <c r="F525" t="str">
        <v>867806078868827</v>
      </c>
      <c r="G525" t="str">
        <v>TBD</v>
      </c>
      <c r="H525" t="str">
        <v/>
      </c>
      <c r="I525" t="str">
        <v>28/09/2026</v>
      </c>
      <c r="J525" t="str">
        <v>17:07:52</v>
      </c>
      <c r="K525">
        <v>-12.213063</v>
      </c>
      <c r="L525">
        <v>-76.96082</v>
      </c>
      <c r="M525">
        <f>HYPERLINK("https://www.google.com/maps/search/?api=1&amp;query=-12.213063,-76.96082","Calle 1, Villa El Salvador, Lima")</f>
      </c>
      <c r="N525">
        <v>10.5</v>
      </c>
      <c r="O525">
        <v>85</v>
      </c>
      <c r="P525">
        <v>1776.28</v>
      </c>
      <c r="Q525" t="str">
        <v>69.60</v>
      </c>
      <c r="R525" t="str">
        <v/>
      </c>
      <c r="S525" t="str">
        <v/>
      </c>
      <c r="T525" t="str">
        <v/>
      </c>
      <c r="U525" t="str">
        <v/>
      </c>
    </row>
    <row r="526">
      <c r="A526" t="str">
        <v>525</v>
      </c>
      <c r="B526" t="str">
        <v>MASS BSF</v>
      </c>
      <c r="C526" t="str">
        <v>F8R-810</v>
      </c>
      <c r="D526" t="str">
        <v>F8R-810</v>
      </c>
      <c r="E526" t="str">
        <v/>
      </c>
      <c r="F526" t="str">
        <v>867806078868827</v>
      </c>
      <c r="G526" t="str">
        <v>TBD</v>
      </c>
      <c r="H526" t="str">
        <v/>
      </c>
      <c r="I526" t="str">
        <v>28/09/2026</v>
      </c>
      <c r="J526" t="str">
        <v>17:07:53</v>
      </c>
      <c r="K526">
        <v>-12.213087</v>
      </c>
      <c r="L526">
        <v>-76.96081</v>
      </c>
      <c r="M526">
        <f>HYPERLINK("https://www.google.com/maps/search/?api=1&amp;query=-12.213087,-76.96081","Calle 1, Villa El Salvador, Lima")</f>
      </c>
      <c r="N526">
        <v>10</v>
      </c>
      <c r="O526">
        <v>85</v>
      </c>
      <c r="P526">
        <v>1776.28</v>
      </c>
      <c r="Q526" t="str">
        <v>69.60</v>
      </c>
      <c r="R526" t="str">
        <v>Acelerado y giro brusco</v>
      </c>
      <c r="S526" t="str">
        <v/>
      </c>
      <c r="T526" t="str">
        <v/>
      </c>
      <c r="U526" t="str">
        <v/>
      </c>
    </row>
    <row r="527">
      <c r="A527" t="str">
        <v>526</v>
      </c>
      <c r="B527" t="str">
        <v>MASS BSF</v>
      </c>
      <c r="C527" t="str">
        <v>F8R-810</v>
      </c>
      <c r="D527" t="str">
        <v>F8R-810</v>
      </c>
      <c r="E527" t="str">
        <v/>
      </c>
      <c r="F527" t="str">
        <v>867806078868827</v>
      </c>
      <c r="G527" t="str">
        <v>TBD</v>
      </c>
      <c r="H527" t="str">
        <v/>
      </c>
      <c r="I527" t="str">
        <v>28/09/2026</v>
      </c>
      <c r="J527" t="str">
        <v>17:08:01</v>
      </c>
      <c r="K527">
        <v>-12.21325</v>
      </c>
      <c r="L527">
        <v>-76.96072</v>
      </c>
      <c r="M527">
        <f>HYPERLINK("https://www.google.com/maps/search/?api=1&amp;query=-12.21325,-76.96072","Calle 1, Villa El Salvador, Lima")</f>
      </c>
      <c r="N527">
        <v>9.8</v>
      </c>
      <c r="O527">
        <v>85</v>
      </c>
      <c r="P527">
        <v>1776.3</v>
      </c>
      <c r="Q527" t="str">
        <v>69.60</v>
      </c>
      <c r="R527" t="str">
        <v>Acelerado y giro brusco</v>
      </c>
      <c r="S527" t="str">
        <v/>
      </c>
      <c r="T527" t="str">
        <v/>
      </c>
      <c r="U527" t="str">
        <v/>
      </c>
    </row>
    <row r="528">
      <c r="A528" t="str">
        <v>527</v>
      </c>
      <c r="B528" t="str">
        <v>MASS BSF</v>
      </c>
      <c r="C528" t="str">
        <v>F8R-810</v>
      </c>
      <c r="D528" t="str">
        <v>F8R-810</v>
      </c>
      <c r="E528" t="str">
        <v/>
      </c>
      <c r="F528" t="str">
        <v>867806078868827</v>
      </c>
      <c r="G528" t="str">
        <v>TBD</v>
      </c>
      <c r="H528" t="str">
        <v/>
      </c>
      <c r="I528" t="str">
        <v>28/09/2026</v>
      </c>
      <c r="J528" t="str">
        <v>17:08:10</v>
      </c>
      <c r="K528">
        <v>-12.213427</v>
      </c>
      <c r="L528">
        <v>-76.960625</v>
      </c>
      <c r="M528">
        <f>HYPERLINK("https://www.google.com/maps/search/?api=1&amp;query=-12.213427,-76.960625","Calle 1, Villa El Salvador, Lima")</f>
      </c>
      <c r="N528">
        <v>6.8</v>
      </c>
      <c r="O528">
        <v>85</v>
      </c>
      <c r="P528">
        <v>1776.32</v>
      </c>
      <c r="Q528" t="str">
        <v>69.60</v>
      </c>
      <c r="R528" t="str">
        <v/>
      </c>
      <c r="S528" t="str">
        <v/>
      </c>
      <c r="T528" t="str">
        <v/>
      </c>
      <c r="U528" t="str">
        <v/>
      </c>
    </row>
    <row r="529">
      <c r="A529" t="str">
        <v>528</v>
      </c>
      <c r="B529" t="str">
        <v>MASS BSF</v>
      </c>
      <c r="C529" t="str">
        <v>F8R-810</v>
      </c>
      <c r="D529" t="str">
        <v>F8R-810</v>
      </c>
      <c r="E529" t="str">
        <v/>
      </c>
      <c r="F529" t="str">
        <v>867806078868827</v>
      </c>
      <c r="G529" t="str">
        <v>TBD</v>
      </c>
      <c r="H529" t="str">
        <v/>
      </c>
      <c r="I529" t="str">
        <v>28/09/2026</v>
      </c>
      <c r="J529" t="str">
        <v>17:08:16</v>
      </c>
      <c r="K529">
        <v>-12.213545</v>
      </c>
      <c r="L529">
        <v>-76.96054</v>
      </c>
      <c r="M529">
        <f>HYPERLINK("https://www.google.com/maps/search/?api=1&amp;query=-12.213545,-76.96054","Calle 1, Villa El Salvador, Lima")</f>
      </c>
      <c r="N529">
        <v>7.5</v>
      </c>
      <c r="O529">
        <v>93</v>
      </c>
      <c r="P529">
        <v>1776.34</v>
      </c>
      <c r="Q529" t="str">
        <v>69.60</v>
      </c>
      <c r="R529" t="str">
        <v/>
      </c>
      <c r="S529" t="str">
        <v/>
      </c>
      <c r="T529" t="str">
        <v/>
      </c>
      <c r="U529" t="str">
        <v/>
      </c>
    </row>
    <row r="530">
      <c r="A530" t="str">
        <v>529</v>
      </c>
      <c r="B530" t="str">
        <v>MASS BSF</v>
      </c>
      <c r="C530" t="str">
        <v>F8R-810</v>
      </c>
      <c r="D530" t="str">
        <v>F8R-810</v>
      </c>
      <c r="E530" t="str">
        <v/>
      </c>
      <c r="F530" t="str">
        <v>867806078868827</v>
      </c>
      <c r="G530" t="str">
        <v>TBD</v>
      </c>
      <c r="H530" t="str">
        <v/>
      </c>
      <c r="I530" t="str">
        <v>28/09/2026</v>
      </c>
      <c r="J530" t="str">
        <v>17:08:21</v>
      </c>
      <c r="K530">
        <v>-12.213587</v>
      </c>
      <c r="L530">
        <v>-76.96049</v>
      </c>
      <c r="M530">
        <f>HYPERLINK("https://www.google.com/maps/search/?api=1&amp;query=-12.213587,-76.96049","Avenida Villa del Mar, Villa El Salvador, Lima")</f>
      </c>
      <c r="N530">
        <v>6.8</v>
      </c>
      <c r="O530">
        <v>85</v>
      </c>
      <c r="P530">
        <v>1776.34</v>
      </c>
      <c r="Q530" t="str">
        <v>69.60</v>
      </c>
      <c r="R530" t="str">
        <v>Acelerado y giro brusco</v>
      </c>
      <c r="S530" t="str">
        <v/>
      </c>
      <c r="T530" t="str">
        <v/>
      </c>
      <c r="U530" t="str">
        <v/>
      </c>
    </row>
    <row r="531">
      <c r="A531" t="str">
        <v>530</v>
      </c>
      <c r="B531" t="str">
        <v>MASS BSF</v>
      </c>
      <c r="C531" t="str">
        <v>F8R-810</v>
      </c>
      <c r="D531" t="str">
        <v>F8R-810</v>
      </c>
      <c r="E531" t="str">
        <v/>
      </c>
      <c r="F531" t="str">
        <v>867806078868827</v>
      </c>
      <c r="G531" t="str">
        <v>TBD</v>
      </c>
      <c r="H531" t="str">
        <v/>
      </c>
      <c r="I531" t="str">
        <v>28/09/2026</v>
      </c>
      <c r="J531" t="str">
        <v>17:08:21</v>
      </c>
      <c r="K531">
        <v>-12.213592</v>
      </c>
      <c r="L531">
        <v>-76.96047</v>
      </c>
      <c r="M531">
        <f>HYPERLINK("https://www.google.com/maps/search/?api=1&amp;query=-12.213592,-76.96047","Avenida Villa del Mar, Villa El Salvador, Lima")</f>
      </c>
      <c r="N531">
        <v>6.8</v>
      </c>
      <c r="O531">
        <v>85</v>
      </c>
      <c r="P531">
        <v>1776.34</v>
      </c>
      <c r="Q531" t="str">
        <v>69.60</v>
      </c>
      <c r="R531" t="str">
        <v/>
      </c>
      <c r="S531" t="str">
        <v/>
      </c>
      <c r="T531" t="str">
        <v/>
      </c>
      <c r="U531" t="str">
        <v/>
      </c>
    </row>
    <row r="532">
      <c r="A532" t="str">
        <v>531</v>
      </c>
      <c r="B532" t="str">
        <v>MASS BSF</v>
      </c>
      <c r="C532" t="str">
        <v>F8R-810</v>
      </c>
      <c r="D532" t="str">
        <v>F8R-810</v>
      </c>
      <c r="E532" t="str">
        <v/>
      </c>
      <c r="F532" t="str">
        <v>867806078868827</v>
      </c>
      <c r="G532" t="str">
        <v>TBD</v>
      </c>
      <c r="H532" t="str">
        <v/>
      </c>
      <c r="I532" t="str">
        <v>28/09/2026</v>
      </c>
      <c r="J532" t="str">
        <v>17:08:26</v>
      </c>
      <c r="K532">
        <v>-12.21357</v>
      </c>
      <c r="L532">
        <v>-76.96039</v>
      </c>
      <c r="M532">
        <f>HYPERLINK("https://www.google.com/maps/search/?api=1&amp;query=-12.21357,-76.96039","Avenida Villa del Mar, Villa El Salvador, Lima")</f>
      </c>
      <c r="N532">
        <v>7.5</v>
      </c>
      <c r="O532">
        <v>85</v>
      </c>
      <c r="P532">
        <v>1776.35</v>
      </c>
      <c r="Q532" t="str">
        <v>69.60</v>
      </c>
      <c r="R532" t="str">
        <v/>
      </c>
      <c r="S532" t="str">
        <v/>
      </c>
      <c r="T532" t="str">
        <v/>
      </c>
      <c r="U532" t="str">
        <v/>
      </c>
    </row>
    <row r="533">
      <c r="A533" t="str">
        <v>532</v>
      </c>
      <c r="B533" t="str">
        <v>MASS BSF</v>
      </c>
      <c r="C533" t="str">
        <v>F8R-810</v>
      </c>
      <c r="D533" t="str">
        <v>F8R-810</v>
      </c>
      <c r="E533" t="str">
        <v/>
      </c>
      <c r="F533" t="str">
        <v>867806078868827</v>
      </c>
      <c r="G533" t="str">
        <v>TBD</v>
      </c>
      <c r="H533" t="str">
        <v/>
      </c>
      <c r="I533" t="str">
        <v>28/09/2026</v>
      </c>
      <c r="J533" t="str">
        <v>17:08:31</v>
      </c>
      <c r="K533">
        <v>-12.2135</v>
      </c>
      <c r="L533">
        <v>-76.96032</v>
      </c>
      <c r="M533">
        <f>HYPERLINK("https://www.google.com/maps/search/?api=1&amp;query=-12.2135,-76.96032","Avenida Villa del Mar, Villa El Salvador, Lima")</f>
      </c>
      <c r="N533">
        <v>9.2</v>
      </c>
      <c r="O533">
        <v>85</v>
      </c>
      <c r="P533">
        <v>1776.36</v>
      </c>
      <c r="Q533" t="str">
        <v>69.60</v>
      </c>
      <c r="R533" t="str">
        <v/>
      </c>
      <c r="S533" t="str">
        <v/>
      </c>
      <c r="T533" t="str">
        <v/>
      </c>
      <c r="U533" t="str">
        <v/>
      </c>
    </row>
    <row r="534">
      <c r="A534" t="str">
        <v>533</v>
      </c>
      <c r="B534" t="str">
        <v>MASS BSF</v>
      </c>
      <c r="C534" t="str">
        <v>F8R-810</v>
      </c>
      <c r="D534" t="str">
        <v>F8R-810</v>
      </c>
      <c r="E534" t="str">
        <v/>
      </c>
      <c r="F534" t="str">
        <v>867806078868827</v>
      </c>
      <c r="G534" t="str">
        <v>TBD</v>
      </c>
      <c r="H534" t="str">
        <v/>
      </c>
      <c r="I534" t="str">
        <v>28/09/2026</v>
      </c>
      <c r="J534" t="str">
        <v>17:08:35</v>
      </c>
      <c r="K534">
        <v>-12.21345</v>
      </c>
      <c r="L534">
        <v>-76.960266</v>
      </c>
      <c r="M534">
        <f>HYPERLINK("https://www.google.com/maps/search/?api=1&amp;query=-12.21345,-76.960266","Avenida Villa del Mar, Villa El Salvador, Lima")</f>
      </c>
      <c r="N534">
        <v>8.1</v>
      </c>
      <c r="O534">
        <v>85</v>
      </c>
      <c r="P534">
        <v>1776.37</v>
      </c>
      <c r="Q534" t="str">
        <v>69.60</v>
      </c>
      <c r="R534" t="str">
        <v>Acelerado y giro brusco</v>
      </c>
      <c r="S534" t="str">
        <v/>
      </c>
      <c r="T534" t="str">
        <v/>
      </c>
      <c r="U534" t="str">
        <v/>
      </c>
    </row>
    <row r="535">
      <c r="A535" t="str">
        <v>534</v>
      </c>
      <c r="B535" t="str">
        <v>MASS BSF</v>
      </c>
      <c r="C535" t="str">
        <v>F8R-810</v>
      </c>
      <c r="D535" t="str">
        <v>F8R-810</v>
      </c>
      <c r="E535" t="str">
        <v/>
      </c>
      <c r="F535" t="str">
        <v>867806078868827</v>
      </c>
      <c r="G535" t="str">
        <v>TBD</v>
      </c>
      <c r="H535" t="str">
        <v/>
      </c>
      <c r="I535" t="str">
        <v>28/09/2026</v>
      </c>
      <c r="J535" t="str">
        <v>17:08:44</v>
      </c>
      <c r="K535">
        <v>-12.213331</v>
      </c>
      <c r="L535">
        <v>-76.96011</v>
      </c>
      <c r="M535">
        <f>HYPERLINK("https://www.google.com/maps/search/?api=1&amp;query=-12.213331,-76.96011","Avenida Villa del Mar, Villa El Salvador, Lima")</f>
      </c>
      <c r="N535">
        <v>9.2</v>
      </c>
      <c r="O535">
        <v>88</v>
      </c>
      <c r="P535">
        <v>1776.39</v>
      </c>
      <c r="Q535" t="str">
        <v>69.58</v>
      </c>
      <c r="R535" t="str">
        <v>Llegó a la zona</v>
      </c>
      <c r="S535" t="str">
        <v>BASE-OSLOGISTICS</v>
      </c>
      <c r="T535" t="str">
        <v xml:space="preserve"> </v>
      </c>
      <c r="U535" t="str">
        <v/>
      </c>
    </row>
    <row r="536">
      <c r="A536" t="str">
        <v>535</v>
      </c>
      <c r="B536" t="str">
        <v>MASS BSF</v>
      </c>
      <c r="C536" t="str">
        <v>F8R-810</v>
      </c>
      <c r="D536" t="str">
        <v>F8R-810</v>
      </c>
      <c r="E536" t="str">
        <v/>
      </c>
      <c r="F536" t="str">
        <v>867806078868827</v>
      </c>
      <c r="G536" t="str">
        <v>TBD</v>
      </c>
      <c r="H536" t="str">
        <v/>
      </c>
      <c r="I536" t="str">
        <v>28/09/2026</v>
      </c>
      <c r="J536" t="str">
        <v>17:08:44</v>
      </c>
      <c r="K536">
        <v>-12.213331</v>
      </c>
      <c r="L536">
        <v>-76.96011</v>
      </c>
      <c r="M536">
        <f>HYPERLINK("https://www.google.com/maps/search/?api=1&amp;query=-12.213331,-76.96011","Avenida Villa del Mar, Villa El Salvador, Lima")</f>
      </c>
      <c r="N536">
        <v>9.2</v>
      </c>
      <c r="O536">
        <v>85</v>
      </c>
      <c r="P536">
        <v>1776.39</v>
      </c>
      <c r="Q536" t="str">
        <v>69.60</v>
      </c>
      <c r="R536" t="str">
        <v/>
      </c>
      <c r="S536" t="str">
        <v/>
      </c>
      <c r="T536" t="str">
        <v/>
      </c>
      <c r="U536" t="str">
        <v/>
      </c>
    </row>
    <row r="537">
      <c r="A537" t="str">
        <v>536</v>
      </c>
      <c r="B537" t="str">
        <v>MASS BSF</v>
      </c>
      <c r="C537" t="str">
        <v>F8R-810</v>
      </c>
      <c r="D537" t="str">
        <v>F8R-810</v>
      </c>
      <c r="E537" t="str">
        <v/>
      </c>
      <c r="F537" t="str">
        <v>867806078868827</v>
      </c>
      <c r="G537" t="str">
        <v>TBD</v>
      </c>
      <c r="H537" t="str">
        <v/>
      </c>
      <c r="I537" t="str">
        <v>28/09/2026</v>
      </c>
      <c r="J537" t="str">
        <v>17:08:45</v>
      </c>
      <c r="K537">
        <v>-12.213331</v>
      </c>
      <c r="L537">
        <v>-76.96011</v>
      </c>
      <c r="M537">
        <f>HYPERLINK("https://www.google.com/maps/search/?api=1&amp;query=-12.213331,-76.96011","Avenida Villa del Mar, Villa El Salvador, Lima")</f>
      </c>
      <c r="N537">
        <v>9.2</v>
      </c>
      <c r="O537">
        <v>88</v>
      </c>
      <c r="P537">
        <v>1776.39</v>
      </c>
      <c r="Q537" t="str">
        <v>69.60</v>
      </c>
      <c r="R537" t="str">
        <v>Acelerado y giro brusco</v>
      </c>
      <c r="S537" t="str">
        <v/>
      </c>
      <c r="T537" t="str">
        <v/>
      </c>
      <c r="U537" t="str">
        <v/>
      </c>
    </row>
    <row r="538">
      <c r="A538" t="str">
        <v>537</v>
      </c>
      <c r="B538" t="str">
        <v>MASS BSF</v>
      </c>
      <c r="C538" t="str">
        <v>F8R-810</v>
      </c>
      <c r="D538" t="str">
        <v>F8R-810</v>
      </c>
      <c r="E538" t="str">
        <v/>
      </c>
      <c r="F538" t="str">
        <v>867806078868827</v>
      </c>
      <c r="G538" t="str">
        <v>TBD</v>
      </c>
      <c r="H538" t="str">
        <v/>
      </c>
      <c r="I538" t="str">
        <v>28/09/2026</v>
      </c>
      <c r="J538" t="str">
        <v>17:08:53</v>
      </c>
      <c r="K538">
        <v>-12.213225</v>
      </c>
      <c r="L538">
        <v>-76.95993</v>
      </c>
      <c r="M538">
        <f>HYPERLINK("https://www.google.com/maps/search/?api=1&amp;query=-12.213225,-76.95993","Avenida Villa del Mar, Villa El Salvador, Lima")</f>
      </c>
      <c r="N538">
        <v>9.4</v>
      </c>
      <c r="O538">
        <v>88</v>
      </c>
      <c r="P538">
        <v>1776.41</v>
      </c>
      <c r="Q538" t="str">
        <v>69.60</v>
      </c>
      <c r="R538" t="str">
        <v>Aceleración brusca</v>
      </c>
      <c r="S538" t="str">
        <v/>
      </c>
      <c r="T538" t="str">
        <v/>
      </c>
      <c r="U538" t="str">
        <v/>
      </c>
    </row>
    <row r="539">
      <c r="A539" t="str">
        <v>538</v>
      </c>
      <c r="B539" t="str">
        <v>MASS BSF</v>
      </c>
      <c r="C539" t="str">
        <v>F8R-810</v>
      </c>
      <c r="D539" t="str">
        <v>F8R-810</v>
      </c>
      <c r="E539" t="str">
        <v/>
      </c>
      <c r="F539" t="str">
        <v>867806078868827</v>
      </c>
      <c r="G539" t="str">
        <v>TBD</v>
      </c>
      <c r="H539" t="str">
        <v/>
      </c>
      <c r="I539" t="str">
        <v>28/09/2026</v>
      </c>
      <c r="J539" t="str">
        <v>17:09:04</v>
      </c>
      <c r="K539">
        <v>-12.21308</v>
      </c>
      <c r="L539">
        <v>-76.95969</v>
      </c>
      <c r="M539">
        <f>HYPERLINK("https://www.google.com/maps/search/?api=1&amp;query=-12.21308,-76.95969","Avenida Villa del Mar, Villa El Salvador, Lima")</f>
      </c>
      <c r="N539">
        <v>10.1</v>
      </c>
      <c r="O539">
        <v>88</v>
      </c>
      <c r="P539">
        <v>1776.44</v>
      </c>
      <c r="Q539" t="str">
        <v>69.60</v>
      </c>
      <c r="R539" t="str">
        <v>Acelerado y giro brusco</v>
      </c>
      <c r="S539" t="str">
        <v/>
      </c>
      <c r="T539" t="str">
        <v/>
      </c>
      <c r="U539" t="str">
        <v/>
      </c>
    </row>
    <row r="540">
      <c r="A540" t="str">
        <v>539</v>
      </c>
      <c r="B540" t="str">
        <v>MASS BSF</v>
      </c>
      <c r="C540" t="str">
        <v>F8R-810</v>
      </c>
      <c r="D540" t="str">
        <v>F8R-810</v>
      </c>
      <c r="E540" t="str">
        <v/>
      </c>
      <c r="F540" t="str">
        <v>867806078868827</v>
      </c>
      <c r="G540" t="str">
        <v>TBD</v>
      </c>
      <c r="H540" t="str">
        <v/>
      </c>
      <c r="I540" t="str">
        <v>28/09/2026</v>
      </c>
      <c r="J540" t="str">
        <v>17:09:20</v>
      </c>
      <c r="K540">
        <v>-12.212825</v>
      </c>
      <c r="L540">
        <v>-76.95928</v>
      </c>
      <c r="M540">
        <f>HYPERLINK("https://www.google.com/maps/search/?api=1&amp;query=-12.212825,-76.95928","Avenida Villa del Mar, Villa El Salvador, Lima")</f>
      </c>
      <c r="N540">
        <v>10</v>
      </c>
      <c r="O540">
        <v>88</v>
      </c>
      <c r="P540">
        <v>1776.49</v>
      </c>
      <c r="Q540" t="str">
        <v>69.60</v>
      </c>
      <c r="R540" t="str">
        <v/>
      </c>
      <c r="S540" t="str">
        <v/>
      </c>
      <c r="T540" t="str">
        <v/>
      </c>
      <c r="U540" t="str">
        <v/>
      </c>
    </row>
    <row r="541">
      <c r="A541" t="str">
        <v>540</v>
      </c>
      <c r="B541" t="str">
        <v>MASS BSF</v>
      </c>
      <c r="C541" t="str">
        <v>F8R-810</v>
      </c>
      <c r="D541" t="str">
        <v>F8R-810</v>
      </c>
      <c r="E541" t="str">
        <v/>
      </c>
      <c r="F541" t="str">
        <v>867806078868827</v>
      </c>
      <c r="G541" t="str">
        <v>TBD</v>
      </c>
      <c r="H541" t="str">
        <v/>
      </c>
      <c r="I541" t="str">
        <v>28/09/2026</v>
      </c>
      <c r="J541" t="str">
        <v>17:09:23</v>
      </c>
      <c r="K541">
        <v>-12.212836</v>
      </c>
      <c r="L541">
        <v>-76.95923</v>
      </c>
      <c r="M541">
        <f>HYPERLINK("https://www.google.com/maps/search/?api=1&amp;query=-12.212836,-76.95923","Avenida Villa del Mar, Villa El Salvador, Lima")</f>
      </c>
      <c r="N541">
        <v>10.1</v>
      </c>
      <c r="O541">
        <v>88</v>
      </c>
      <c r="P541">
        <v>1776.5</v>
      </c>
      <c r="Q541" t="str">
        <v>69.60</v>
      </c>
      <c r="R541" t="str">
        <v>Aceleración brusca</v>
      </c>
      <c r="S541" t="str">
        <v/>
      </c>
      <c r="T541" t="str">
        <v/>
      </c>
      <c r="U541" t="str">
        <v/>
      </c>
    </row>
    <row r="542">
      <c r="A542" t="str">
        <v>541</v>
      </c>
      <c r="B542" t="str">
        <v>MASS BSF</v>
      </c>
      <c r="C542" t="str">
        <v>F8R-810</v>
      </c>
      <c r="D542" t="str">
        <v>F8R-810</v>
      </c>
      <c r="E542" t="str">
        <v/>
      </c>
      <c r="F542" t="str">
        <v>867806078868827</v>
      </c>
      <c r="G542" t="str">
        <v>TBD</v>
      </c>
      <c r="H542" t="str">
        <v/>
      </c>
      <c r="I542" t="str">
        <v>28/09/2026</v>
      </c>
      <c r="J542" t="str">
        <v>17:10:20</v>
      </c>
      <c r="K542">
        <v>-12.212898</v>
      </c>
      <c r="L542">
        <v>-76.959206</v>
      </c>
      <c r="M542">
        <f>HYPERLINK("https://www.google.com/maps/search/?api=1&amp;query=-12.212898,-76.959206","Avenida Villa del Mar, Villa El Salvador, Lima")</f>
      </c>
      <c r="N542">
        <v>0</v>
      </c>
      <c r="O542">
        <v>88</v>
      </c>
      <c r="P542">
        <v>1776.51</v>
      </c>
      <c r="Q542" t="str">
        <v>69.60</v>
      </c>
      <c r="R542" t="str">
        <v/>
      </c>
      <c r="S542" t="str">
        <v/>
      </c>
      <c r="T542" t="str">
        <v/>
      </c>
      <c r="U542" t="str">
        <v/>
      </c>
    </row>
    <row r="543">
      <c r="A543" t="str">
        <v>542</v>
      </c>
      <c r="B543" t="str">
        <v>MASS BSF</v>
      </c>
      <c r="C543" t="str">
        <v>F8R-810</v>
      </c>
      <c r="D543" t="str">
        <v>F8R-810</v>
      </c>
      <c r="E543" t="str">
        <v/>
      </c>
      <c r="F543" t="str">
        <v>867806078868827</v>
      </c>
      <c r="G543" t="str">
        <v>TBD</v>
      </c>
      <c r="H543" t="str">
        <v/>
      </c>
      <c r="I543" t="str">
        <v>28/09/2026</v>
      </c>
      <c r="J543" t="str">
        <v>17:11:20</v>
      </c>
      <c r="K543">
        <v>-12.212898</v>
      </c>
      <c r="L543">
        <v>-76.959206</v>
      </c>
      <c r="M543">
        <f>HYPERLINK("https://www.google.com/maps/search/?api=1&amp;query=-12.212898,-76.959206","Avenida Villa del Mar, Villa El Salvador, Lima")</f>
      </c>
      <c r="N543">
        <v>0</v>
      </c>
      <c r="O543">
        <v>88</v>
      </c>
      <c r="P543">
        <v>1776.51</v>
      </c>
      <c r="Q543" t="str">
        <v>69.60</v>
      </c>
      <c r="R543" t="str">
        <v/>
      </c>
      <c r="S543" t="str">
        <v/>
      </c>
      <c r="T543" t="str">
        <v/>
      </c>
      <c r="U543" t="str">
        <v/>
      </c>
    </row>
    <row r="544">
      <c r="A544" t="str">
        <v>543</v>
      </c>
      <c r="B544" t="str">
        <v>MASS BSF</v>
      </c>
      <c r="C544" t="str">
        <v>F8R-810</v>
      </c>
      <c r="D544" t="str">
        <v>F8R-810</v>
      </c>
      <c r="E544" t="str">
        <v/>
      </c>
      <c r="F544" t="str">
        <v>867806078868827</v>
      </c>
      <c r="G544" t="str">
        <v>TBD</v>
      </c>
      <c r="H544" t="str">
        <v/>
      </c>
      <c r="I544" t="str">
        <v>28/09/2026</v>
      </c>
      <c r="J544" t="str">
        <v>17:12:04</v>
      </c>
      <c r="K544">
        <v>-12.212898</v>
      </c>
      <c r="L544">
        <v>-76.959206</v>
      </c>
      <c r="M544">
        <f>HYPERLINK("https://www.google.com/maps/search/?api=1&amp;query=-12.212898,-76.959206","Avenida Villa del Mar, Villa El Salvador, Lima")</f>
      </c>
      <c r="N544">
        <v>0</v>
      </c>
      <c r="O544">
        <v>88</v>
      </c>
      <c r="P544">
        <v>1776.51</v>
      </c>
      <c r="Q544" t="str">
        <v>69.60</v>
      </c>
      <c r="R544" t="str">
        <v/>
      </c>
      <c r="S544" t="str">
        <v/>
      </c>
      <c r="T544" t="str">
        <v/>
      </c>
      <c r="U544" t="str">
        <v/>
      </c>
    </row>
    <row r="545">
      <c r="A545" t="str">
        <v>544</v>
      </c>
      <c r="B545" t="str">
        <v>MASS BSF</v>
      </c>
      <c r="C545" t="str">
        <v>F8R-810</v>
      </c>
      <c r="D545" t="str">
        <v>F8R-810</v>
      </c>
      <c r="E545" t="str">
        <v/>
      </c>
      <c r="F545" t="str">
        <v>867806078868827</v>
      </c>
      <c r="G545" t="str">
        <v>TBD</v>
      </c>
      <c r="H545" t="str">
        <v/>
      </c>
      <c r="I545" t="str">
        <v>28/09/2026</v>
      </c>
      <c r="J545" t="str">
        <v>17:12:11</v>
      </c>
      <c r="K545">
        <v>-12.212949</v>
      </c>
      <c r="L545">
        <v>-76.95915</v>
      </c>
      <c r="M545">
        <f>HYPERLINK("https://www.google.com/maps/search/?api=1&amp;query=-12.212949,-76.95915","Avenida Villa del Mar, Villa El Salvador, Lima")</f>
      </c>
      <c r="N545">
        <v>6.8</v>
      </c>
      <c r="O545">
        <v>88</v>
      </c>
      <c r="P545">
        <v>1776.51</v>
      </c>
      <c r="Q545" t="str">
        <v>69.60</v>
      </c>
      <c r="R545" t="str">
        <v/>
      </c>
      <c r="S545" t="str">
        <v/>
      </c>
      <c r="T545" t="str">
        <v/>
      </c>
      <c r="U545" t="str">
        <v/>
      </c>
    </row>
    <row r="546">
      <c r="A546" t="str">
        <v>545</v>
      </c>
      <c r="B546" t="str">
        <v>MASS BSF</v>
      </c>
      <c r="C546" t="str">
        <v>F8R-810</v>
      </c>
      <c r="D546" t="str">
        <v>F8R-810</v>
      </c>
      <c r="E546" t="str">
        <v/>
      </c>
      <c r="F546" t="str">
        <v>867806078868827</v>
      </c>
      <c r="G546" t="str">
        <v>TBD</v>
      </c>
      <c r="H546" t="str">
        <v/>
      </c>
      <c r="I546" t="str">
        <v>28/09/2026</v>
      </c>
      <c r="J546" t="str">
        <v>17:12:17</v>
      </c>
      <c r="K546">
        <v>-12.213043</v>
      </c>
      <c r="L546">
        <v>-76.95904</v>
      </c>
      <c r="M546">
        <f>HYPERLINK("https://www.google.com/maps/search/?api=1&amp;query=-12.213043,-76.95904","Avenida Villa del Mar, Villa El Salvador, Lima")</f>
      </c>
      <c r="N546">
        <v>7.7</v>
      </c>
      <c r="O546">
        <v>88</v>
      </c>
      <c r="P546">
        <v>1776.53</v>
      </c>
      <c r="Q546" t="str">
        <v>69.60</v>
      </c>
      <c r="R546" t="str">
        <v/>
      </c>
      <c r="S546" t="str">
        <v/>
      </c>
      <c r="T546" t="str">
        <v/>
      </c>
      <c r="U546" t="str">
        <v/>
      </c>
    </row>
    <row r="547">
      <c r="A547" t="str">
        <v>546</v>
      </c>
      <c r="B547" t="str">
        <v>MASS BSF</v>
      </c>
      <c r="C547" t="str">
        <v>F8R-810</v>
      </c>
      <c r="D547" t="str">
        <v>F8R-810</v>
      </c>
      <c r="E547" t="str">
        <v/>
      </c>
      <c r="F547" t="str">
        <v>867806078868827</v>
      </c>
      <c r="G547" t="str">
        <v>TBD</v>
      </c>
      <c r="H547" t="str">
        <v/>
      </c>
      <c r="I547" t="str">
        <v>28/09/2026</v>
      </c>
      <c r="J547" t="str">
        <v>17:12:22</v>
      </c>
      <c r="K547">
        <v>-12.21306</v>
      </c>
      <c r="L547">
        <v>-76.95891</v>
      </c>
      <c r="M547">
        <f>HYPERLINK("https://www.google.com/maps/search/?api=1&amp;query=-12.21306,-76.95891","Villa El Salvador, Lima")</f>
      </c>
      <c r="N547">
        <v>7.5</v>
      </c>
      <c r="O547">
        <v>87</v>
      </c>
      <c r="P547">
        <v>1776.54</v>
      </c>
      <c r="Q547" t="str">
        <v>69.60</v>
      </c>
      <c r="R547" t="str">
        <v/>
      </c>
      <c r="S547" t="str">
        <v/>
      </c>
      <c r="T547" t="str">
        <v/>
      </c>
      <c r="U547" t="str">
        <v/>
      </c>
    </row>
    <row r="548">
      <c r="A548" t="str">
        <v>547</v>
      </c>
      <c r="B548" t="str">
        <v>MASS BSF</v>
      </c>
      <c r="C548" t="str">
        <v>F8R-810</v>
      </c>
      <c r="D548" t="str">
        <v>F8R-810</v>
      </c>
      <c r="E548" t="str">
        <v/>
      </c>
      <c r="F548" t="str">
        <v>867806078868827</v>
      </c>
      <c r="G548" t="str">
        <v>TBD</v>
      </c>
      <c r="H548" t="str">
        <v/>
      </c>
      <c r="I548" t="str">
        <v>28/09/2026</v>
      </c>
      <c r="J548" t="str">
        <v>17:12:27</v>
      </c>
      <c r="K548">
        <v>-12.212975</v>
      </c>
      <c r="L548">
        <v>-76.958885</v>
      </c>
      <c r="M548">
        <f>HYPERLINK("https://www.google.com/maps/search/?api=1&amp;query=-12.212975,-76.958885","Avenida Villa del Mar, Villa El Salvador, Lima")</f>
      </c>
      <c r="N548">
        <v>7</v>
      </c>
      <c r="O548">
        <v>87</v>
      </c>
      <c r="P548">
        <v>1776.55</v>
      </c>
      <c r="Q548" t="str">
        <v>69.60</v>
      </c>
      <c r="R548" t="str">
        <v/>
      </c>
      <c r="S548" t="str">
        <v/>
      </c>
      <c r="T548" t="str">
        <v/>
      </c>
      <c r="U548" t="str">
        <v/>
      </c>
    </row>
    <row r="549">
      <c r="A549" t="str">
        <v>548</v>
      </c>
      <c r="B549" t="str">
        <v>MASS BSF</v>
      </c>
      <c r="C549" t="str">
        <v>F8R-810</v>
      </c>
      <c r="D549" t="str">
        <v>F8R-810</v>
      </c>
      <c r="E549" t="str">
        <v/>
      </c>
      <c r="F549" t="str">
        <v>867806078868827</v>
      </c>
      <c r="G549" t="str">
        <v>TBD</v>
      </c>
      <c r="H549" t="str">
        <v/>
      </c>
      <c r="I549" t="str">
        <v>28/09/2026</v>
      </c>
      <c r="J549" t="str">
        <v>17:13:27</v>
      </c>
      <c r="K549">
        <v>-12.213047</v>
      </c>
      <c r="L549">
        <v>-76.958885</v>
      </c>
      <c r="M549">
        <f>HYPERLINK("https://www.google.com/maps/search/?api=1&amp;query=-12.213047,-76.958885","Villa El Salvador, Lima")</f>
      </c>
      <c r="N549">
        <v>0</v>
      </c>
      <c r="O549">
        <v>87</v>
      </c>
      <c r="P549">
        <v>1776.57</v>
      </c>
      <c r="Q549" t="str">
        <v>69.60</v>
      </c>
      <c r="R549" t="str">
        <v/>
      </c>
      <c r="S549" t="str">
        <v/>
      </c>
      <c r="T549" t="str">
        <v/>
      </c>
      <c r="U549" t="str">
        <v/>
      </c>
    </row>
    <row r="550">
      <c r="A550" t="str">
        <v>549</v>
      </c>
      <c r="B550" t="str">
        <v>MASS BSF</v>
      </c>
      <c r="C550" t="str">
        <v>F8R-810</v>
      </c>
      <c r="D550" t="str">
        <v>F8R-810</v>
      </c>
      <c r="E550" t="str">
        <v/>
      </c>
      <c r="F550" t="str">
        <v>867806078868827</v>
      </c>
      <c r="G550" t="str">
        <v>TBD</v>
      </c>
      <c r="H550" t="str">
        <v/>
      </c>
      <c r="I550" t="str">
        <v>28/09/2026</v>
      </c>
      <c r="J550" t="str">
        <v>17:13:36</v>
      </c>
      <c r="K550">
        <v>-12.213047</v>
      </c>
      <c r="L550">
        <v>-76.958885</v>
      </c>
      <c r="M550">
        <f>HYPERLINK("https://www.google.com/maps/search/?api=1&amp;query=-12.213047,-76.958885","Villa El Salvador, Lima")</f>
      </c>
      <c r="N550">
        <v>0</v>
      </c>
      <c r="O550">
        <v>87</v>
      </c>
      <c r="P550">
        <v>1776.57</v>
      </c>
      <c r="Q550" t="str">
        <v>70.28</v>
      </c>
      <c r="R550" t="str">
        <v>Vehículo apagado</v>
      </c>
      <c r="S550" t="str">
        <v/>
      </c>
      <c r="T550" t="str">
        <v/>
      </c>
      <c r="U550" t="str">
        <v/>
      </c>
    </row>
    <row r="551">
      <c r="A551" t="str">
        <v>550</v>
      </c>
      <c r="B551" t="str">
        <v>MASS BSF</v>
      </c>
      <c r="C551" t="str">
        <v>F8R-810</v>
      </c>
      <c r="D551" t="str">
        <v>F8R-810</v>
      </c>
      <c r="E551" t="str">
        <v/>
      </c>
      <c r="F551" t="str">
        <v>867806078868827</v>
      </c>
      <c r="G551" t="str">
        <v>TBD</v>
      </c>
      <c r="H551" t="str">
        <v/>
      </c>
      <c r="I551" t="str">
        <v>28/09/2026</v>
      </c>
      <c r="J551" t="str">
        <v>17:13:36</v>
      </c>
      <c r="K551">
        <v>-12.213047</v>
      </c>
      <c r="L551">
        <v>-76.958885</v>
      </c>
      <c r="M551">
        <f>HYPERLINK("https://www.google.com/maps/search/?api=1&amp;query=-12.213047,-76.958885","Villa El Salvador, Lima")</f>
      </c>
      <c r="N551">
        <v>0</v>
      </c>
      <c r="O551">
        <v>87</v>
      </c>
      <c r="P551">
        <v>1776.57</v>
      </c>
      <c r="Q551" t="str">
        <v>69.60</v>
      </c>
      <c r="R551" t="str">
        <v/>
      </c>
      <c r="S551" t="str">
        <v/>
      </c>
      <c r="T551" t="str">
        <v/>
      </c>
      <c r="U551" t="str">
        <v/>
      </c>
    </row>
    <row r="552">
      <c r="A552" t="str">
        <v>551</v>
      </c>
      <c r="B552" t="str">
        <v>MASS BSF</v>
      </c>
      <c r="C552" t="str">
        <v>F8R-810</v>
      </c>
      <c r="D552" t="str">
        <v>F8R-810</v>
      </c>
      <c r="E552" t="str">
        <v/>
      </c>
      <c r="F552" t="str">
        <v>867806078868827</v>
      </c>
      <c r="G552" t="str">
        <v>TBD</v>
      </c>
      <c r="H552" t="str">
        <v/>
      </c>
      <c r="I552" t="str">
        <v>28/09/2026</v>
      </c>
      <c r="J552" t="str">
        <v>17:16:56</v>
      </c>
      <c r="K552">
        <v>-12.213047</v>
      </c>
      <c r="L552">
        <v>-76.958885</v>
      </c>
      <c r="M552">
        <f>HYPERLINK("https://www.google.com/maps/search/?api=1&amp;query=-12.213047,-76.958885","Villa El Salvador, Lima")</f>
      </c>
      <c r="N552">
        <v>0</v>
      </c>
      <c r="O552">
        <v>87</v>
      </c>
      <c r="P552">
        <v>1776.57</v>
      </c>
      <c r="Q552" t="str">
        <v>70.28</v>
      </c>
      <c r="R552" t="str">
        <v>Se detuvo</v>
      </c>
      <c r="S552" t="str">
        <v/>
      </c>
      <c r="T552" t="str">
        <v/>
      </c>
      <c r="U552" t="str">
        <v/>
      </c>
    </row>
    <row r="553">
      <c r="A553" t="str">
        <v>552</v>
      </c>
      <c r="B553" t="str">
        <v>MASS BSF</v>
      </c>
      <c r="C553" t="str">
        <v>F8R-810</v>
      </c>
      <c r="D553" t="str">
        <v>F8R-810</v>
      </c>
      <c r="E553" t="str">
        <v/>
      </c>
      <c r="F553" t="str">
        <v>867806078868827</v>
      </c>
      <c r="G553" t="str">
        <v>TBD</v>
      </c>
      <c r="H553" t="str">
        <v/>
      </c>
      <c r="I553" t="str">
        <v>28/09/2026</v>
      </c>
      <c r="J553" t="str">
        <v>17:23:36</v>
      </c>
      <c r="K553">
        <v>-12.213047</v>
      </c>
      <c r="L553">
        <v>-76.958885</v>
      </c>
      <c r="M553">
        <f>HYPERLINK("https://www.google.com/maps/search/?api=1&amp;query=-12.213047,-76.958885","Villa El Salvador, Lima")</f>
      </c>
      <c r="N553">
        <v>0</v>
      </c>
      <c r="O553">
        <v>87</v>
      </c>
      <c r="P553">
        <v>1776.57</v>
      </c>
      <c r="Q553" t="str">
        <v>70.28</v>
      </c>
      <c r="R553" t="str">
        <v/>
      </c>
      <c r="S553" t="str">
        <v/>
      </c>
      <c r="T553" t="str">
        <v/>
      </c>
      <c r="U553" t="str">
        <v/>
      </c>
    </row>
    <row r="554">
      <c r="A554" t="str">
        <v>553</v>
      </c>
      <c r="B554" t="str">
        <v>MASS BSF</v>
      </c>
      <c r="C554" t="str">
        <v>F8R-810</v>
      </c>
      <c r="D554" t="str">
        <v>F8R-810</v>
      </c>
      <c r="E554" t="str">
        <v/>
      </c>
      <c r="F554" t="str">
        <v>867806078868827</v>
      </c>
      <c r="G554" t="str">
        <v>TBD</v>
      </c>
      <c r="H554" t="str">
        <v/>
      </c>
      <c r="I554" t="str">
        <v>28/09/2026</v>
      </c>
      <c r="J554" t="str">
        <v>17:33:36</v>
      </c>
      <c r="K554">
        <v>-12.213047</v>
      </c>
      <c r="L554">
        <v>-76.958885</v>
      </c>
      <c r="M554">
        <f>HYPERLINK("https://www.google.com/maps/search/?api=1&amp;query=-12.213047,-76.958885","Villa El Salvador, Lima")</f>
      </c>
      <c r="N554">
        <v>0</v>
      </c>
      <c r="O554">
        <v>87</v>
      </c>
      <c r="P554">
        <v>1776.57</v>
      </c>
      <c r="Q554" t="str">
        <v>70.28</v>
      </c>
      <c r="R554" t="str">
        <v/>
      </c>
      <c r="S554" t="str">
        <v/>
      </c>
      <c r="T554" t="str">
        <v/>
      </c>
      <c r="U554" t="str">
        <v/>
      </c>
    </row>
    <row r="555">
      <c r="A555" t="str">
        <v>554</v>
      </c>
      <c r="B555" t="str">
        <v>MASS BSF</v>
      </c>
      <c r="C555" t="str">
        <v>F8R-810</v>
      </c>
      <c r="D555" t="str">
        <v>F8R-810</v>
      </c>
      <c r="E555" t="str">
        <v/>
      </c>
      <c r="F555" t="str">
        <v>867806078868827</v>
      </c>
      <c r="G555" t="str">
        <v>TBD</v>
      </c>
      <c r="H555" t="str">
        <v/>
      </c>
      <c r="I555" t="str">
        <v>28/09/2026</v>
      </c>
      <c r="J555" t="str">
        <v>17:43:36</v>
      </c>
      <c r="K555">
        <v>-12.213047</v>
      </c>
      <c r="L555">
        <v>-76.958885</v>
      </c>
      <c r="M555">
        <f>HYPERLINK("https://www.google.com/maps/search/?api=1&amp;query=-12.213047,-76.958885","Villa El Salvador, Lima")</f>
      </c>
      <c r="N555">
        <v>0</v>
      </c>
      <c r="O555">
        <v>87</v>
      </c>
      <c r="P555">
        <v>1776.57</v>
      </c>
      <c r="Q555" t="str">
        <v>70.28</v>
      </c>
      <c r="R555" t="str">
        <v/>
      </c>
      <c r="S555" t="str">
        <v/>
      </c>
      <c r="T555" t="str">
        <v/>
      </c>
      <c r="U555" t="str">
        <v/>
      </c>
    </row>
    <row r="556">
      <c r="A556" t="str">
        <v>555</v>
      </c>
      <c r="B556" t="str">
        <v>MASS BSF</v>
      </c>
      <c r="C556" t="str">
        <v>F8R-810</v>
      </c>
      <c r="D556" t="str">
        <v>F8R-810</v>
      </c>
      <c r="E556" t="str">
        <v/>
      </c>
      <c r="F556" t="str">
        <v>867806078868827</v>
      </c>
      <c r="G556" t="str">
        <v>TBD</v>
      </c>
      <c r="H556" t="str">
        <v/>
      </c>
      <c r="I556" t="str">
        <v>28/09/2026</v>
      </c>
      <c r="J556" t="str">
        <v>17:53:36</v>
      </c>
      <c r="K556">
        <v>-12.213047</v>
      </c>
      <c r="L556">
        <v>-76.958885</v>
      </c>
      <c r="M556">
        <f>HYPERLINK("https://www.google.com/maps/search/?api=1&amp;query=-12.213047,-76.958885","Villa El Salvador, Lima")</f>
      </c>
      <c r="N556">
        <v>0</v>
      </c>
      <c r="O556">
        <v>85</v>
      </c>
      <c r="P556">
        <v>1776.57</v>
      </c>
      <c r="Q556" t="str">
        <v>70.28</v>
      </c>
      <c r="R556" t="str">
        <v/>
      </c>
      <c r="S556" t="str">
        <v/>
      </c>
      <c r="T556" t="str">
        <v/>
      </c>
      <c r="U556" t="str">
        <v/>
      </c>
    </row>
    <row r="557">
      <c r="A557" t="str">
        <v>556</v>
      </c>
      <c r="B557" t="str">
        <v>MASS BSF</v>
      </c>
      <c r="C557" t="str">
        <v>F8R-810</v>
      </c>
      <c r="D557" t="str">
        <v>F8R-810</v>
      </c>
      <c r="E557" t="str">
        <v/>
      </c>
      <c r="F557" t="str">
        <v>867806078868827</v>
      </c>
      <c r="G557" t="str">
        <v>TBD</v>
      </c>
      <c r="H557" t="str">
        <v/>
      </c>
      <c r="I557" t="str">
        <v>28/09/2026</v>
      </c>
      <c r="J557" t="str">
        <v>18:03:36</v>
      </c>
      <c r="K557">
        <v>-12.213047</v>
      </c>
      <c r="L557">
        <v>-76.958885</v>
      </c>
      <c r="M557">
        <f>HYPERLINK("https://www.google.com/maps/search/?api=1&amp;query=-12.213047,-76.958885","Villa El Salvador, Lima")</f>
      </c>
      <c r="N557">
        <v>0</v>
      </c>
      <c r="O557">
        <v>85</v>
      </c>
      <c r="P557">
        <v>1776.57</v>
      </c>
      <c r="Q557" t="str">
        <v>70.28</v>
      </c>
      <c r="R557" t="str">
        <v/>
      </c>
      <c r="S557" t="str">
        <v/>
      </c>
      <c r="T557" t="str">
        <v/>
      </c>
      <c r="U557" t="str">
        <v/>
      </c>
    </row>
    <row r="558">
      <c r="A558" t="str">
        <v>557</v>
      </c>
      <c r="B558" t="str">
        <v>MASS BSF</v>
      </c>
      <c r="C558" t="str">
        <v>F8R-810</v>
      </c>
      <c r="D558" t="str">
        <v>F8R-810</v>
      </c>
      <c r="E558" t="str">
        <v/>
      </c>
      <c r="F558" t="str">
        <v>867806078868827</v>
      </c>
      <c r="G558" t="str">
        <v>TBD</v>
      </c>
      <c r="H558" t="str">
        <v/>
      </c>
      <c r="I558" t="str">
        <v>28/09/2026</v>
      </c>
      <c r="J558" t="str">
        <v>18:13:36</v>
      </c>
      <c r="K558">
        <v>-12.213047</v>
      </c>
      <c r="L558">
        <v>-76.958885</v>
      </c>
      <c r="M558">
        <f>HYPERLINK("https://www.google.com/maps/search/?api=1&amp;query=-12.213047,-76.958885","Villa El Salvador, Lima")</f>
      </c>
      <c r="N558">
        <v>0</v>
      </c>
      <c r="O558">
        <v>85</v>
      </c>
      <c r="P558">
        <v>1776.57</v>
      </c>
      <c r="Q558" t="str">
        <v>70.28</v>
      </c>
      <c r="R558" t="str">
        <v/>
      </c>
      <c r="S558" t="str">
        <v/>
      </c>
      <c r="T558" t="str">
        <v/>
      </c>
      <c r="U558" t="str">
        <v/>
      </c>
    </row>
    <row r="559">
      <c r="A559" t="str">
        <v>558</v>
      </c>
      <c r="B559" t="str">
        <v>MASS BSF</v>
      </c>
      <c r="C559" t="str">
        <v>F8R-810</v>
      </c>
      <c r="D559" t="str">
        <v>F8R-810</v>
      </c>
      <c r="E559" t="str">
        <v/>
      </c>
      <c r="F559" t="str">
        <v>867806078868827</v>
      </c>
      <c r="G559" t="str">
        <v>TBD</v>
      </c>
      <c r="H559" t="str">
        <v/>
      </c>
      <c r="I559" t="str">
        <v>28/09/2026</v>
      </c>
      <c r="J559" t="str">
        <v>18:23:36</v>
      </c>
      <c r="K559">
        <v>-12.213047</v>
      </c>
      <c r="L559">
        <v>-76.958885</v>
      </c>
      <c r="M559">
        <f>HYPERLINK("https://www.google.com/maps/search/?api=1&amp;query=-12.213047,-76.958885","Villa El Salvador, Lima")</f>
      </c>
      <c r="N559">
        <v>0</v>
      </c>
      <c r="O559">
        <v>85</v>
      </c>
      <c r="P559">
        <v>1776.57</v>
      </c>
      <c r="Q559" t="str">
        <v>70.28</v>
      </c>
      <c r="R559" t="str">
        <v/>
      </c>
      <c r="S559" t="str">
        <v/>
      </c>
      <c r="T559" t="str">
        <v/>
      </c>
      <c r="U559" t="str">
        <v/>
      </c>
    </row>
    <row r="560">
      <c r="A560" t="str">
        <v>559</v>
      </c>
      <c r="B560" t="str">
        <v>MASS BSF</v>
      </c>
      <c r="C560" t="str">
        <v>F8R-810</v>
      </c>
      <c r="D560" t="str">
        <v>F8R-810</v>
      </c>
      <c r="E560" t="str">
        <v/>
      </c>
      <c r="F560" t="str">
        <v>867806078868827</v>
      </c>
      <c r="G560" t="str">
        <v>TBD</v>
      </c>
      <c r="H560" t="str">
        <v/>
      </c>
      <c r="I560" t="str">
        <v>28/09/2026</v>
      </c>
      <c r="J560" t="str">
        <v>18:33:36</v>
      </c>
      <c r="K560">
        <v>-12.213047</v>
      </c>
      <c r="L560">
        <v>-76.958885</v>
      </c>
      <c r="M560">
        <f>HYPERLINK("https://www.google.com/maps/search/?api=1&amp;query=-12.213047,-76.958885","Villa El Salvador, Lima")</f>
      </c>
      <c r="N560">
        <v>0</v>
      </c>
      <c r="O560">
        <v>85</v>
      </c>
      <c r="P560">
        <v>1776.57</v>
      </c>
      <c r="Q560" t="str">
        <v>70.28</v>
      </c>
      <c r="R560" t="str">
        <v/>
      </c>
      <c r="S560" t="str">
        <v/>
      </c>
      <c r="T560" t="str">
        <v/>
      </c>
      <c r="U560" t="str">
        <v/>
      </c>
    </row>
    <row r="561">
      <c r="A561" t="str">
        <v>560</v>
      </c>
      <c r="B561" t="str">
        <v>MASS BSF</v>
      </c>
      <c r="C561" t="str">
        <v>F8R-810</v>
      </c>
      <c r="D561" t="str">
        <v>F8R-810</v>
      </c>
      <c r="E561" t="str">
        <v/>
      </c>
      <c r="F561" t="str">
        <v>867806078868827</v>
      </c>
      <c r="G561" t="str">
        <v>TBD</v>
      </c>
      <c r="H561" t="str">
        <v/>
      </c>
      <c r="I561" t="str">
        <v>28/09/2026</v>
      </c>
      <c r="J561" t="str">
        <v>18:43:36</v>
      </c>
      <c r="K561">
        <v>-12.213047</v>
      </c>
      <c r="L561">
        <v>-76.958885</v>
      </c>
      <c r="M561">
        <f>HYPERLINK("https://www.google.com/maps/search/?api=1&amp;query=-12.213047,-76.958885","Villa El Salvador, Lima")</f>
      </c>
      <c r="N561">
        <v>0</v>
      </c>
      <c r="O561">
        <v>85</v>
      </c>
      <c r="P561">
        <v>1776.57</v>
      </c>
      <c r="Q561" t="str">
        <v>70.28</v>
      </c>
      <c r="R561" t="str">
        <v/>
      </c>
      <c r="S561" t="str">
        <v/>
      </c>
      <c r="T561" t="str">
        <v/>
      </c>
      <c r="U561" t="str">
        <v/>
      </c>
    </row>
    <row r="562">
      <c r="A562" t="str">
        <v>561</v>
      </c>
      <c r="B562" t="str">
        <v>MASS BSF</v>
      </c>
      <c r="C562" t="str">
        <v>F8R-810</v>
      </c>
      <c r="D562" t="str">
        <v>F8R-810</v>
      </c>
      <c r="E562" t="str">
        <v/>
      </c>
      <c r="F562" t="str">
        <v>867806078868827</v>
      </c>
      <c r="G562" t="str">
        <v>TBD</v>
      </c>
      <c r="H562" t="str">
        <v/>
      </c>
      <c r="I562" t="str">
        <v>28/09/2026</v>
      </c>
      <c r="J562" t="str">
        <v>18:53:36</v>
      </c>
      <c r="K562">
        <v>-12.213047</v>
      </c>
      <c r="L562">
        <v>-76.958885</v>
      </c>
      <c r="M562">
        <f>HYPERLINK("https://www.google.com/maps/search/?api=1&amp;query=-12.213047,-76.958885","Villa El Salvador, Lima")</f>
      </c>
      <c r="N562">
        <v>0</v>
      </c>
      <c r="O562">
        <v>84</v>
      </c>
      <c r="P562">
        <v>1776.57</v>
      </c>
      <c r="Q562" t="str">
        <v>70.28</v>
      </c>
      <c r="R562" t="str">
        <v/>
      </c>
      <c r="S562" t="str">
        <v/>
      </c>
      <c r="T562" t="str">
        <v/>
      </c>
      <c r="U562" t="str">
        <v/>
      </c>
    </row>
    <row r="563">
      <c r="A563" t="str">
        <v>562</v>
      </c>
      <c r="B563" t="str">
        <v>MASS BSF</v>
      </c>
      <c r="C563" t="str">
        <v>F8R-810</v>
      </c>
      <c r="D563" t="str">
        <v>F8R-810</v>
      </c>
      <c r="E563" t="str">
        <v/>
      </c>
      <c r="F563" t="str">
        <v>867806078868827</v>
      </c>
      <c r="G563" t="str">
        <v>TBD</v>
      </c>
      <c r="H563" t="str">
        <v/>
      </c>
      <c r="I563" t="str">
        <v>28/09/2026</v>
      </c>
      <c r="J563" t="str">
        <v>19:03:36</v>
      </c>
      <c r="K563">
        <v>-12.213047</v>
      </c>
      <c r="L563">
        <v>-76.958885</v>
      </c>
      <c r="M563">
        <f>HYPERLINK("https://www.google.com/maps/search/?api=1&amp;query=-12.213047,-76.958885","Villa El Salvador, Lima")</f>
      </c>
      <c r="N563">
        <v>0</v>
      </c>
      <c r="O563">
        <v>96</v>
      </c>
      <c r="P563">
        <v>1776.57</v>
      </c>
      <c r="Q563" t="str">
        <v>70.28</v>
      </c>
      <c r="R563" t="str">
        <v/>
      </c>
      <c r="S563" t="str">
        <v/>
      </c>
      <c r="T563" t="str">
        <v/>
      </c>
      <c r="U563" t="str">
        <v/>
      </c>
    </row>
    <row r="564">
      <c r="A564" t="str">
        <v>563</v>
      </c>
      <c r="B564" t="str">
        <v>MASS BSF</v>
      </c>
      <c r="C564" t="str">
        <v>F8R-810</v>
      </c>
      <c r="D564" t="str">
        <v>F8R-810</v>
      </c>
      <c r="E564" t="str">
        <v/>
      </c>
      <c r="F564" t="str">
        <v>867806078868827</v>
      </c>
      <c r="G564" t="str">
        <v>TBD</v>
      </c>
      <c r="H564" t="str">
        <v/>
      </c>
      <c r="I564" t="str">
        <v>28/09/2026</v>
      </c>
      <c r="J564" t="str">
        <v>19:13:36</v>
      </c>
      <c r="K564">
        <v>-12.213047</v>
      </c>
      <c r="L564">
        <v>-76.958885</v>
      </c>
      <c r="M564">
        <f>HYPERLINK("https://www.google.com/maps/search/?api=1&amp;query=-12.213047,-76.958885","Villa El Salvador, Lima")</f>
      </c>
      <c r="N564">
        <v>0</v>
      </c>
      <c r="O564">
        <v>91</v>
      </c>
      <c r="P564">
        <v>1776.57</v>
      </c>
      <c r="Q564" t="str">
        <v>70.28</v>
      </c>
      <c r="R564" t="str">
        <v/>
      </c>
      <c r="S564" t="str">
        <v/>
      </c>
      <c r="T564" t="str">
        <v/>
      </c>
      <c r="U564" t="str">
        <v/>
      </c>
    </row>
    <row r="565">
      <c r="A565" t="str">
        <v>564</v>
      </c>
      <c r="B565" t="str">
        <v>MASS BSF</v>
      </c>
      <c r="C565" t="str">
        <v>F8R-810</v>
      </c>
      <c r="D565" t="str">
        <v>F8R-810</v>
      </c>
      <c r="E565" t="str">
        <v/>
      </c>
      <c r="F565" t="str">
        <v>867806078868827</v>
      </c>
      <c r="G565" t="str">
        <v>TBD</v>
      </c>
      <c r="H565" t="str">
        <v/>
      </c>
      <c r="I565" t="str">
        <v>28/09/2026</v>
      </c>
      <c r="J565" t="str">
        <v>19:23:36</v>
      </c>
      <c r="K565">
        <v>-12.213047</v>
      </c>
      <c r="L565">
        <v>-76.958885</v>
      </c>
      <c r="M565">
        <f>HYPERLINK("https://www.google.com/maps/search/?api=1&amp;query=-12.213047,-76.958885","Villa El Salvador, Lima")</f>
      </c>
      <c r="N565">
        <v>0</v>
      </c>
      <c r="O565">
        <v>84</v>
      </c>
      <c r="P565">
        <v>1776.57</v>
      </c>
      <c r="Q565" t="str">
        <v>70.28</v>
      </c>
      <c r="R565" t="str">
        <v/>
      </c>
      <c r="S565" t="str">
        <v/>
      </c>
      <c r="T565" t="str">
        <v/>
      </c>
      <c r="U565" t="str">
        <v/>
      </c>
    </row>
    <row r="566">
      <c r="A566" t="str">
        <v>565</v>
      </c>
      <c r="B566" t="str">
        <v>MASS BSF</v>
      </c>
      <c r="C566" t="str">
        <v>F8R-810</v>
      </c>
      <c r="D566" t="str">
        <v>F8R-810</v>
      </c>
      <c r="E566" t="str">
        <v/>
      </c>
      <c r="F566" t="str">
        <v>867806078868827</v>
      </c>
      <c r="G566" t="str">
        <v>TBD</v>
      </c>
      <c r="H566" t="str">
        <v/>
      </c>
      <c r="I566" t="str">
        <v>28/09/2026</v>
      </c>
      <c r="J566" t="str">
        <v>19:33:36</v>
      </c>
      <c r="K566">
        <v>-12.213047</v>
      </c>
      <c r="L566">
        <v>-76.958885</v>
      </c>
      <c r="M566">
        <f>HYPERLINK("https://www.google.com/maps/search/?api=1&amp;query=-12.213047,-76.958885","Villa El Salvador, Lima")</f>
      </c>
      <c r="N566">
        <v>0</v>
      </c>
      <c r="O566">
        <v>86</v>
      </c>
      <c r="P566">
        <v>1776.57</v>
      </c>
      <c r="Q566" t="str">
        <v>70.28</v>
      </c>
      <c r="R566" t="str">
        <v/>
      </c>
      <c r="S566" t="str">
        <v/>
      </c>
      <c r="T566" t="str">
        <v/>
      </c>
      <c r="U566" t="str">
        <v/>
      </c>
    </row>
    <row r="567">
      <c r="A567" t="str">
        <v>566</v>
      </c>
      <c r="B567" t="str">
        <v>MASS BSF</v>
      </c>
      <c r="C567" t="str">
        <v>F8R-810</v>
      </c>
      <c r="D567" t="str">
        <v>F8R-810</v>
      </c>
      <c r="E567" t="str">
        <v/>
      </c>
      <c r="F567" t="str">
        <v>867806078868827</v>
      </c>
      <c r="G567" t="str">
        <v>TBD</v>
      </c>
      <c r="H567" t="str">
        <v/>
      </c>
      <c r="I567" t="str">
        <v>28/09/2026</v>
      </c>
      <c r="J567" t="str">
        <v>19:43:36</v>
      </c>
      <c r="K567">
        <v>-12.213047</v>
      </c>
      <c r="L567">
        <v>-76.958885</v>
      </c>
      <c r="M567">
        <f>HYPERLINK("https://www.google.com/maps/search/?api=1&amp;query=-12.213047,-76.958885","Villa El Salvador, Lima")</f>
      </c>
      <c r="N567">
        <v>0</v>
      </c>
      <c r="O567">
        <v>86</v>
      </c>
      <c r="P567">
        <v>1776.57</v>
      </c>
      <c r="Q567" t="str">
        <v>70.28</v>
      </c>
      <c r="R567" t="str">
        <v/>
      </c>
      <c r="S567" t="str">
        <v/>
      </c>
      <c r="T567" t="str">
        <v/>
      </c>
      <c r="U567" t="str">
        <v/>
      </c>
    </row>
    <row r="568">
      <c r="A568" t="str">
        <v>567</v>
      </c>
      <c r="B568" t="str">
        <v>MASS BSF</v>
      </c>
      <c r="C568" t="str">
        <v>F8R-810</v>
      </c>
      <c r="D568" t="str">
        <v>F8R-810</v>
      </c>
      <c r="E568" t="str">
        <v/>
      </c>
      <c r="F568" t="str">
        <v>867806078868827</v>
      </c>
      <c r="G568" t="str">
        <v>TBD</v>
      </c>
      <c r="H568" t="str">
        <v/>
      </c>
      <c r="I568" t="str">
        <v>28/09/2026</v>
      </c>
      <c r="J568" t="str">
        <v>19:53:36</v>
      </c>
      <c r="K568">
        <v>-12.213047</v>
      </c>
      <c r="L568">
        <v>-76.958885</v>
      </c>
      <c r="M568">
        <f>HYPERLINK("https://www.google.com/maps/search/?api=1&amp;query=-12.213047,-76.958885","Villa El Salvador, Lima")</f>
      </c>
      <c r="N568">
        <v>0</v>
      </c>
      <c r="O568">
        <v>86</v>
      </c>
      <c r="P568">
        <v>1776.57</v>
      </c>
      <c r="Q568" t="str">
        <v>70.28</v>
      </c>
      <c r="R568" t="str">
        <v/>
      </c>
      <c r="S568" t="str">
        <v/>
      </c>
      <c r="T568" t="str">
        <v/>
      </c>
      <c r="U568" t="str">
        <v/>
      </c>
    </row>
    <row r="569">
      <c r="A569" t="str">
        <v>568</v>
      </c>
      <c r="B569" t="str">
        <v>MASS BSF</v>
      </c>
      <c r="C569" t="str">
        <v>F8R-810</v>
      </c>
      <c r="D569" t="str">
        <v>F8R-810</v>
      </c>
      <c r="E569" t="str">
        <v/>
      </c>
      <c r="F569" t="str">
        <v>867806078868827</v>
      </c>
      <c r="G569" t="str">
        <v>TBD</v>
      </c>
      <c r="H569" t="str">
        <v/>
      </c>
      <c r="I569" t="str">
        <v>28/09/2026</v>
      </c>
      <c r="J569" t="str">
        <v>20:03:36</v>
      </c>
      <c r="K569">
        <v>-12.213047</v>
      </c>
      <c r="L569">
        <v>-76.958885</v>
      </c>
      <c r="M569">
        <f>HYPERLINK("https://www.google.com/maps/search/?api=1&amp;query=-12.213047,-76.958885","Villa El Salvador, Lima")</f>
      </c>
      <c r="N569">
        <v>0</v>
      </c>
      <c r="O569">
        <v>96</v>
      </c>
      <c r="P569">
        <v>1776.57</v>
      </c>
      <c r="Q569" t="str">
        <v>70.28</v>
      </c>
      <c r="R569" t="str">
        <v/>
      </c>
      <c r="S569" t="str">
        <v/>
      </c>
      <c r="T569" t="str">
        <v/>
      </c>
      <c r="U569" t="str">
        <v/>
      </c>
    </row>
    <row r="570">
      <c r="A570" t="str">
        <v>569</v>
      </c>
      <c r="B570" t="str">
        <v>MASS BSF</v>
      </c>
      <c r="C570" t="str">
        <v>F8R-810</v>
      </c>
      <c r="D570" t="str">
        <v>F8R-810</v>
      </c>
      <c r="E570" t="str">
        <v/>
      </c>
      <c r="F570" t="str">
        <v>867806078868827</v>
      </c>
      <c r="G570" t="str">
        <v>TBD</v>
      </c>
      <c r="H570" t="str">
        <v/>
      </c>
      <c r="I570" t="str">
        <v>28/09/2026</v>
      </c>
      <c r="J570" t="str">
        <v>20:13:36</v>
      </c>
      <c r="K570">
        <v>-12.213047</v>
      </c>
      <c r="L570">
        <v>-76.958885</v>
      </c>
      <c r="M570">
        <f>HYPERLINK("https://www.google.com/maps/search/?api=1&amp;query=-12.213047,-76.958885","Villa El Salvador, Lima")</f>
      </c>
      <c r="N570">
        <v>0</v>
      </c>
      <c r="O570">
        <v>91</v>
      </c>
      <c r="P570">
        <v>1776.57</v>
      </c>
      <c r="Q570" t="str">
        <v>70.28</v>
      </c>
      <c r="R570" t="str">
        <v/>
      </c>
      <c r="S570" t="str">
        <v/>
      </c>
      <c r="T570" t="str">
        <v/>
      </c>
      <c r="U570" t="str">
        <v/>
      </c>
    </row>
    <row r="571">
      <c r="A571" t="str">
        <v>570</v>
      </c>
      <c r="B571" t="str">
        <v>MASS BSF</v>
      </c>
      <c r="C571" t="str">
        <v>F8R-810</v>
      </c>
      <c r="D571" t="str">
        <v>F8R-810</v>
      </c>
      <c r="E571" t="str">
        <v/>
      </c>
      <c r="F571" t="str">
        <v>867806078868827</v>
      </c>
      <c r="G571" t="str">
        <v>TBD</v>
      </c>
      <c r="H571" t="str">
        <v/>
      </c>
      <c r="I571" t="str">
        <v>28/09/2026</v>
      </c>
      <c r="J571" t="str">
        <v>20:23:36</v>
      </c>
      <c r="K571">
        <v>-12.213047</v>
      </c>
      <c r="L571">
        <v>-76.958885</v>
      </c>
      <c r="M571">
        <f>HYPERLINK("https://www.google.com/maps/search/?api=1&amp;query=-12.213047,-76.958885","Villa El Salvador, Lima")</f>
      </c>
      <c r="N571">
        <v>0</v>
      </c>
      <c r="O571">
        <v>91</v>
      </c>
      <c r="P571">
        <v>1776.57</v>
      </c>
      <c r="Q571" t="str">
        <v>70.28</v>
      </c>
      <c r="R571" t="str">
        <v/>
      </c>
      <c r="S571" t="str">
        <v/>
      </c>
      <c r="T571" t="str">
        <v/>
      </c>
      <c r="U571" t="str">
        <v/>
      </c>
    </row>
    <row r="572">
      <c r="A572" t="str">
        <v>571</v>
      </c>
      <c r="B572" t="str">
        <v>MASS BSF</v>
      </c>
      <c r="C572" t="str">
        <v>F8R-810</v>
      </c>
      <c r="D572" t="str">
        <v>F8R-810</v>
      </c>
      <c r="E572" t="str">
        <v/>
      </c>
      <c r="F572" t="str">
        <v>867806078868827</v>
      </c>
      <c r="G572" t="str">
        <v>TBD</v>
      </c>
      <c r="H572" t="str">
        <v/>
      </c>
      <c r="I572" t="str">
        <v>28/09/2026</v>
      </c>
      <c r="J572" t="str">
        <v>20:33:36</v>
      </c>
      <c r="K572">
        <v>-12.213047</v>
      </c>
      <c r="L572">
        <v>-76.958885</v>
      </c>
      <c r="M572">
        <f>HYPERLINK("https://www.google.com/maps/search/?api=1&amp;query=-12.213047,-76.958885","Villa El Salvador, Lima")</f>
      </c>
      <c r="N572">
        <v>0</v>
      </c>
      <c r="O572">
        <v>87</v>
      </c>
      <c r="P572">
        <v>1776.57</v>
      </c>
      <c r="Q572" t="str">
        <v>70.28</v>
      </c>
      <c r="R572" t="str">
        <v/>
      </c>
      <c r="S572" t="str">
        <v/>
      </c>
      <c r="T572" t="str">
        <v/>
      </c>
      <c r="U572" t="str">
        <v/>
      </c>
    </row>
    <row r="573">
      <c r="A573" t="str">
        <v>572</v>
      </c>
      <c r="B573" t="str">
        <v>MASS BSF</v>
      </c>
      <c r="C573" t="str">
        <v>F8R-810</v>
      </c>
      <c r="D573" t="str">
        <v>F8R-810</v>
      </c>
      <c r="E573" t="str">
        <v/>
      </c>
      <c r="F573" t="str">
        <v>867806078868827</v>
      </c>
      <c r="G573" t="str">
        <v>TBD</v>
      </c>
      <c r="H573" t="str">
        <v/>
      </c>
      <c r="I573" t="str">
        <v>28/09/2026</v>
      </c>
      <c r="J573" t="str">
        <v>20:43:36</v>
      </c>
      <c r="K573">
        <v>-12.213047</v>
      </c>
      <c r="L573">
        <v>-76.958885</v>
      </c>
      <c r="M573">
        <f>HYPERLINK("https://www.google.com/maps/search/?api=1&amp;query=-12.213047,-76.958885","Villa El Salvador, Lima")</f>
      </c>
      <c r="N573">
        <v>0</v>
      </c>
      <c r="O573">
        <v>91</v>
      </c>
      <c r="P573">
        <v>1776.57</v>
      </c>
      <c r="Q573" t="str">
        <v>70.28</v>
      </c>
      <c r="R573" t="str">
        <v/>
      </c>
      <c r="S573" t="str">
        <v/>
      </c>
      <c r="T573" t="str">
        <v/>
      </c>
      <c r="U573" t="str">
        <v/>
      </c>
    </row>
    <row r="574">
      <c r="A574" t="str">
        <v>573</v>
      </c>
      <c r="B574" t="str">
        <v>MASS BSF</v>
      </c>
      <c r="C574" t="str">
        <v>F8R-810</v>
      </c>
      <c r="D574" t="str">
        <v>F8R-810</v>
      </c>
      <c r="E574" t="str">
        <v/>
      </c>
      <c r="F574" t="str">
        <v>867806078868827</v>
      </c>
      <c r="G574" t="str">
        <v>TBD</v>
      </c>
      <c r="H574" t="str">
        <v/>
      </c>
      <c r="I574" t="str">
        <v>28/09/2026</v>
      </c>
      <c r="J574" t="str">
        <v>20:53:36</v>
      </c>
      <c r="K574">
        <v>-12.213047</v>
      </c>
      <c r="L574">
        <v>-76.958885</v>
      </c>
      <c r="M574">
        <f>HYPERLINK("https://www.google.com/maps/search/?api=1&amp;query=-12.213047,-76.958885","Villa El Salvador, Lima")</f>
      </c>
      <c r="N574">
        <v>0</v>
      </c>
      <c r="O574">
        <v>91</v>
      </c>
      <c r="P574">
        <v>1776.57</v>
      </c>
      <c r="Q574" t="str">
        <v>70.28</v>
      </c>
      <c r="R574" t="str">
        <v/>
      </c>
      <c r="S574" t="str">
        <v/>
      </c>
      <c r="T574" t="str">
        <v/>
      </c>
      <c r="U574" t="str">
        <v/>
      </c>
    </row>
    <row r="575">
      <c r="A575" t="str">
        <v>574</v>
      </c>
      <c r="B575" t="str">
        <v>MASS BSF</v>
      </c>
      <c r="C575" t="str">
        <v>F8R-810</v>
      </c>
      <c r="D575" t="str">
        <v>F8R-810</v>
      </c>
      <c r="E575" t="str">
        <v/>
      </c>
      <c r="F575" t="str">
        <v>867806078868827</v>
      </c>
      <c r="G575" t="str">
        <v>TBD</v>
      </c>
      <c r="H575" t="str">
        <v/>
      </c>
      <c r="I575" t="str">
        <v>28/09/2026</v>
      </c>
      <c r="J575" t="str">
        <v>21:03:36</v>
      </c>
      <c r="K575">
        <v>-12.213047</v>
      </c>
      <c r="L575">
        <v>-76.958885</v>
      </c>
      <c r="M575">
        <f>HYPERLINK("https://www.google.com/maps/search/?api=1&amp;query=-12.213047,-76.958885","Villa El Salvador, Lima")</f>
      </c>
      <c r="N575">
        <v>0</v>
      </c>
      <c r="O575">
        <v>91</v>
      </c>
      <c r="P575">
        <v>1776.57</v>
      </c>
      <c r="Q575" t="str">
        <v>70.28</v>
      </c>
      <c r="R575" t="str">
        <v/>
      </c>
      <c r="S575" t="str">
        <v/>
      </c>
      <c r="T575" t="str">
        <v/>
      </c>
      <c r="U575" t="str">
        <v/>
      </c>
    </row>
    <row r="576">
      <c r="A576" t="str">
        <v>575</v>
      </c>
      <c r="B576" t="str">
        <v>MASS BSF</v>
      </c>
      <c r="C576" t="str">
        <v>F8R-810</v>
      </c>
      <c r="D576" t="str">
        <v>F8R-810</v>
      </c>
      <c r="E576" t="str">
        <v/>
      </c>
      <c r="F576" t="str">
        <v>867806078868827</v>
      </c>
      <c r="G576" t="str">
        <v>TBD</v>
      </c>
      <c r="H576" t="str">
        <v/>
      </c>
      <c r="I576" t="str">
        <v>28/09/2026</v>
      </c>
      <c r="J576" t="str">
        <v>21:13:36</v>
      </c>
      <c r="K576">
        <v>-12.213047</v>
      </c>
      <c r="L576">
        <v>-76.958885</v>
      </c>
      <c r="M576">
        <f>HYPERLINK("https://www.google.com/maps/search/?api=1&amp;query=-12.213047,-76.958885","Villa El Salvador, Lima")</f>
      </c>
      <c r="N576">
        <v>0</v>
      </c>
      <c r="O576">
        <v>91</v>
      </c>
      <c r="P576">
        <v>1776.57</v>
      </c>
      <c r="Q576" t="str">
        <v>70.28</v>
      </c>
      <c r="R576" t="str">
        <v/>
      </c>
      <c r="S576" t="str">
        <v/>
      </c>
      <c r="T576" t="str">
        <v/>
      </c>
      <c r="U576" t="str">
        <v/>
      </c>
    </row>
    <row r="577">
      <c r="A577" t="str">
        <v>576</v>
      </c>
      <c r="B577" t="str">
        <v>MASS BSF</v>
      </c>
      <c r="C577" t="str">
        <v>F8R-810</v>
      </c>
      <c r="D577" t="str">
        <v>F8R-810</v>
      </c>
      <c r="E577" t="str">
        <v/>
      </c>
      <c r="F577" t="str">
        <v>867806078868827</v>
      </c>
      <c r="G577" t="str">
        <v>TBD</v>
      </c>
      <c r="H577" t="str">
        <v/>
      </c>
      <c r="I577" t="str">
        <v>28/09/2026</v>
      </c>
      <c r="J577" t="str">
        <v>21:23:36</v>
      </c>
      <c r="K577">
        <v>-12.213047</v>
      </c>
      <c r="L577">
        <v>-76.958885</v>
      </c>
      <c r="M577">
        <f>HYPERLINK("https://www.google.com/maps/search/?api=1&amp;query=-12.213047,-76.958885","Villa El Salvador, Lima")</f>
      </c>
      <c r="N577">
        <v>0</v>
      </c>
      <c r="O577">
        <v>85</v>
      </c>
      <c r="P577">
        <v>1776.57</v>
      </c>
      <c r="Q577" t="str">
        <v>70.28</v>
      </c>
      <c r="R577" t="str">
        <v/>
      </c>
      <c r="S577" t="str">
        <v/>
      </c>
      <c r="T577" t="str">
        <v/>
      </c>
      <c r="U577" t="str">
        <v/>
      </c>
    </row>
    <row r="578">
      <c r="A578" t="str">
        <v>577</v>
      </c>
      <c r="B578" t="str">
        <v>MASS BSF</v>
      </c>
      <c r="C578" t="str">
        <v>F8R-810</v>
      </c>
      <c r="D578" t="str">
        <v>F8R-810</v>
      </c>
      <c r="E578" t="str">
        <v/>
      </c>
      <c r="F578" t="str">
        <v>867806078868827</v>
      </c>
      <c r="G578" t="str">
        <v>TBD</v>
      </c>
      <c r="H578" t="str">
        <v/>
      </c>
      <c r="I578" t="str">
        <v>28/09/2026</v>
      </c>
      <c r="J578" t="str">
        <v>21:33:36</v>
      </c>
      <c r="K578">
        <v>-12.213047</v>
      </c>
      <c r="L578">
        <v>-76.958885</v>
      </c>
      <c r="M578">
        <f>HYPERLINK("https://www.google.com/maps/search/?api=1&amp;query=-12.213047,-76.958885","Villa El Salvador, Lima")</f>
      </c>
      <c r="N578">
        <v>0</v>
      </c>
      <c r="O578">
        <v>85</v>
      </c>
      <c r="P578">
        <v>1776.57</v>
      </c>
      <c r="Q578" t="str">
        <v>70.28</v>
      </c>
      <c r="R578" t="str">
        <v/>
      </c>
      <c r="S578" t="str">
        <v/>
      </c>
      <c r="T578" t="str">
        <v/>
      </c>
      <c r="U578" t="str">
        <v/>
      </c>
    </row>
    <row r="579">
      <c r="A579" t="str">
        <v>578</v>
      </c>
      <c r="B579" t="str">
        <v>MASS BSF</v>
      </c>
      <c r="C579" t="str">
        <v>F8R-810</v>
      </c>
      <c r="D579" t="str">
        <v>F8R-810</v>
      </c>
      <c r="E579" t="str">
        <v/>
      </c>
      <c r="F579" t="str">
        <v>867806078868827</v>
      </c>
      <c r="G579" t="str">
        <v>TBD</v>
      </c>
      <c r="H579" t="str">
        <v/>
      </c>
      <c r="I579" t="str">
        <v>28/09/2026</v>
      </c>
      <c r="J579" t="str">
        <v>21:43:36</v>
      </c>
      <c r="K579">
        <v>-12.213047</v>
      </c>
      <c r="L579">
        <v>-76.958885</v>
      </c>
      <c r="M579">
        <f>HYPERLINK("https://www.google.com/maps/search/?api=1&amp;query=-12.213047,-76.958885","Villa El Salvador, Lima")</f>
      </c>
      <c r="N579">
        <v>0</v>
      </c>
      <c r="O579">
        <v>85</v>
      </c>
      <c r="P579">
        <v>1776.57</v>
      </c>
      <c r="Q579" t="str">
        <v>70.28</v>
      </c>
      <c r="R579" t="str">
        <v/>
      </c>
      <c r="S579" t="str">
        <v/>
      </c>
      <c r="T579" t="str">
        <v/>
      </c>
      <c r="U579" t="str">
        <v/>
      </c>
    </row>
    <row r="580">
      <c r="A580" t="str">
        <v>579</v>
      </c>
      <c r="B580" t="str">
        <v>MASS BSF</v>
      </c>
      <c r="C580" t="str">
        <v>F8R-810</v>
      </c>
      <c r="D580" t="str">
        <v>F8R-810</v>
      </c>
      <c r="E580" t="str">
        <v/>
      </c>
      <c r="F580" t="str">
        <v>867806078868827</v>
      </c>
      <c r="G580" t="str">
        <v>TBD</v>
      </c>
      <c r="H580" t="str">
        <v/>
      </c>
      <c r="I580" t="str">
        <v>28/09/2026</v>
      </c>
      <c r="J580" t="str">
        <v>21:53:36</v>
      </c>
      <c r="K580">
        <v>-12.213047</v>
      </c>
      <c r="L580">
        <v>-76.958885</v>
      </c>
      <c r="M580">
        <f>HYPERLINK("https://www.google.com/maps/search/?api=1&amp;query=-12.213047,-76.958885","Villa El Salvador, Lima")</f>
      </c>
      <c r="N580">
        <v>0</v>
      </c>
      <c r="O580">
        <v>82</v>
      </c>
      <c r="P580">
        <v>1776.57</v>
      </c>
      <c r="Q580" t="str">
        <v>70.28</v>
      </c>
      <c r="R580" t="str">
        <v/>
      </c>
      <c r="S580" t="str">
        <v/>
      </c>
      <c r="T580" t="str">
        <v/>
      </c>
      <c r="U580" t="str">
        <v/>
      </c>
    </row>
    <row r="581">
      <c r="A581" t="str">
        <v>580</v>
      </c>
      <c r="B581" t="str">
        <v>MASS BSF</v>
      </c>
      <c r="C581" t="str">
        <v>F8R-810</v>
      </c>
      <c r="D581" t="str">
        <v>F8R-810</v>
      </c>
      <c r="E581" t="str">
        <v/>
      </c>
      <c r="F581" t="str">
        <v>867806078868827</v>
      </c>
      <c r="G581" t="str">
        <v>TBD</v>
      </c>
      <c r="H581" t="str">
        <v/>
      </c>
      <c r="I581" t="str">
        <v>28/09/2026</v>
      </c>
      <c r="J581" t="str">
        <v>22:03:36</v>
      </c>
      <c r="K581">
        <v>-12.213047</v>
      </c>
      <c r="L581">
        <v>-76.958885</v>
      </c>
      <c r="M581">
        <f>HYPERLINK("https://www.google.com/maps/search/?api=1&amp;query=-12.213047,-76.958885","Villa El Salvador, Lima")</f>
      </c>
      <c r="N581">
        <v>0</v>
      </c>
      <c r="O581">
        <v>82</v>
      </c>
      <c r="P581">
        <v>1776.57</v>
      </c>
      <c r="Q581" t="str">
        <v>70.28</v>
      </c>
      <c r="R581" t="str">
        <v/>
      </c>
      <c r="S581" t="str">
        <v/>
      </c>
      <c r="T581" t="str">
        <v/>
      </c>
      <c r="U581" t="str">
        <v/>
      </c>
    </row>
    <row r="582">
      <c r="A582" t="str">
        <v>581</v>
      </c>
      <c r="B582" t="str">
        <v>MASS BSF</v>
      </c>
      <c r="C582" t="str">
        <v>F8R-810</v>
      </c>
      <c r="D582" t="str">
        <v>F8R-810</v>
      </c>
      <c r="E582" t="str">
        <v/>
      </c>
      <c r="F582" t="str">
        <v>867806078868827</v>
      </c>
      <c r="G582" t="str">
        <v>TBD</v>
      </c>
      <c r="H582" t="str">
        <v/>
      </c>
      <c r="I582" t="str">
        <v>28/09/2026</v>
      </c>
      <c r="J582" t="str">
        <v>22:13:36</v>
      </c>
      <c r="K582">
        <v>-12.213047</v>
      </c>
      <c r="L582">
        <v>-76.958885</v>
      </c>
      <c r="M582">
        <f>HYPERLINK("https://www.google.com/maps/search/?api=1&amp;query=-12.213047,-76.958885","Villa El Salvador, Lima")</f>
      </c>
      <c r="N582">
        <v>0</v>
      </c>
      <c r="O582">
        <v>82</v>
      </c>
      <c r="P582">
        <v>1776.57</v>
      </c>
      <c r="Q582" t="str">
        <v>70.28</v>
      </c>
      <c r="R582" t="str">
        <v/>
      </c>
      <c r="S582" t="str">
        <v/>
      </c>
      <c r="T582" t="str">
        <v/>
      </c>
      <c r="U582" t="str">
        <v/>
      </c>
    </row>
    <row r="583">
      <c r="A583" t="str">
        <v>582</v>
      </c>
      <c r="B583" t="str">
        <v>MASS BSF</v>
      </c>
      <c r="C583" t="str">
        <v>F8R-810</v>
      </c>
      <c r="D583" t="str">
        <v>F8R-810</v>
      </c>
      <c r="E583" t="str">
        <v/>
      </c>
      <c r="F583" t="str">
        <v>867806078868827</v>
      </c>
      <c r="G583" t="str">
        <v>TBD</v>
      </c>
      <c r="H583" t="str">
        <v/>
      </c>
      <c r="I583" t="str">
        <v>28/09/2026</v>
      </c>
      <c r="J583" t="str">
        <v>22:23:36</v>
      </c>
      <c r="K583">
        <v>-12.213047</v>
      </c>
      <c r="L583">
        <v>-76.958885</v>
      </c>
      <c r="M583">
        <f>HYPERLINK("https://www.google.com/maps/search/?api=1&amp;query=-12.213047,-76.958885","Villa El Salvador, Lima")</f>
      </c>
      <c r="N583">
        <v>0</v>
      </c>
      <c r="O583">
        <v>85</v>
      </c>
      <c r="P583">
        <v>1776.57</v>
      </c>
      <c r="Q583" t="str">
        <v>70.28</v>
      </c>
      <c r="R583" t="str">
        <v/>
      </c>
      <c r="S583" t="str">
        <v/>
      </c>
      <c r="T583" t="str">
        <v/>
      </c>
      <c r="U583" t="str">
        <v/>
      </c>
    </row>
    <row r="584">
      <c r="A584" t="str">
        <v>583</v>
      </c>
      <c r="B584" t="str">
        <v>MASS BSF</v>
      </c>
      <c r="C584" t="str">
        <v>F8R-810</v>
      </c>
      <c r="D584" t="str">
        <v>F8R-810</v>
      </c>
      <c r="E584" t="str">
        <v/>
      </c>
      <c r="F584" t="str">
        <v>867806078868827</v>
      </c>
      <c r="G584" t="str">
        <v>TBD</v>
      </c>
      <c r="H584" t="str">
        <v/>
      </c>
      <c r="I584" t="str">
        <v>28/09/2026</v>
      </c>
      <c r="J584" t="str">
        <v>22:33:36</v>
      </c>
      <c r="K584">
        <v>-12.213047</v>
      </c>
      <c r="L584">
        <v>-76.958885</v>
      </c>
      <c r="M584">
        <f>HYPERLINK("https://www.google.com/maps/search/?api=1&amp;query=-12.213047,-76.958885","Villa El Salvador, Lima")</f>
      </c>
      <c r="N584">
        <v>0</v>
      </c>
      <c r="O584">
        <v>85</v>
      </c>
      <c r="P584">
        <v>1776.57</v>
      </c>
      <c r="Q584" t="str">
        <v>70.28</v>
      </c>
      <c r="R584" t="str">
        <v/>
      </c>
      <c r="S584" t="str">
        <v/>
      </c>
      <c r="T584" t="str">
        <v/>
      </c>
      <c r="U584" t="str">
        <v/>
      </c>
    </row>
    <row r="585">
      <c r="A585" t="str">
        <v>584</v>
      </c>
      <c r="B585" t="str">
        <v>MASS BSF</v>
      </c>
      <c r="C585" t="str">
        <v>F8R-810</v>
      </c>
      <c r="D585" t="str">
        <v>F8R-810</v>
      </c>
      <c r="E585" t="str">
        <v/>
      </c>
      <c r="F585" t="str">
        <v>867806078868827</v>
      </c>
      <c r="G585" t="str">
        <v>TBD</v>
      </c>
      <c r="H585" t="str">
        <v/>
      </c>
      <c r="I585" t="str">
        <v>28/09/2026</v>
      </c>
      <c r="J585" t="str">
        <v>22:43:36</v>
      </c>
      <c r="K585">
        <v>-12.213047</v>
      </c>
      <c r="L585">
        <v>-76.958885</v>
      </c>
      <c r="M585">
        <f>HYPERLINK("https://www.google.com/maps/search/?api=1&amp;query=-12.213047,-76.958885","Villa El Salvador, Lima")</f>
      </c>
      <c r="N585">
        <v>0</v>
      </c>
      <c r="O585">
        <v>85</v>
      </c>
      <c r="P585">
        <v>1776.57</v>
      </c>
      <c r="Q585" t="str">
        <v>70.28</v>
      </c>
      <c r="R585" t="str">
        <v/>
      </c>
      <c r="S585" t="str">
        <v/>
      </c>
      <c r="T585" t="str">
        <v/>
      </c>
      <c r="U585" t="str">
        <v/>
      </c>
    </row>
    <row r="586">
      <c r="A586" t="str">
        <v>585</v>
      </c>
      <c r="B586" t="str">
        <v>MASS BSF</v>
      </c>
      <c r="C586" t="str">
        <v>F8R-810</v>
      </c>
      <c r="D586" t="str">
        <v>F8R-810</v>
      </c>
      <c r="E586" t="str">
        <v/>
      </c>
      <c r="F586" t="str">
        <v>867806078868827</v>
      </c>
      <c r="G586" t="str">
        <v>TBD</v>
      </c>
      <c r="H586" t="str">
        <v/>
      </c>
      <c r="I586" t="str">
        <v>28/09/2026</v>
      </c>
      <c r="J586" t="str">
        <v>22:53:36</v>
      </c>
      <c r="K586">
        <v>-12.213047</v>
      </c>
      <c r="L586">
        <v>-76.958885</v>
      </c>
      <c r="M586">
        <f>HYPERLINK("https://www.google.com/maps/search/?api=1&amp;query=-12.213047,-76.958885","Villa El Salvador, Lima")</f>
      </c>
      <c r="N586">
        <v>0</v>
      </c>
      <c r="O586">
        <v>92</v>
      </c>
      <c r="P586">
        <v>1776.57</v>
      </c>
      <c r="Q586" t="str">
        <v>70.28</v>
      </c>
      <c r="R586" t="str">
        <v/>
      </c>
      <c r="S586" t="str">
        <v/>
      </c>
      <c r="T586" t="str">
        <v/>
      </c>
      <c r="U586" t="str">
        <v/>
      </c>
    </row>
    <row r="587">
      <c r="A587" t="str">
        <v>586</v>
      </c>
      <c r="B587" t="str">
        <v>MASS BSF</v>
      </c>
      <c r="C587" t="str">
        <v>F8R-810</v>
      </c>
      <c r="D587" t="str">
        <v>F8R-810</v>
      </c>
      <c r="E587" t="str">
        <v/>
      </c>
      <c r="F587" t="str">
        <v>867806078868827</v>
      </c>
      <c r="G587" t="str">
        <v>TBD</v>
      </c>
      <c r="H587" t="str">
        <v/>
      </c>
      <c r="I587" t="str">
        <v>28/09/2026</v>
      </c>
      <c r="J587" t="str">
        <v>23:03:36</v>
      </c>
      <c r="K587">
        <v>-12.213047</v>
      </c>
      <c r="L587">
        <v>-76.958885</v>
      </c>
      <c r="M587">
        <f>HYPERLINK("https://www.google.com/maps/search/?api=1&amp;query=-12.213047,-76.958885","Villa El Salvador, Lima")</f>
      </c>
      <c r="N587">
        <v>0</v>
      </c>
      <c r="O587">
        <v>93</v>
      </c>
      <c r="P587">
        <v>1776.57</v>
      </c>
      <c r="Q587" t="str">
        <v>70.28</v>
      </c>
      <c r="R587" t="str">
        <v/>
      </c>
      <c r="S587" t="str">
        <v/>
      </c>
      <c r="T587" t="str">
        <v/>
      </c>
      <c r="U587" t="str">
        <v/>
      </c>
    </row>
    <row r="588">
      <c r="A588" t="str">
        <v>587</v>
      </c>
      <c r="B588" t="str">
        <v>MASS BSF</v>
      </c>
      <c r="C588" t="str">
        <v>F8R-810</v>
      </c>
      <c r="D588" t="str">
        <v>F8R-810</v>
      </c>
      <c r="E588" t="str">
        <v/>
      </c>
      <c r="F588" t="str">
        <v>867806078868827</v>
      </c>
      <c r="G588" t="str">
        <v>TBD</v>
      </c>
      <c r="H588" t="str">
        <v/>
      </c>
      <c r="I588" t="str">
        <v>28/09/2026</v>
      </c>
      <c r="J588" t="str">
        <v>23:13:36</v>
      </c>
      <c r="K588">
        <v>-12.213047</v>
      </c>
      <c r="L588">
        <v>-76.958885</v>
      </c>
      <c r="M588">
        <f>HYPERLINK("https://www.google.com/maps/search/?api=1&amp;query=-12.213047,-76.958885","Villa El Salvador, Lima")</f>
      </c>
      <c r="N588">
        <v>0</v>
      </c>
      <c r="O588">
        <v>93</v>
      </c>
      <c r="P588">
        <v>1776.57</v>
      </c>
      <c r="Q588" t="str">
        <v>70.28</v>
      </c>
      <c r="R588" t="str">
        <v/>
      </c>
      <c r="S588" t="str">
        <v/>
      </c>
      <c r="T588" t="str">
        <v/>
      </c>
      <c r="U588" t="str">
        <v/>
      </c>
    </row>
    <row r="589">
      <c r="A589" t="str">
        <v>588</v>
      </c>
      <c r="B589" t="str">
        <v>MASS BSF</v>
      </c>
      <c r="C589" t="str">
        <v>F8R-810</v>
      </c>
      <c r="D589" t="str">
        <v>F8R-810</v>
      </c>
      <c r="E589" t="str">
        <v/>
      </c>
      <c r="F589" t="str">
        <v>867806078868827</v>
      </c>
      <c r="G589" t="str">
        <v>TBD</v>
      </c>
      <c r="H589" t="str">
        <v/>
      </c>
      <c r="I589" t="str">
        <v>28/09/2026</v>
      </c>
      <c r="J589" t="str">
        <v>23:23:36</v>
      </c>
      <c r="K589">
        <v>-12.213047</v>
      </c>
      <c r="L589">
        <v>-76.958885</v>
      </c>
      <c r="M589">
        <f>HYPERLINK("https://www.google.com/maps/search/?api=1&amp;query=-12.213047,-76.958885","Villa El Salvador, Lima")</f>
      </c>
      <c r="N589">
        <v>0</v>
      </c>
      <c r="O589">
        <v>93</v>
      </c>
      <c r="P589">
        <v>1776.57</v>
      </c>
      <c r="Q589" t="str">
        <v>70.28</v>
      </c>
      <c r="R589" t="str">
        <v/>
      </c>
      <c r="S589" t="str">
        <v/>
      </c>
      <c r="T589" t="str">
        <v/>
      </c>
      <c r="U589" t="str">
        <v/>
      </c>
    </row>
    <row r="590">
      <c r="A590" t="str">
        <v>589</v>
      </c>
      <c r="B590" t="str">
        <v>MASS BSF</v>
      </c>
      <c r="C590" t="str">
        <v>F8R-810</v>
      </c>
      <c r="D590" t="str">
        <v>F8R-810</v>
      </c>
      <c r="E590" t="str">
        <v/>
      </c>
      <c r="F590" t="str">
        <v>867806078868827</v>
      </c>
      <c r="G590" t="str">
        <v>TBD</v>
      </c>
      <c r="H590" t="str">
        <v/>
      </c>
      <c r="I590" t="str">
        <v>28/09/2026</v>
      </c>
      <c r="J590" t="str">
        <v>23:33:36</v>
      </c>
      <c r="K590">
        <v>-12.213047</v>
      </c>
      <c r="L590">
        <v>-76.958885</v>
      </c>
      <c r="M590">
        <f>HYPERLINK("https://www.google.com/maps/search/?api=1&amp;query=-12.213047,-76.958885","Villa El Salvador, Lima")</f>
      </c>
      <c r="N590">
        <v>0</v>
      </c>
      <c r="O590">
        <v>93</v>
      </c>
      <c r="P590">
        <v>1776.57</v>
      </c>
      <c r="Q590" t="str">
        <v>70.28</v>
      </c>
      <c r="R590" t="str">
        <v/>
      </c>
      <c r="S590" t="str">
        <v/>
      </c>
      <c r="T590" t="str">
        <v/>
      </c>
      <c r="U590" t="str">
        <v/>
      </c>
    </row>
    <row r="591">
      <c r="A591" t="str">
        <v>590</v>
      </c>
      <c r="B591" t="str">
        <v>MASS BSF</v>
      </c>
      <c r="C591" t="str">
        <v>F8R-810</v>
      </c>
      <c r="D591" t="str">
        <v>F8R-810</v>
      </c>
      <c r="E591" t="str">
        <v/>
      </c>
      <c r="F591" t="str">
        <v>867806078868827</v>
      </c>
      <c r="G591" t="str">
        <v>TBD</v>
      </c>
      <c r="H591" t="str">
        <v/>
      </c>
      <c r="I591" t="str">
        <v>28/09/2026</v>
      </c>
      <c r="J591" t="str">
        <v>23:43:36</v>
      </c>
      <c r="K591">
        <v>-12.213047</v>
      </c>
      <c r="L591">
        <v>-76.958885</v>
      </c>
      <c r="M591">
        <f>HYPERLINK("https://www.google.com/maps/search/?api=1&amp;query=-12.213047,-76.958885","Villa El Salvador, Lima")</f>
      </c>
      <c r="N591">
        <v>0</v>
      </c>
      <c r="O591">
        <v>93</v>
      </c>
      <c r="P591">
        <v>1776.57</v>
      </c>
      <c r="Q591" t="str">
        <v>70.28</v>
      </c>
      <c r="R591" t="str">
        <v/>
      </c>
      <c r="S591" t="str">
        <v/>
      </c>
      <c r="T591" t="str">
        <v/>
      </c>
      <c r="U591" t="str">
        <v/>
      </c>
    </row>
    <row r="592">
      <c r="A592" t="str">
        <v>591</v>
      </c>
      <c r="B592" t="str">
        <v>MASS BSF</v>
      </c>
      <c r="C592" t="str">
        <v>F8R-810</v>
      </c>
      <c r="D592" t="str">
        <v>F8R-810</v>
      </c>
      <c r="E592" t="str">
        <v/>
      </c>
      <c r="F592" t="str">
        <v>867806078868827</v>
      </c>
      <c r="G592" t="str">
        <v>TBD</v>
      </c>
      <c r="H592" t="str">
        <v/>
      </c>
      <c r="I592" t="str">
        <v>28/09/2026</v>
      </c>
      <c r="J592" t="str">
        <v>23:53:36</v>
      </c>
      <c r="K592">
        <v>-12.213047</v>
      </c>
      <c r="L592">
        <v>-76.958885</v>
      </c>
      <c r="M592">
        <f>HYPERLINK("https://www.google.com/maps/search/?api=1&amp;query=-12.213047,-76.958885","Villa El Salvador, Lima")</f>
      </c>
      <c r="N592">
        <v>0</v>
      </c>
      <c r="O592">
        <v>93</v>
      </c>
      <c r="P592">
        <v>1776.57</v>
      </c>
      <c r="Q592" t="str">
        <v>70.28</v>
      </c>
      <c r="R592" t="str">
        <v/>
      </c>
      <c r="S592" t="str">
        <v/>
      </c>
      <c r="T592" t="str">
        <v/>
      </c>
      <c r="U592" t="str">
        <v/>
      </c>
    </row>
  </sheetData>
  <ignoredErrors>
    <ignoredError numberStoredAsText="1" sqref="A1:U5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