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9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F8P-915</v>
      </c>
      <c r="D2" t="str">
        <v>F8P-915</v>
      </c>
      <c r="E2" t="str">
        <v/>
      </c>
      <c r="F2" t="str">
        <v>867806075079972</v>
      </c>
      <c r="G2" t="str">
        <v>TBD</v>
      </c>
      <c r="H2" t="str">
        <v/>
      </c>
      <c r="I2" t="str">
        <v>28/09/2026</v>
      </c>
      <c r="J2" t="str">
        <v>00:09:50</v>
      </c>
      <c r="K2">
        <v>-12.210698</v>
      </c>
      <c r="L2">
        <v>-76.954895</v>
      </c>
      <c r="M2">
        <f>HYPERLINK("https://www.google.com/maps/search/?api=1&amp;query=-12.210698,-76.954895","Avenida Villa del Mar, Villa El Salvador, Lima")</f>
      </c>
      <c r="N2">
        <v>0</v>
      </c>
      <c r="O2">
        <v>91</v>
      </c>
      <c r="P2">
        <v>240496</v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F8P-915</v>
      </c>
      <c r="D3" t="str">
        <v>F8P-915</v>
      </c>
      <c r="E3" t="str">
        <v/>
      </c>
      <c r="F3" t="str">
        <v>867806075079972</v>
      </c>
      <c r="G3" t="str">
        <v>TBD</v>
      </c>
      <c r="H3" t="str">
        <v/>
      </c>
      <c r="I3" t="str">
        <v>28/09/2026</v>
      </c>
      <c r="J3" t="str">
        <v>00:19:50</v>
      </c>
      <c r="K3">
        <v>-12.210698</v>
      </c>
      <c r="L3">
        <v>-76.954895</v>
      </c>
      <c r="M3">
        <f>HYPERLINK("https://www.google.com/maps/search/?api=1&amp;query=-12.210698,-76.954895","Avenida Villa del Mar, Villa El Salvador, Lima")</f>
      </c>
      <c r="N3">
        <v>0</v>
      </c>
      <c r="O3">
        <v>100</v>
      </c>
      <c r="P3">
        <v>240496</v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F8P-915</v>
      </c>
      <c r="D4" t="str">
        <v>F8P-915</v>
      </c>
      <c r="E4" t="str">
        <v/>
      </c>
      <c r="F4" t="str">
        <v>867806075079972</v>
      </c>
      <c r="G4" t="str">
        <v>TBD</v>
      </c>
      <c r="H4" t="str">
        <v/>
      </c>
      <c r="I4" t="str">
        <v>28/09/2026</v>
      </c>
      <c r="J4" t="str">
        <v>00:29:50</v>
      </c>
      <c r="K4">
        <v>-12.210698</v>
      </c>
      <c r="L4">
        <v>-76.954895</v>
      </c>
      <c r="M4">
        <f>HYPERLINK("https://www.google.com/maps/search/?api=1&amp;query=-12.210698,-76.954895","Avenida Villa del Mar, Villa El Salvador, Lima")</f>
      </c>
      <c r="N4">
        <v>0</v>
      </c>
      <c r="O4">
        <v>94</v>
      </c>
      <c r="P4">
        <v>240496</v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F8P-915</v>
      </c>
      <c r="D5" t="str">
        <v>F8P-915</v>
      </c>
      <c r="E5" t="str">
        <v/>
      </c>
      <c r="F5" t="str">
        <v>867806075079972</v>
      </c>
      <c r="G5" t="str">
        <v>TBD</v>
      </c>
      <c r="H5" t="str">
        <v/>
      </c>
      <c r="I5" t="str">
        <v>28/09/2026</v>
      </c>
      <c r="J5" t="str">
        <v>00:39:50</v>
      </c>
      <c r="K5">
        <v>-12.210698</v>
      </c>
      <c r="L5">
        <v>-76.954895</v>
      </c>
      <c r="M5">
        <f>HYPERLINK("https://www.google.com/maps/search/?api=1&amp;query=-12.210698,-76.954895","Avenida Villa del Mar, Villa El Salvador, Lima")</f>
      </c>
      <c r="N5">
        <v>0</v>
      </c>
      <c r="O5">
        <v>94</v>
      </c>
      <c r="P5">
        <v>240496</v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F8P-915</v>
      </c>
      <c r="D6" t="str">
        <v>F8P-915</v>
      </c>
      <c r="E6" t="str">
        <v/>
      </c>
      <c r="F6" t="str">
        <v>867806075079972</v>
      </c>
      <c r="G6" t="str">
        <v>TBD</v>
      </c>
      <c r="H6" t="str">
        <v/>
      </c>
      <c r="I6" t="str">
        <v>28/09/2026</v>
      </c>
      <c r="J6" t="str">
        <v>00:49:50</v>
      </c>
      <c r="K6">
        <v>-12.210698</v>
      </c>
      <c r="L6">
        <v>-76.954895</v>
      </c>
      <c r="M6">
        <f>HYPERLINK("https://www.google.com/maps/search/?api=1&amp;query=-12.210698,-76.954895","Avenida Villa del Mar, Villa El Salvador, Lima")</f>
      </c>
      <c r="N6">
        <v>0</v>
      </c>
      <c r="O6">
        <v>99</v>
      </c>
      <c r="P6">
        <v>240496</v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F8P-915</v>
      </c>
      <c r="D7" t="str">
        <v>F8P-915</v>
      </c>
      <c r="E7" t="str">
        <v/>
      </c>
      <c r="F7" t="str">
        <v>867806075079972</v>
      </c>
      <c r="G7" t="str">
        <v>TBD</v>
      </c>
      <c r="H7" t="str">
        <v/>
      </c>
      <c r="I7" t="str">
        <v>28/09/2026</v>
      </c>
      <c r="J7" t="str">
        <v>00:59:50</v>
      </c>
      <c r="K7">
        <v>-12.210698</v>
      </c>
      <c r="L7">
        <v>-76.954895</v>
      </c>
      <c r="M7">
        <f>HYPERLINK("https://www.google.com/maps/search/?api=1&amp;query=-12.210698,-76.954895","Avenida Villa del Mar, Villa El Salvador, Lima")</f>
      </c>
      <c r="N7">
        <v>0</v>
      </c>
      <c r="O7">
        <v>99</v>
      </c>
      <c r="P7">
        <v>240496</v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F8P-915</v>
      </c>
      <c r="D8" t="str">
        <v>F8P-915</v>
      </c>
      <c r="E8" t="str">
        <v/>
      </c>
      <c r="F8" t="str">
        <v>867806075079972</v>
      </c>
      <c r="G8" t="str">
        <v>TBD</v>
      </c>
      <c r="H8" t="str">
        <v/>
      </c>
      <c r="I8" t="str">
        <v>28/09/2026</v>
      </c>
      <c r="J8" t="str">
        <v>01:09:50</v>
      </c>
      <c r="K8">
        <v>-12.210698</v>
      </c>
      <c r="L8">
        <v>-76.954895</v>
      </c>
      <c r="M8">
        <f>HYPERLINK("https://www.google.com/maps/search/?api=1&amp;query=-12.210698,-76.954895","Avenida Villa del Mar, Villa El Salvador, Lima")</f>
      </c>
      <c r="N8">
        <v>0</v>
      </c>
      <c r="O8">
        <v>99</v>
      </c>
      <c r="P8">
        <v>240496</v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F8P-915</v>
      </c>
      <c r="D9" t="str">
        <v>F8P-915</v>
      </c>
      <c r="E9" t="str">
        <v/>
      </c>
      <c r="F9" t="str">
        <v>867806075079972</v>
      </c>
      <c r="G9" t="str">
        <v>TBD</v>
      </c>
      <c r="H9" t="str">
        <v/>
      </c>
      <c r="I9" t="str">
        <v>28/09/2026</v>
      </c>
      <c r="J9" t="str">
        <v>01:19:50</v>
      </c>
      <c r="K9">
        <v>-12.210698</v>
      </c>
      <c r="L9">
        <v>-76.954895</v>
      </c>
      <c r="M9">
        <f>HYPERLINK("https://www.google.com/maps/search/?api=1&amp;query=-12.210698,-76.954895","Avenida Villa del Mar, Villa El Salvador, Lima")</f>
      </c>
      <c r="N9">
        <v>0</v>
      </c>
      <c r="O9">
        <v>99</v>
      </c>
      <c r="P9">
        <v>240496</v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F8P-915</v>
      </c>
      <c r="D10" t="str">
        <v>F8P-915</v>
      </c>
      <c r="E10" t="str">
        <v/>
      </c>
      <c r="F10" t="str">
        <v>867806075079972</v>
      </c>
      <c r="G10" t="str">
        <v>TBD</v>
      </c>
      <c r="H10" t="str">
        <v/>
      </c>
      <c r="I10" t="str">
        <v>28/09/2026</v>
      </c>
      <c r="J10" t="str">
        <v>01:29:50</v>
      </c>
      <c r="K10">
        <v>-12.210698</v>
      </c>
      <c r="L10">
        <v>-76.954895</v>
      </c>
      <c r="M10">
        <f>HYPERLINK("https://www.google.com/maps/search/?api=1&amp;query=-12.210698,-76.954895","Avenida Villa del Mar, Villa El Salvador, Lima")</f>
      </c>
      <c r="N10">
        <v>0</v>
      </c>
      <c r="O10">
        <v>99</v>
      </c>
      <c r="P10">
        <v>240496</v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F8P-915</v>
      </c>
      <c r="D11" t="str">
        <v>F8P-915</v>
      </c>
      <c r="E11" t="str">
        <v/>
      </c>
      <c r="F11" t="str">
        <v>867806075079972</v>
      </c>
      <c r="G11" t="str">
        <v>TBD</v>
      </c>
      <c r="H11" t="str">
        <v/>
      </c>
      <c r="I11" t="str">
        <v>28/09/2026</v>
      </c>
      <c r="J11" t="str">
        <v>01:39:45</v>
      </c>
      <c r="K11">
        <v>-12.210698</v>
      </c>
      <c r="L11">
        <v>-76.954895</v>
      </c>
      <c r="M11">
        <f>HYPERLINK("https://www.google.com/maps/search/?api=1&amp;query=-12.210698,-76.954895","Avenida Villa del Mar, Villa El Salvador, Lima")</f>
      </c>
      <c r="N11">
        <v>0</v>
      </c>
      <c r="O11">
        <v>100</v>
      </c>
      <c r="P11">
        <v>240496</v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F8P-915</v>
      </c>
      <c r="D12" t="str">
        <v>F8P-915</v>
      </c>
      <c r="E12" t="str">
        <v/>
      </c>
      <c r="F12" t="str">
        <v>867806075079972</v>
      </c>
      <c r="G12" t="str">
        <v>TBD</v>
      </c>
      <c r="H12" t="str">
        <v/>
      </c>
      <c r="I12" t="str">
        <v>28/09/2026</v>
      </c>
      <c r="J12" t="str">
        <v>01:49:45</v>
      </c>
      <c r="K12">
        <v>-12.210698</v>
      </c>
      <c r="L12">
        <v>-76.954895</v>
      </c>
      <c r="M12">
        <f>HYPERLINK("https://www.google.com/maps/search/?api=1&amp;query=-12.210698,-76.954895","Avenida Villa del Mar, Villa El Salvador, Lima")</f>
      </c>
      <c r="N12">
        <v>0</v>
      </c>
      <c r="O12">
        <v>100</v>
      </c>
      <c r="P12">
        <v>240496</v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F8P-915</v>
      </c>
      <c r="D13" t="str">
        <v>F8P-915</v>
      </c>
      <c r="E13" t="str">
        <v/>
      </c>
      <c r="F13" t="str">
        <v>867806075079972</v>
      </c>
      <c r="G13" t="str">
        <v>TBD</v>
      </c>
      <c r="H13" t="str">
        <v/>
      </c>
      <c r="I13" t="str">
        <v>28/09/2026</v>
      </c>
      <c r="J13" t="str">
        <v>01:59:45</v>
      </c>
      <c r="K13">
        <v>-12.210698</v>
      </c>
      <c r="L13">
        <v>-76.954895</v>
      </c>
      <c r="M13">
        <f>HYPERLINK("https://www.google.com/maps/search/?api=1&amp;query=-12.210698,-76.954895","Avenida Villa del Mar, Villa El Salvador, Lima")</f>
      </c>
      <c r="N13">
        <v>0</v>
      </c>
      <c r="O13">
        <v>100</v>
      </c>
      <c r="P13">
        <v>240496</v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F8P-915</v>
      </c>
      <c r="D14" t="str">
        <v>F8P-915</v>
      </c>
      <c r="E14" t="str">
        <v/>
      </c>
      <c r="F14" t="str">
        <v>867806075079972</v>
      </c>
      <c r="G14" t="str">
        <v>TBD</v>
      </c>
      <c r="H14" t="str">
        <v/>
      </c>
      <c r="I14" t="str">
        <v>28/09/2026</v>
      </c>
      <c r="J14" t="str">
        <v>02:09:45</v>
      </c>
      <c r="K14">
        <v>-12.210698</v>
      </c>
      <c r="L14">
        <v>-76.954895</v>
      </c>
      <c r="M14">
        <f>HYPERLINK("https://www.google.com/maps/search/?api=1&amp;query=-12.210698,-76.954895","Avenida Villa del Mar, Villa El Salvador, Lima")</f>
      </c>
      <c r="N14">
        <v>0</v>
      </c>
      <c r="O14">
        <v>93</v>
      </c>
      <c r="P14">
        <v>240496</v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F8P-915</v>
      </c>
      <c r="D15" t="str">
        <v>F8P-915</v>
      </c>
      <c r="E15" t="str">
        <v/>
      </c>
      <c r="F15" t="str">
        <v>867806075079972</v>
      </c>
      <c r="G15" t="str">
        <v>TBD</v>
      </c>
      <c r="H15" t="str">
        <v/>
      </c>
      <c r="I15" t="str">
        <v>28/09/2026</v>
      </c>
      <c r="J15" t="str">
        <v>02:19:45</v>
      </c>
      <c r="K15">
        <v>-12.210698</v>
      </c>
      <c r="L15">
        <v>-76.954895</v>
      </c>
      <c r="M15">
        <f>HYPERLINK("https://www.google.com/maps/search/?api=1&amp;query=-12.210698,-76.954895","Avenida Villa del Mar, Villa El Salvador, Lima")</f>
      </c>
      <c r="N15">
        <v>0</v>
      </c>
      <c r="O15">
        <v>100</v>
      </c>
      <c r="P15">
        <v>240496</v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F8P-915</v>
      </c>
      <c r="D16" t="str">
        <v>F8P-915</v>
      </c>
      <c r="E16" t="str">
        <v/>
      </c>
      <c r="F16" t="str">
        <v>867806075079972</v>
      </c>
      <c r="G16" t="str">
        <v>TBD</v>
      </c>
      <c r="H16" t="str">
        <v/>
      </c>
      <c r="I16" t="str">
        <v>28/09/2026</v>
      </c>
      <c r="J16" t="str">
        <v>02:29:45</v>
      </c>
      <c r="K16">
        <v>-12.210698</v>
      </c>
      <c r="L16">
        <v>-76.954895</v>
      </c>
      <c r="M16">
        <f>HYPERLINK("https://www.google.com/maps/search/?api=1&amp;query=-12.210698,-76.954895","Avenida Villa del Mar, Villa El Salvador, Lima")</f>
      </c>
      <c r="N16">
        <v>0</v>
      </c>
      <c r="O16">
        <v>100</v>
      </c>
      <c r="P16">
        <v>240496</v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F8P-915</v>
      </c>
      <c r="D17" t="str">
        <v>F8P-915</v>
      </c>
      <c r="E17" t="str">
        <v/>
      </c>
      <c r="F17" t="str">
        <v>867806075079972</v>
      </c>
      <c r="G17" t="str">
        <v>TBD</v>
      </c>
      <c r="H17" t="str">
        <v/>
      </c>
      <c r="I17" t="str">
        <v>28/09/2026</v>
      </c>
      <c r="J17" t="str">
        <v>02:39:45</v>
      </c>
      <c r="K17">
        <v>-12.210698</v>
      </c>
      <c r="L17">
        <v>-76.954895</v>
      </c>
      <c r="M17">
        <f>HYPERLINK("https://www.google.com/maps/search/?api=1&amp;query=-12.210698,-76.954895","Avenida Villa del Mar, Villa El Salvador, Lima")</f>
      </c>
      <c r="N17">
        <v>0</v>
      </c>
      <c r="O17">
        <v>100</v>
      </c>
      <c r="P17">
        <v>240496</v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F8P-915</v>
      </c>
      <c r="D18" t="str">
        <v>F8P-915</v>
      </c>
      <c r="E18" t="str">
        <v/>
      </c>
      <c r="F18" t="str">
        <v>867806075079972</v>
      </c>
      <c r="G18" t="str">
        <v>TBD</v>
      </c>
      <c r="H18" t="str">
        <v/>
      </c>
      <c r="I18" t="str">
        <v>28/09/2026</v>
      </c>
      <c r="J18" t="str">
        <v>02:49:45</v>
      </c>
      <c r="K18">
        <v>-12.210698</v>
      </c>
      <c r="L18">
        <v>-76.954895</v>
      </c>
      <c r="M18">
        <f>HYPERLINK("https://www.google.com/maps/search/?api=1&amp;query=-12.210698,-76.954895","Avenida Villa del Mar, Villa El Salvador, Lima")</f>
      </c>
      <c r="N18">
        <v>0</v>
      </c>
      <c r="O18">
        <v>100</v>
      </c>
      <c r="P18">
        <v>240496</v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F8P-915</v>
      </c>
      <c r="D19" t="str">
        <v>F8P-915</v>
      </c>
      <c r="E19" t="str">
        <v/>
      </c>
      <c r="F19" t="str">
        <v>867806075079972</v>
      </c>
      <c r="G19" t="str">
        <v>TBD</v>
      </c>
      <c r="H19" t="str">
        <v/>
      </c>
      <c r="I19" t="str">
        <v>28/09/2026</v>
      </c>
      <c r="J19" t="str">
        <v>02:59:45</v>
      </c>
      <c r="K19">
        <v>-12.210698</v>
      </c>
      <c r="L19">
        <v>-76.954895</v>
      </c>
      <c r="M19">
        <f>HYPERLINK("https://www.google.com/maps/search/?api=1&amp;query=-12.210698,-76.954895","Avenida Villa del Mar, Villa El Salvador, Lima")</f>
      </c>
      <c r="N19">
        <v>0</v>
      </c>
      <c r="O19">
        <v>100</v>
      </c>
      <c r="P19">
        <v>240496</v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F8P-915</v>
      </c>
      <c r="D20" t="str">
        <v>F8P-915</v>
      </c>
      <c r="E20" t="str">
        <v/>
      </c>
      <c r="F20" t="str">
        <v>867806075079972</v>
      </c>
      <c r="G20" t="str">
        <v>TBD</v>
      </c>
      <c r="H20" t="str">
        <v/>
      </c>
      <c r="I20" t="str">
        <v>28/09/2026</v>
      </c>
      <c r="J20" t="str">
        <v>03:09:45</v>
      </c>
      <c r="K20">
        <v>-12.210698</v>
      </c>
      <c r="L20">
        <v>-76.954895</v>
      </c>
      <c r="M20">
        <f>HYPERLINK("https://www.google.com/maps/search/?api=1&amp;query=-12.210698,-76.954895","Avenida Villa del Mar, Villa El Salvador, Lima")</f>
      </c>
      <c r="N20">
        <v>0</v>
      </c>
      <c r="O20">
        <v>100</v>
      </c>
      <c r="P20">
        <v>240496</v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F8P-915</v>
      </c>
      <c r="D21" t="str">
        <v>F8P-915</v>
      </c>
      <c r="E21" t="str">
        <v/>
      </c>
      <c r="F21" t="str">
        <v>867806075079972</v>
      </c>
      <c r="G21" t="str">
        <v>TBD</v>
      </c>
      <c r="H21" t="str">
        <v/>
      </c>
      <c r="I21" t="str">
        <v>28/09/2026</v>
      </c>
      <c r="J21" t="str">
        <v>03:19:45</v>
      </c>
      <c r="K21">
        <v>-12.210698</v>
      </c>
      <c r="L21">
        <v>-76.954895</v>
      </c>
      <c r="M21">
        <f>HYPERLINK("https://www.google.com/maps/search/?api=1&amp;query=-12.210698,-76.954895","Avenida Villa del Mar, Villa El Salvador, Lima")</f>
      </c>
      <c r="N21">
        <v>0</v>
      </c>
      <c r="O21">
        <v>100</v>
      </c>
      <c r="P21">
        <v>240496</v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F8P-915</v>
      </c>
      <c r="D22" t="str">
        <v>F8P-915</v>
      </c>
      <c r="E22" t="str">
        <v/>
      </c>
      <c r="F22" t="str">
        <v>867806075079972</v>
      </c>
      <c r="G22" t="str">
        <v>TBD</v>
      </c>
      <c r="H22" t="str">
        <v/>
      </c>
      <c r="I22" t="str">
        <v>28/09/2026</v>
      </c>
      <c r="J22" t="str">
        <v>03:29:45</v>
      </c>
      <c r="K22">
        <v>-12.210698</v>
      </c>
      <c r="L22">
        <v>-76.954895</v>
      </c>
      <c r="M22">
        <f>HYPERLINK("https://www.google.com/maps/search/?api=1&amp;query=-12.210698,-76.954895","Avenida Villa del Mar, Villa El Salvador, Lima")</f>
      </c>
      <c r="N22">
        <v>0</v>
      </c>
      <c r="O22">
        <v>100</v>
      </c>
      <c r="P22">
        <v>240496</v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F8P-915</v>
      </c>
      <c r="D23" t="str">
        <v>F8P-915</v>
      </c>
      <c r="E23" t="str">
        <v/>
      </c>
      <c r="F23" t="str">
        <v>867806075079972</v>
      </c>
      <c r="G23" t="str">
        <v>TBD</v>
      </c>
      <c r="H23" t="str">
        <v/>
      </c>
      <c r="I23" t="str">
        <v>28/09/2026</v>
      </c>
      <c r="J23" t="str">
        <v>03:39:45</v>
      </c>
      <c r="K23">
        <v>-12.210698</v>
      </c>
      <c r="L23">
        <v>-76.954895</v>
      </c>
      <c r="M23">
        <f>HYPERLINK("https://www.google.com/maps/search/?api=1&amp;query=-12.210698,-76.954895","Avenida Villa del Mar, Villa El Salvador, Lima")</f>
      </c>
      <c r="N23">
        <v>0</v>
      </c>
      <c r="O23">
        <v>100</v>
      </c>
      <c r="P23">
        <v>240496</v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F8P-915</v>
      </c>
      <c r="D24" t="str">
        <v>F8P-915</v>
      </c>
      <c r="E24" t="str">
        <v/>
      </c>
      <c r="F24" t="str">
        <v>867806075079972</v>
      </c>
      <c r="G24" t="str">
        <v>TBD</v>
      </c>
      <c r="H24" t="str">
        <v/>
      </c>
      <c r="I24" t="str">
        <v>28/09/2026</v>
      </c>
      <c r="J24" t="str">
        <v>03:49:45</v>
      </c>
      <c r="K24">
        <v>-12.210698</v>
      </c>
      <c r="L24">
        <v>-76.954895</v>
      </c>
      <c r="M24">
        <f>HYPERLINK("https://www.google.com/maps/search/?api=1&amp;query=-12.210698,-76.954895","Avenida Villa del Mar, Villa El Salvador, Lima")</f>
      </c>
      <c r="N24">
        <v>0</v>
      </c>
      <c r="O24">
        <v>100</v>
      </c>
      <c r="P24">
        <v>240496</v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F8P-915</v>
      </c>
      <c r="D25" t="str">
        <v>F8P-915</v>
      </c>
      <c r="E25" t="str">
        <v/>
      </c>
      <c r="F25" t="str">
        <v>867806075079972</v>
      </c>
      <c r="G25" t="str">
        <v>TBD</v>
      </c>
      <c r="H25" t="str">
        <v/>
      </c>
      <c r="I25" t="str">
        <v>28/09/2026</v>
      </c>
      <c r="J25" t="str">
        <v>03:59:45</v>
      </c>
      <c r="K25">
        <v>-12.210698</v>
      </c>
      <c r="L25">
        <v>-76.954895</v>
      </c>
      <c r="M25">
        <f>HYPERLINK("https://www.google.com/maps/search/?api=1&amp;query=-12.210698,-76.954895","Avenida Villa del Mar, Villa El Salvador, Lima")</f>
      </c>
      <c r="N25">
        <v>0</v>
      </c>
      <c r="O25">
        <v>100</v>
      </c>
      <c r="P25">
        <v>240496</v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F8P-915</v>
      </c>
      <c r="D26" t="str">
        <v>F8P-915</v>
      </c>
      <c r="E26" t="str">
        <v/>
      </c>
      <c r="F26" t="str">
        <v>867806075079972</v>
      </c>
      <c r="G26" t="str">
        <v>TBD</v>
      </c>
      <c r="H26" t="str">
        <v/>
      </c>
      <c r="I26" t="str">
        <v>28/09/2026</v>
      </c>
      <c r="J26" t="str">
        <v>04:09:45</v>
      </c>
      <c r="K26">
        <v>-12.210698</v>
      </c>
      <c r="L26">
        <v>-76.954895</v>
      </c>
      <c r="M26">
        <f>HYPERLINK("https://www.google.com/maps/search/?api=1&amp;query=-12.210698,-76.954895","Avenida Villa del Mar, Villa El Salvador, Lima")</f>
      </c>
      <c r="N26">
        <v>0</v>
      </c>
      <c r="O26">
        <v>100</v>
      </c>
      <c r="P26">
        <v>240496</v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F8P-915</v>
      </c>
      <c r="D27" t="str">
        <v>F8P-915</v>
      </c>
      <c r="E27" t="str">
        <v/>
      </c>
      <c r="F27" t="str">
        <v>867806075079972</v>
      </c>
      <c r="G27" t="str">
        <v>TBD</v>
      </c>
      <c r="H27" t="str">
        <v/>
      </c>
      <c r="I27" t="str">
        <v>28/09/2026</v>
      </c>
      <c r="J27" t="str">
        <v>04:19:45</v>
      </c>
      <c r="K27">
        <v>-12.210698</v>
      </c>
      <c r="L27">
        <v>-76.954895</v>
      </c>
      <c r="M27">
        <f>HYPERLINK("https://www.google.com/maps/search/?api=1&amp;query=-12.210698,-76.954895","Avenida Villa del Mar, Villa El Salvador, Lima")</f>
      </c>
      <c r="N27">
        <v>0</v>
      </c>
      <c r="O27">
        <v>92</v>
      </c>
      <c r="P27">
        <v>240496</v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F8P-915</v>
      </c>
      <c r="D28" t="str">
        <v>F8P-915</v>
      </c>
      <c r="E28" t="str">
        <v/>
      </c>
      <c r="F28" t="str">
        <v>867806075079972</v>
      </c>
      <c r="G28" t="str">
        <v>TBD</v>
      </c>
      <c r="H28" t="str">
        <v/>
      </c>
      <c r="I28" t="str">
        <v>28/09/2026</v>
      </c>
      <c r="J28" t="str">
        <v>04:29:45</v>
      </c>
      <c r="K28">
        <v>-12.210698</v>
      </c>
      <c r="L28">
        <v>-76.954895</v>
      </c>
      <c r="M28">
        <f>HYPERLINK("https://www.google.com/maps/search/?api=1&amp;query=-12.210698,-76.954895","Avenida Villa del Mar, Villa El Salvador, Lima")</f>
      </c>
      <c r="N28">
        <v>0</v>
      </c>
      <c r="O28">
        <v>92</v>
      </c>
      <c r="P28">
        <v>240496</v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F8P-915</v>
      </c>
      <c r="D29" t="str">
        <v>F8P-915</v>
      </c>
      <c r="E29" t="str">
        <v/>
      </c>
      <c r="F29" t="str">
        <v>867806075079972</v>
      </c>
      <c r="G29" t="str">
        <v>TBD</v>
      </c>
      <c r="H29" t="str">
        <v/>
      </c>
      <c r="I29" t="str">
        <v>28/09/2026</v>
      </c>
      <c r="J29" t="str">
        <v>04:39:45</v>
      </c>
      <c r="K29">
        <v>-12.210698</v>
      </c>
      <c r="L29">
        <v>-76.954895</v>
      </c>
      <c r="M29">
        <f>HYPERLINK("https://www.google.com/maps/search/?api=1&amp;query=-12.210698,-76.954895","Avenida Villa del Mar, Villa El Salvador, Lima")</f>
      </c>
      <c r="N29">
        <v>0</v>
      </c>
      <c r="O29">
        <v>92</v>
      </c>
      <c r="P29">
        <v>240496</v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F8P-915</v>
      </c>
      <c r="D30" t="str">
        <v>F8P-915</v>
      </c>
      <c r="E30" t="str">
        <v/>
      </c>
      <c r="F30" t="str">
        <v>867806075079972</v>
      </c>
      <c r="G30" t="str">
        <v>TBD</v>
      </c>
      <c r="H30" t="str">
        <v/>
      </c>
      <c r="I30" t="str">
        <v>28/09/2026</v>
      </c>
      <c r="J30" t="str">
        <v>04:49:45</v>
      </c>
      <c r="K30">
        <v>-12.210698</v>
      </c>
      <c r="L30">
        <v>-76.954895</v>
      </c>
      <c r="M30">
        <f>HYPERLINK("https://www.google.com/maps/search/?api=1&amp;query=-12.210698,-76.954895","Avenida Villa del Mar, Villa El Salvador, Lima")</f>
      </c>
      <c r="N30">
        <v>0</v>
      </c>
      <c r="O30">
        <v>92</v>
      </c>
      <c r="P30">
        <v>240496</v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F8P-915</v>
      </c>
      <c r="D31" t="str">
        <v>F8P-915</v>
      </c>
      <c r="E31" t="str">
        <v/>
      </c>
      <c r="F31" t="str">
        <v>867806075079972</v>
      </c>
      <c r="G31" t="str">
        <v>TBD</v>
      </c>
      <c r="H31" t="str">
        <v/>
      </c>
      <c r="I31" t="str">
        <v>28/09/2026</v>
      </c>
      <c r="J31" t="str">
        <v>04:59:45</v>
      </c>
      <c r="K31">
        <v>-12.210698</v>
      </c>
      <c r="L31">
        <v>-76.954895</v>
      </c>
      <c r="M31">
        <f>HYPERLINK("https://www.google.com/maps/search/?api=1&amp;query=-12.210698,-76.954895","Avenida Villa del Mar, Villa El Salvador, Lima")</f>
      </c>
      <c r="N31">
        <v>0</v>
      </c>
      <c r="O31">
        <v>92</v>
      </c>
      <c r="P31">
        <v>240496</v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F8P-915</v>
      </c>
      <c r="D32" t="str">
        <v>F8P-915</v>
      </c>
      <c r="E32" t="str">
        <v/>
      </c>
      <c r="F32" t="str">
        <v>867806075079972</v>
      </c>
      <c r="G32" t="str">
        <v>TBD</v>
      </c>
      <c r="H32" t="str">
        <v/>
      </c>
      <c r="I32" t="str">
        <v>28/09/2026</v>
      </c>
      <c r="J32" t="str">
        <v>05:09:45</v>
      </c>
      <c r="K32">
        <v>-12.210698</v>
      </c>
      <c r="L32">
        <v>-76.954895</v>
      </c>
      <c r="M32">
        <f>HYPERLINK("https://www.google.com/maps/search/?api=1&amp;query=-12.210698,-76.954895","Avenida Villa del Mar, Villa El Salvador, Lima")</f>
      </c>
      <c r="N32">
        <v>0</v>
      </c>
      <c r="O32">
        <v>97</v>
      </c>
      <c r="P32">
        <v>240496</v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F8P-915</v>
      </c>
      <c r="D33" t="str">
        <v>F8P-915</v>
      </c>
      <c r="E33" t="str">
        <v/>
      </c>
      <c r="F33" t="str">
        <v>867806075079972</v>
      </c>
      <c r="G33" t="str">
        <v>TBD</v>
      </c>
      <c r="H33" t="str">
        <v/>
      </c>
      <c r="I33" t="str">
        <v>28/09/2026</v>
      </c>
      <c r="J33" t="str">
        <v>05:19:45</v>
      </c>
      <c r="K33">
        <v>-12.210698</v>
      </c>
      <c r="L33">
        <v>-76.954895</v>
      </c>
      <c r="M33">
        <f>HYPERLINK("https://www.google.com/maps/search/?api=1&amp;query=-12.210698,-76.954895","Avenida Villa del Mar, Villa El Salvador, Lima")</f>
      </c>
      <c r="N33">
        <v>0</v>
      </c>
      <c r="O33">
        <v>92</v>
      </c>
      <c r="P33">
        <v>240496</v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F8P-915</v>
      </c>
      <c r="D34" t="str">
        <v>F8P-915</v>
      </c>
      <c r="E34" t="str">
        <v/>
      </c>
      <c r="F34" t="str">
        <v>867806075079972</v>
      </c>
      <c r="G34" t="str">
        <v>TBD</v>
      </c>
      <c r="H34" t="str">
        <v/>
      </c>
      <c r="I34" t="str">
        <v>28/09/2026</v>
      </c>
      <c r="J34" t="str">
        <v>05:29:45</v>
      </c>
      <c r="K34">
        <v>-12.210698</v>
      </c>
      <c r="L34">
        <v>-76.954895</v>
      </c>
      <c r="M34">
        <f>HYPERLINK("https://www.google.com/maps/search/?api=1&amp;query=-12.210698,-76.954895","Avenida Villa del Mar, Villa El Salvador, Lima")</f>
      </c>
      <c r="N34">
        <v>0</v>
      </c>
      <c r="O34">
        <v>95</v>
      </c>
      <c r="P34">
        <v>240496</v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F8P-915</v>
      </c>
      <c r="D35" t="str">
        <v>F8P-915</v>
      </c>
      <c r="E35" t="str">
        <v/>
      </c>
      <c r="F35" t="str">
        <v>867806075079972</v>
      </c>
      <c r="G35" t="str">
        <v>TBD</v>
      </c>
      <c r="H35" t="str">
        <v/>
      </c>
      <c r="I35" t="str">
        <v>28/09/2026</v>
      </c>
      <c r="J35" t="str">
        <v>05:39:45</v>
      </c>
      <c r="K35">
        <v>-12.210698</v>
      </c>
      <c r="L35">
        <v>-76.954895</v>
      </c>
      <c r="M35">
        <f>HYPERLINK("https://www.google.com/maps/search/?api=1&amp;query=-12.210698,-76.954895","Avenida Villa del Mar, Villa El Salvador, Lima")</f>
      </c>
      <c r="N35">
        <v>0</v>
      </c>
      <c r="O35">
        <v>95</v>
      </c>
      <c r="P35">
        <v>240496</v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F8P-915</v>
      </c>
      <c r="D36" t="str">
        <v>F8P-915</v>
      </c>
      <c r="E36" t="str">
        <v/>
      </c>
      <c r="F36" t="str">
        <v>867806075079972</v>
      </c>
      <c r="G36" t="str">
        <v>TBD</v>
      </c>
      <c r="H36" t="str">
        <v/>
      </c>
      <c r="I36" t="str">
        <v>28/09/2026</v>
      </c>
      <c r="J36" t="str">
        <v>05:49:45</v>
      </c>
      <c r="K36">
        <v>-12.210698</v>
      </c>
      <c r="L36">
        <v>-76.954895</v>
      </c>
      <c r="M36">
        <f>HYPERLINK("https://www.google.com/maps/search/?api=1&amp;query=-12.210698,-76.954895","Avenida Villa del Mar, Villa El Salvador, Lima")</f>
      </c>
      <c r="N36">
        <v>0</v>
      </c>
      <c r="O36">
        <v>95</v>
      </c>
      <c r="P36">
        <v>240496</v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F8P-915</v>
      </c>
      <c r="D37" t="str">
        <v>F8P-915</v>
      </c>
      <c r="E37" t="str">
        <v/>
      </c>
      <c r="F37" t="str">
        <v>867806075079972</v>
      </c>
      <c r="G37" t="str">
        <v>TBD</v>
      </c>
      <c r="H37" t="str">
        <v/>
      </c>
      <c r="I37" t="str">
        <v>28/09/2026</v>
      </c>
      <c r="J37" t="str">
        <v>05:59:40</v>
      </c>
      <c r="K37">
        <v>-12.210698</v>
      </c>
      <c r="L37">
        <v>-76.954895</v>
      </c>
      <c r="M37">
        <f>HYPERLINK("https://www.google.com/maps/search/?api=1&amp;query=-12.210698,-76.954895","Avenida Villa del Mar, Villa El Salvador, Lima")</f>
      </c>
      <c r="N37">
        <v>0</v>
      </c>
      <c r="O37">
        <v>95</v>
      </c>
      <c r="P37">
        <v>240496</v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F8P-915</v>
      </c>
      <c r="D38" t="str">
        <v>F8P-915</v>
      </c>
      <c r="E38" t="str">
        <v/>
      </c>
      <c r="F38" t="str">
        <v>867806075079972</v>
      </c>
      <c r="G38" t="str">
        <v>TBD</v>
      </c>
      <c r="H38" t="str">
        <v/>
      </c>
      <c r="I38" t="str">
        <v>28/09/2026</v>
      </c>
      <c r="J38" t="str">
        <v>05:59:45</v>
      </c>
      <c r="K38">
        <v>-12.210735</v>
      </c>
      <c r="L38">
        <v>-76.954926</v>
      </c>
      <c r="M38">
        <f>HYPERLINK("https://www.google.com/maps/search/?api=1&amp;query=-12.210735,-76.954926","Avenida María Elena Moyano, Villa El Salvador, Lima")</f>
      </c>
      <c r="N38">
        <v>0</v>
      </c>
      <c r="O38">
        <v>95</v>
      </c>
      <c r="P38">
        <v>240496</v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F8P-915</v>
      </c>
      <c r="D39" t="str">
        <v>F8P-915</v>
      </c>
      <c r="E39" t="str">
        <v/>
      </c>
      <c r="F39" t="str">
        <v>867806075079972</v>
      </c>
      <c r="G39" t="str">
        <v>TBD</v>
      </c>
      <c r="H39" t="str">
        <v/>
      </c>
      <c r="I39" t="str">
        <v>28/09/2026</v>
      </c>
      <c r="J39" t="str">
        <v>06:01:33</v>
      </c>
      <c r="K39">
        <v>-12.210662</v>
      </c>
      <c r="L39">
        <v>-76.954865</v>
      </c>
      <c r="M39">
        <f>HYPERLINK("https://www.google.com/maps/search/?api=1&amp;query=-12.210662,-76.954865","Avenida Villa del Mar, Villa El Salvador, Lima")</f>
      </c>
      <c r="N39">
        <v>0</v>
      </c>
      <c r="O39">
        <v>95</v>
      </c>
      <c r="P39">
        <v>240496</v>
      </c>
      <c r="Q39" t="str">
        <v/>
      </c>
      <c r="R39" t="str">
        <v>Se movio</v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F8P-915</v>
      </c>
      <c r="D40" t="str">
        <v>F8P-915</v>
      </c>
      <c r="E40" t="str">
        <v/>
      </c>
      <c r="F40" t="str">
        <v>867806075079972</v>
      </c>
      <c r="G40" t="str">
        <v>TBD</v>
      </c>
      <c r="H40" t="str">
        <v/>
      </c>
      <c r="I40" t="str">
        <v>28/09/2026</v>
      </c>
      <c r="J40" t="str">
        <v>06:02:40</v>
      </c>
      <c r="K40">
        <v>-12.210637</v>
      </c>
      <c r="L40">
        <v>-76.95491</v>
      </c>
      <c r="M40">
        <f>HYPERLINK("https://www.google.com/maps/search/?api=1&amp;query=-12.210637,-76.95491","Avenida Villa del Mar, Villa El Salvador, Lima")</f>
      </c>
      <c r="N40">
        <v>0</v>
      </c>
      <c r="O40">
        <v>95</v>
      </c>
      <c r="P40">
        <v>240496</v>
      </c>
      <c r="Q40" t="str">
        <v/>
      </c>
      <c r="R40" t="str">
        <v>Inicio de ralentí</v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F8P-915</v>
      </c>
      <c r="D41" t="str">
        <v>F8P-915</v>
      </c>
      <c r="E41" t="str">
        <v/>
      </c>
      <c r="F41" t="str">
        <v>867806075079972</v>
      </c>
      <c r="G41" t="str">
        <v>TBD</v>
      </c>
      <c r="H41" t="str">
        <v/>
      </c>
      <c r="I41" t="str">
        <v>28/09/2026</v>
      </c>
      <c r="J41" t="str">
        <v>06:09:45</v>
      </c>
      <c r="K41">
        <v>-12.21073</v>
      </c>
      <c r="L41">
        <v>-76.95485</v>
      </c>
      <c r="M41">
        <f>HYPERLINK("https://www.google.com/maps/search/?api=1&amp;query=-12.21073,-76.95485","Villa El Salvador, Lima")</f>
      </c>
      <c r="N41">
        <v>0</v>
      </c>
      <c r="O41">
        <v>95</v>
      </c>
      <c r="P41">
        <v>240496</v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F8P-915</v>
      </c>
      <c r="D42" t="str">
        <v>F8P-915</v>
      </c>
      <c r="E42" t="str">
        <v/>
      </c>
      <c r="F42" t="str">
        <v>867806075079972</v>
      </c>
      <c r="G42" t="str">
        <v>TBD</v>
      </c>
      <c r="H42" t="str">
        <v/>
      </c>
      <c r="I42" t="str">
        <v>28/09/2026</v>
      </c>
      <c r="J42" t="str">
        <v>06:18:50</v>
      </c>
      <c r="K42">
        <v>-12.21073</v>
      </c>
      <c r="L42">
        <v>-76.95485</v>
      </c>
      <c r="M42">
        <f>HYPERLINK("https://www.google.com/maps/search/?api=1&amp;query=-12.21073,-76.95485","Villa El Salvador, Lima")</f>
      </c>
      <c r="N42">
        <v>0</v>
      </c>
      <c r="O42">
        <v>95</v>
      </c>
      <c r="P42">
        <v>240496</v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F8P-915</v>
      </c>
      <c r="D43" t="str">
        <v>F8P-915</v>
      </c>
      <c r="E43" t="str">
        <v/>
      </c>
      <c r="F43" t="str">
        <v>867806075079972</v>
      </c>
      <c r="G43" t="str">
        <v>TBD</v>
      </c>
      <c r="H43" t="str">
        <v/>
      </c>
      <c r="I43" t="str">
        <v>28/09/2026</v>
      </c>
      <c r="J43" t="str">
        <v>06:18:50</v>
      </c>
      <c r="K43">
        <v>-12.21073</v>
      </c>
      <c r="L43">
        <v>-76.95485</v>
      </c>
      <c r="M43">
        <f>HYPERLINK("https://www.google.com/maps/search/?api=1&amp;query=-12.21073,-76.95485","Villa El Salvador, Lima")</f>
      </c>
      <c r="N43">
        <v>0</v>
      </c>
      <c r="O43">
        <v>95</v>
      </c>
      <c r="P43">
        <v>240496</v>
      </c>
      <c r="Q43" t="str">
        <v/>
      </c>
      <c r="R43" t="str">
        <v>Fin de ralentí</v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F8P-915</v>
      </c>
      <c r="D44" t="str">
        <v>F8P-915</v>
      </c>
      <c r="E44" t="str">
        <v/>
      </c>
      <c r="F44" t="str">
        <v>867806075079972</v>
      </c>
      <c r="G44" t="str">
        <v>TBD</v>
      </c>
      <c r="H44" t="str">
        <v/>
      </c>
      <c r="I44" t="str">
        <v>28/09/2026</v>
      </c>
      <c r="J44" t="str">
        <v>06:19:45</v>
      </c>
      <c r="K44">
        <v>-12.21073</v>
      </c>
      <c r="L44">
        <v>-76.95485</v>
      </c>
      <c r="M44">
        <f>HYPERLINK("https://www.google.com/maps/search/?api=1&amp;query=-12.21073,-76.95485","Villa El Salvador, Lima")</f>
      </c>
      <c r="N44">
        <v>0</v>
      </c>
      <c r="O44">
        <v>95</v>
      </c>
      <c r="P44">
        <v>240496</v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F8P-915</v>
      </c>
      <c r="D45" t="str">
        <v>F8P-915</v>
      </c>
      <c r="E45" t="str">
        <v/>
      </c>
      <c r="F45" t="str">
        <v>867806075079972</v>
      </c>
      <c r="G45" t="str">
        <v>TBD</v>
      </c>
      <c r="H45" t="str">
        <v/>
      </c>
      <c r="I45" t="str">
        <v>28/09/2026</v>
      </c>
      <c r="J45" t="str">
        <v>06:20:07</v>
      </c>
      <c r="K45">
        <v>-12.21073</v>
      </c>
      <c r="L45">
        <v>-76.95485</v>
      </c>
      <c r="M45">
        <f>HYPERLINK("https://www.google.com/maps/search/?api=1&amp;query=-12.21073,-76.95485","Villa El Salvador, Lima")</f>
      </c>
      <c r="N45">
        <v>0</v>
      </c>
      <c r="O45">
        <v>95</v>
      </c>
      <c r="P45">
        <v>240496</v>
      </c>
      <c r="Q45" t="str">
        <v/>
      </c>
      <c r="R45" t="str">
        <v>Encendido o Entró en cobertura</v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F8P-915</v>
      </c>
      <c r="D46" t="str">
        <v>F8P-915</v>
      </c>
      <c r="E46" t="str">
        <v/>
      </c>
      <c r="F46" t="str">
        <v>867806075079972</v>
      </c>
      <c r="G46" t="str">
        <v>TBD</v>
      </c>
      <c r="H46" t="str">
        <v/>
      </c>
      <c r="I46" t="str">
        <v>28/09/2026</v>
      </c>
      <c r="J46" t="str">
        <v>06:29:45</v>
      </c>
      <c r="K46">
        <v>-12.21073</v>
      </c>
      <c r="L46">
        <v>-76.95485</v>
      </c>
      <c r="M46">
        <f>HYPERLINK("https://www.google.com/maps/search/?api=1&amp;query=-12.21073,-76.95485","Villa El Salvador, Lima")</f>
      </c>
      <c r="N46">
        <v>0</v>
      </c>
      <c r="O46">
        <v>95</v>
      </c>
      <c r="P46">
        <v>240496</v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F8P-915</v>
      </c>
      <c r="D47" t="str">
        <v>F8P-915</v>
      </c>
      <c r="E47" t="str">
        <v/>
      </c>
      <c r="F47" t="str">
        <v>867806075079972</v>
      </c>
      <c r="G47" t="str">
        <v>TBD</v>
      </c>
      <c r="H47" t="str">
        <v/>
      </c>
      <c r="I47" t="str">
        <v>28/09/2026</v>
      </c>
      <c r="J47" t="str">
        <v>06:39:45</v>
      </c>
      <c r="K47">
        <v>-12.21073</v>
      </c>
      <c r="L47">
        <v>-76.95485</v>
      </c>
      <c r="M47">
        <f>HYPERLINK("https://www.google.com/maps/search/?api=1&amp;query=-12.21073,-76.95485","Villa El Salvador, Lima")</f>
      </c>
      <c r="N47">
        <v>0</v>
      </c>
      <c r="O47">
        <v>95</v>
      </c>
      <c r="P47">
        <v>240496</v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F8P-915</v>
      </c>
      <c r="D48" t="str">
        <v>F8P-915</v>
      </c>
      <c r="E48" t="str">
        <v/>
      </c>
      <c r="F48" t="str">
        <v>867806075079972</v>
      </c>
      <c r="G48" t="str">
        <v>TBD</v>
      </c>
      <c r="H48" t="str">
        <v/>
      </c>
      <c r="I48" t="str">
        <v>28/09/2026</v>
      </c>
      <c r="J48" t="str">
        <v>06:49:45</v>
      </c>
      <c r="K48">
        <v>-12.21073</v>
      </c>
      <c r="L48">
        <v>-76.95485</v>
      </c>
      <c r="M48">
        <f>HYPERLINK("https://www.google.com/maps/search/?api=1&amp;query=-12.21073,-76.95485","Villa El Salvador, Lima")</f>
      </c>
      <c r="N48">
        <v>0</v>
      </c>
      <c r="O48">
        <v>95</v>
      </c>
      <c r="P48">
        <v>240496</v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F8P-915</v>
      </c>
      <c r="D49" t="str">
        <v>F8P-915</v>
      </c>
      <c r="E49" t="str">
        <v/>
      </c>
      <c r="F49" t="str">
        <v>867806075079972</v>
      </c>
      <c r="G49" t="str">
        <v>TBD</v>
      </c>
      <c r="H49" t="str">
        <v/>
      </c>
      <c r="I49" t="str">
        <v>28/09/2026</v>
      </c>
      <c r="J49" t="str">
        <v>06:59:45</v>
      </c>
      <c r="K49">
        <v>-12.21073</v>
      </c>
      <c r="L49">
        <v>-76.95485</v>
      </c>
      <c r="M49">
        <f>HYPERLINK("https://www.google.com/maps/search/?api=1&amp;query=-12.21073,-76.95485","Villa El Salvador, Lima")</f>
      </c>
      <c r="N49">
        <v>0</v>
      </c>
      <c r="O49">
        <v>95</v>
      </c>
      <c r="P49">
        <v>240496</v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F8P-915</v>
      </c>
      <c r="D50" t="str">
        <v>F8P-915</v>
      </c>
      <c r="E50" t="str">
        <v/>
      </c>
      <c r="F50" t="str">
        <v>867806075079972</v>
      </c>
      <c r="G50" t="str">
        <v>TBD</v>
      </c>
      <c r="H50" t="str">
        <v/>
      </c>
      <c r="I50" t="str">
        <v>28/09/2026</v>
      </c>
      <c r="J50" t="str">
        <v>07:09:45</v>
      </c>
      <c r="K50">
        <v>-12.21073</v>
      </c>
      <c r="L50">
        <v>-76.95485</v>
      </c>
      <c r="M50">
        <f>HYPERLINK("https://www.google.com/maps/search/?api=1&amp;query=-12.21073,-76.95485","Villa El Salvador, Lima")</f>
      </c>
      <c r="N50">
        <v>0</v>
      </c>
      <c r="O50">
        <v>98</v>
      </c>
      <c r="P50">
        <v>240496</v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F8P-915</v>
      </c>
      <c r="D51" t="str">
        <v>F8P-915</v>
      </c>
      <c r="E51" t="str">
        <v/>
      </c>
      <c r="F51" t="str">
        <v>867806075079972</v>
      </c>
      <c r="G51" t="str">
        <v>TBD</v>
      </c>
      <c r="H51" t="str">
        <v/>
      </c>
      <c r="I51" t="str">
        <v>28/09/2026</v>
      </c>
      <c r="J51" t="str">
        <v>07:19:45</v>
      </c>
      <c r="K51">
        <v>-12.21073</v>
      </c>
      <c r="L51">
        <v>-76.95485</v>
      </c>
      <c r="M51">
        <f>HYPERLINK("https://www.google.com/maps/search/?api=1&amp;query=-12.21073,-76.95485","Villa El Salvador, Lima")</f>
      </c>
      <c r="N51">
        <v>0</v>
      </c>
      <c r="O51">
        <v>98</v>
      </c>
      <c r="P51">
        <v>240496</v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F8P-915</v>
      </c>
      <c r="D52" t="str">
        <v>F8P-915</v>
      </c>
      <c r="E52" t="str">
        <v/>
      </c>
      <c r="F52" t="str">
        <v>867806075079972</v>
      </c>
      <c r="G52" t="str">
        <v>TBD</v>
      </c>
      <c r="H52" t="str">
        <v/>
      </c>
      <c r="I52" t="str">
        <v>28/09/2026</v>
      </c>
      <c r="J52" t="str">
        <v>07:29:45</v>
      </c>
      <c r="K52">
        <v>-12.21073</v>
      </c>
      <c r="L52">
        <v>-76.95485</v>
      </c>
      <c r="M52">
        <f>HYPERLINK("https://www.google.com/maps/search/?api=1&amp;query=-12.21073,-76.95485","Villa El Salvador, Lima")</f>
      </c>
      <c r="N52">
        <v>0</v>
      </c>
      <c r="O52">
        <v>98</v>
      </c>
      <c r="P52">
        <v>240496</v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F8P-915</v>
      </c>
      <c r="D53" t="str">
        <v>F8P-915</v>
      </c>
      <c r="E53" t="str">
        <v/>
      </c>
      <c r="F53" t="str">
        <v>867806075079972</v>
      </c>
      <c r="G53" t="str">
        <v>TBD</v>
      </c>
      <c r="H53" t="str">
        <v/>
      </c>
      <c r="I53" t="str">
        <v>28/09/2026</v>
      </c>
      <c r="J53" t="str">
        <v>07:39:45</v>
      </c>
      <c r="K53">
        <v>-12.21073</v>
      </c>
      <c r="L53">
        <v>-76.95485</v>
      </c>
      <c r="M53">
        <f>HYPERLINK("https://www.google.com/maps/search/?api=1&amp;query=-12.21073,-76.95485","Villa El Salvador, Lima")</f>
      </c>
      <c r="N53">
        <v>0</v>
      </c>
      <c r="O53">
        <v>98</v>
      </c>
      <c r="P53">
        <v>240496</v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F8P-915</v>
      </c>
      <c r="D54" t="str">
        <v>F8P-915</v>
      </c>
      <c r="E54" t="str">
        <v/>
      </c>
      <c r="F54" t="str">
        <v>867806075079972</v>
      </c>
      <c r="G54" t="str">
        <v>TBD</v>
      </c>
      <c r="H54" t="str">
        <v/>
      </c>
      <c r="I54" t="str">
        <v>28/09/2026</v>
      </c>
      <c r="J54" t="str">
        <v>07:49:45</v>
      </c>
      <c r="K54">
        <v>-12.21073</v>
      </c>
      <c r="L54">
        <v>-76.95485</v>
      </c>
      <c r="M54">
        <f>HYPERLINK("https://www.google.com/maps/search/?api=1&amp;query=-12.21073,-76.95485","Villa El Salvador, Lima")</f>
      </c>
      <c r="N54">
        <v>0</v>
      </c>
      <c r="O54">
        <v>98</v>
      </c>
      <c r="P54">
        <v>240496</v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F8P-915</v>
      </c>
      <c r="D55" t="str">
        <v>F8P-915</v>
      </c>
      <c r="E55" t="str">
        <v/>
      </c>
      <c r="F55" t="str">
        <v>867806075079972</v>
      </c>
      <c r="G55" t="str">
        <v>TBD</v>
      </c>
      <c r="H55" t="str">
        <v/>
      </c>
      <c r="I55" t="str">
        <v>28/09/2026</v>
      </c>
      <c r="J55" t="str">
        <v>07:59:45</v>
      </c>
      <c r="K55">
        <v>-12.21073</v>
      </c>
      <c r="L55">
        <v>-76.95485</v>
      </c>
      <c r="M55">
        <f>HYPERLINK("https://www.google.com/maps/search/?api=1&amp;query=-12.21073,-76.95485","Villa El Salvador, Lima")</f>
      </c>
      <c r="N55">
        <v>0</v>
      </c>
      <c r="O55">
        <v>95</v>
      </c>
      <c r="P55">
        <v>240496</v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F8P-915</v>
      </c>
      <c r="D56" t="str">
        <v>F8P-915</v>
      </c>
      <c r="E56" t="str">
        <v/>
      </c>
      <c r="F56" t="str">
        <v>867806075079972</v>
      </c>
      <c r="G56" t="str">
        <v>TBD</v>
      </c>
      <c r="H56" t="str">
        <v/>
      </c>
      <c r="I56" t="str">
        <v>28/09/2026</v>
      </c>
      <c r="J56" t="str">
        <v>08:09:45</v>
      </c>
      <c r="K56">
        <v>-12.21073</v>
      </c>
      <c r="L56">
        <v>-76.95485</v>
      </c>
      <c r="M56">
        <f>HYPERLINK("https://www.google.com/maps/search/?api=1&amp;query=-12.21073,-76.95485","Villa El Salvador, Lima")</f>
      </c>
      <c r="N56">
        <v>0</v>
      </c>
      <c r="O56">
        <v>95</v>
      </c>
      <c r="P56">
        <v>240496</v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F8P-915</v>
      </c>
      <c r="D57" t="str">
        <v>F8P-915</v>
      </c>
      <c r="E57" t="str">
        <v/>
      </c>
      <c r="F57" t="str">
        <v>867806075079972</v>
      </c>
      <c r="G57" t="str">
        <v>TBD</v>
      </c>
      <c r="H57" t="str">
        <v/>
      </c>
      <c r="I57" t="str">
        <v>28/09/2026</v>
      </c>
      <c r="J57" t="str">
        <v>08:19:45</v>
      </c>
      <c r="K57">
        <v>-12.21073</v>
      </c>
      <c r="L57">
        <v>-76.95485</v>
      </c>
      <c r="M57">
        <f>HYPERLINK("https://www.google.com/maps/search/?api=1&amp;query=-12.21073,-76.95485","Villa El Salvador, Lima")</f>
      </c>
      <c r="N57">
        <v>0</v>
      </c>
      <c r="O57">
        <v>95</v>
      </c>
      <c r="P57">
        <v>240496</v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F8P-915</v>
      </c>
      <c r="D58" t="str">
        <v>F8P-915</v>
      </c>
      <c r="E58" t="str">
        <v/>
      </c>
      <c r="F58" t="str">
        <v>867806075079972</v>
      </c>
      <c r="G58" t="str">
        <v>TBD</v>
      </c>
      <c r="H58" t="str">
        <v/>
      </c>
      <c r="I58" t="str">
        <v>28/09/2026</v>
      </c>
      <c r="J58" t="str">
        <v>08:29:45</v>
      </c>
      <c r="K58">
        <v>-12.21073</v>
      </c>
      <c r="L58">
        <v>-76.95485</v>
      </c>
      <c r="M58">
        <f>HYPERLINK("https://www.google.com/maps/search/?api=1&amp;query=-12.21073,-76.95485","Villa El Salvador, Lima")</f>
      </c>
      <c r="N58">
        <v>0</v>
      </c>
      <c r="O58">
        <v>100</v>
      </c>
      <c r="P58">
        <v>240496</v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F8P-915</v>
      </c>
      <c r="D59" t="str">
        <v>F8P-915</v>
      </c>
      <c r="E59" t="str">
        <v/>
      </c>
      <c r="F59" t="str">
        <v>867806075079972</v>
      </c>
      <c r="G59" t="str">
        <v>TBD</v>
      </c>
      <c r="H59" t="str">
        <v/>
      </c>
      <c r="I59" t="str">
        <v>28/09/2026</v>
      </c>
      <c r="J59" t="str">
        <v>08:39:45</v>
      </c>
      <c r="K59">
        <v>-12.21073</v>
      </c>
      <c r="L59">
        <v>-76.95485</v>
      </c>
      <c r="M59">
        <f>HYPERLINK("https://www.google.com/maps/search/?api=1&amp;query=-12.21073,-76.95485","Villa El Salvador, Lima")</f>
      </c>
      <c r="N59">
        <v>0</v>
      </c>
      <c r="O59">
        <v>100</v>
      </c>
      <c r="P59">
        <v>240496</v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F8P-915</v>
      </c>
      <c r="D60" t="str">
        <v>F8P-915</v>
      </c>
      <c r="E60" t="str">
        <v/>
      </c>
      <c r="F60" t="str">
        <v>867806075079972</v>
      </c>
      <c r="G60" t="str">
        <v>TBD</v>
      </c>
      <c r="H60" t="str">
        <v/>
      </c>
      <c r="I60" t="str">
        <v>28/09/2026</v>
      </c>
      <c r="J60" t="str">
        <v>08:49:45</v>
      </c>
      <c r="K60">
        <v>-12.21073</v>
      </c>
      <c r="L60">
        <v>-76.95485</v>
      </c>
      <c r="M60">
        <f>HYPERLINK("https://www.google.com/maps/search/?api=1&amp;query=-12.21073,-76.95485","Villa El Salvador, Lima")</f>
      </c>
      <c r="N60">
        <v>0</v>
      </c>
      <c r="O60">
        <v>100</v>
      </c>
      <c r="P60">
        <v>240496</v>
      </c>
      <c r="Q60" t="str">
        <v/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F8P-915</v>
      </c>
      <c r="D61" t="str">
        <v>F8P-915</v>
      </c>
      <c r="E61" t="str">
        <v/>
      </c>
      <c r="F61" t="str">
        <v>867806075079972</v>
      </c>
      <c r="G61" t="str">
        <v>TBD</v>
      </c>
      <c r="H61" t="str">
        <v/>
      </c>
      <c r="I61" t="str">
        <v>28/09/2026</v>
      </c>
      <c r="J61" t="str">
        <v>08:59:15</v>
      </c>
      <c r="K61">
        <v>-12.21073</v>
      </c>
      <c r="L61">
        <v>-76.95485</v>
      </c>
      <c r="M61">
        <f>HYPERLINK("https://www.google.com/maps/search/?api=1&amp;query=-12.21073,-76.95485","Villa El Salvador, Lima")</f>
      </c>
      <c r="N61">
        <v>0</v>
      </c>
      <c r="O61">
        <v>100</v>
      </c>
      <c r="P61">
        <v>240496</v>
      </c>
      <c r="Q61" t="str">
        <v/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F8P-915</v>
      </c>
      <c r="D62" t="str">
        <v>F8P-915</v>
      </c>
      <c r="E62" t="str">
        <v/>
      </c>
      <c r="F62" t="str">
        <v>867806075079972</v>
      </c>
      <c r="G62" t="str">
        <v>TBD</v>
      </c>
      <c r="H62" t="str">
        <v/>
      </c>
      <c r="I62" t="str">
        <v>28/09/2026</v>
      </c>
      <c r="J62" t="str">
        <v>08:59:45</v>
      </c>
      <c r="K62">
        <v>-12.21073</v>
      </c>
      <c r="L62">
        <v>-76.95485</v>
      </c>
      <c r="M62">
        <f>HYPERLINK("https://www.google.com/maps/search/?api=1&amp;query=-12.21073,-76.95485","Villa El Salvador, Lima")</f>
      </c>
      <c r="N62">
        <v>0</v>
      </c>
      <c r="O62">
        <v>100</v>
      </c>
      <c r="P62">
        <v>240496</v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F8P-915</v>
      </c>
      <c r="D63" t="str">
        <v>F8P-915</v>
      </c>
      <c r="E63" t="str">
        <v/>
      </c>
      <c r="F63" t="str">
        <v>867806075079972</v>
      </c>
      <c r="G63" t="str">
        <v>TBD</v>
      </c>
      <c r="H63" t="str">
        <v/>
      </c>
      <c r="I63" t="str">
        <v>28/09/2026</v>
      </c>
      <c r="J63" t="str">
        <v>08:59:52</v>
      </c>
      <c r="K63">
        <v>-12.210673</v>
      </c>
      <c r="L63">
        <v>-76.95489</v>
      </c>
      <c r="M63">
        <f>HYPERLINK("https://www.google.com/maps/search/?api=1&amp;query=-12.210673,-76.95489","Avenida Villa del Mar, Villa El Salvador, Lima")</f>
      </c>
      <c r="N63">
        <v>5.9</v>
      </c>
      <c r="O63">
        <v>100</v>
      </c>
      <c r="P63">
        <v>240496</v>
      </c>
      <c r="Q63" t="str">
        <v/>
      </c>
      <c r="R63" t="str">
        <v>Se movio</v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F8P-915</v>
      </c>
      <c r="D64" t="str">
        <v>F8P-915</v>
      </c>
      <c r="E64" t="str">
        <v/>
      </c>
      <c r="F64" t="str">
        <v>867806075079972</v>
      </c>
      <c r="G64" t="str">
        <v>TBD</v>
      </c>
      <c r="H64" t="str">
        <v/>
      </c>
      <c r="I64" t="str">
        <v>28/09/2026</v>
      </c>
      <c r="J64" t="str">
        <v>09:09:45</v>
      </c>
      <c r="K64">
        <v>-12.238038</v>
      </c>
      <c r="L64">
        <v>-76.92879</v>
      </c>
      <c r="M64">
        <f>HYPERLINK("https://www.google.com/maps/search/?api=1&amp;query=-12.238038,-76.92879","Avenida Prolongación Mariano Pastor Sevilla, Villa El Salvador, Lima")</f>
      </c>
      <c r="N64">
        <v>43.5</v>
      </c>
      <c r="O64">
        <v>100</v>
      </c>
      <c r="P64">
        <v>240496</v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F8P-915</v>
      </c>
      <c r="D65" t="str">
        <v>F8P-915</v>
      </c>
      <c r="E65" t="str">
        <v/>
      </c>
      <c r="F65" t="str">
        <v>867806075079972</v>
      </c>
      <c r="G65" t="str">
        <v>TBD</v>
      </c>
      <c r="H65" t="str">
        <v/>
      </c>
      <c r="I65" t="str">
        <v>28/09/2026</v>
      </c>
      <c r="J65" t="str">
        <v>09:19:45</v>
      </c>
      <c r="K65">
        <v>-12.232277</v>
      </c>
      <c r="L65">
        <v>-76.912094</v>
      </c>
      <c r="M65">
        <f>HYPERLINK("https://www.google.com/maps/search/?api=1&amp;query=-12.232277,-76.912094","Calle 10, Villa El Salvador, Lima")</f>
      </c>
      <c r="N65">
        <v>0</v>
      </c>
      <c r="O65">
        <v>100</v>
      </c>
      <c r="P65">
        <v>240496</v>
      </c>
      <c r="Q65" t="str">
        <v/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F8P-915</v>
      </c>
      <c r="D66" t="str">
        <v>F8P-915</v>
      </c>
      <c r="E66" t="str">
        <v/>
      </c>
      <c r="F66" t="str">
        <v>867806075079972</v>
      </c>
      <c r="G66" t="str">
        <v>TBD</v>
      </c>
      <c r="H66" t="str">
        <v/>
      </c>
      <c r="I66" t="str">
        <v>28/09/2026</v>
      </c>
      <c r="J66" t="str">
        <v>09:20:29</v>
      </c>
      <c r="K66">
        <v>-12.232277</v>
      </c>
      <c r="L66">
        <v>-76.912094</v>
      </c>
      <c r="M66">
        <f>HYPERLINK("https://www.google.com/maps/search/?api=1&amp;query=-12.232277,-76.912094","Calle 10, Villa El Salvador, Lima")</f>
      </c>
      <c r="N66">
        <v>0</v>
      </c>
      <c r="O66">
        <v>100</v>
      </c>
      <c r="P66">
        <v>240496</v>
      </c>
      <c r="Q66" t="str">
        <v/>
      </c>
      <c r="R66" t="str">
        <v>Inicio de ralentí</v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F8P-915</v>
      </c>
      <c r="D67" t="str">
        <v>F8P-915</v>
      </c>
      <c r="E67" t="str">
        <v/>
      </c>
      <c r="F67" t="str">
        <v>867806075079972</v>
      </c>
      <c r="G67" t="str">
        <v>TBD</v>
      </c>
      <c r="H67" t="str">
        <v/>
      </c>
      <c r="I67" t="str">
        <v>28/09/2026</v>
      </c>
      <c r="J67" t="str">
        <v>09:24:50</v>
      </c>
      <c r="K67">
        <v>-12.232255</v>
      </c>
      <c r="L67">
        <v>-76.912125</v>
      </c>
      <c r="M67">
        <f>HYPERLINK("https://www.google.com/maps/search/?api=1&amp;query=-12.232255,-76.912125","Calle 10, Villa El Salvador, Lima")</f>
      </c>
      <c r="N67">
        <v>0</v>
      </c>
      <c r="O67">
        <v>100</v>
      </c>
      <c r="P67">
        <v>240496</v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F8P-915</v>
      </c>
      <c r="D68" t="str">
        <v>F8P-915</v>
      </c>
      <c r="E68" t="str">
        <v/>
      </c>
      <c r="F68" t="str">
        <v>867806075079972</v>
      </c>
      <c r="G68" t="str">
        <v>TBD</v>
      </c>
      <c r="H68" t="str">
        <v/>
      </c>
      <c r="I68" t="str">
        <v>28/09/2026</v>
      </c>
      <c r="J68" t="str">
        <v>09:24:50</v>
      </c>
      <c r="K68">
        <v>-12.232255</v>
      </c>
      <c r="L68">
        <v>-76.912125</v>
      </c>
      <c r="M68">
        <f>HYPERLINK("https://www.google.com/maps/search/?api=1&amp;query=-12.232255,-76.912125","Calle 10, Villa El Salvador, Lima")</f>
      </c>
      <c r="N68">
        <v>0</v>
      </c>
      <c r="O68">
        <v>100</v>
      </c>
      <c r="P68">
        <v>240496</v>
      </c>
      <c r="Q68" t="str">
        <v/>
      </c>
      <c r="R68" t="str">
        <v>Fin de ralentí</v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F8P-915</v>
      </c>
      <c r="D69" t="str">
        <v>F8P-915</v>
      </c>
      <c r="E69" t="str">
        <v/>
      </c>
      <c r="F69" t="str">
        <v>867806075079972</v>
      </c>
      <c r="G69" t="str">
        <v>TBD</v>
      </c>
      <c r="H69" t="str">
        <v/>
      </c>
      <c r="I69" t="str">
        <v>28/09/2026</v>
      </c>
      <c r="J69" t="str">
        <v>09:29:45</v>
      </c>
      <c r="K69">
        <v>-12.232255</v>
      </c>
      <c r="L69">
        <v>-76.912125</v>
      </c>
      <c r="M69">
        <f>HYPERLINK("https://www.google.com/maps/search/?api=1&amp;query=-12.232255,-76.912125","Calle 10, Villa El Salvador, Lima")</f>
      </c>
      <c r="N69">
        <v>0</v>
      </c>
      <c r="O69">
        <v>100</v>
      </c>
      <c r="P69">
        <v>240496</v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F8P-915</v>
      </c>
      <c r="D70" t="str">
        <v>F8P-915</v>
      </c>
      <c r="E70" t="str">
        <v/>
      </c>
      <c r="F70" t="str">
        <v>867806075079972</v>
      </c>
      <c r="G70" t="str">
        <v>TBD</v>
      </c>
      <c r="H70" t="str">
        <v/>
      </c>
      <c r="I70" t="str">
        <v>28/09/2026</v>
      </c>
      <c r="J70" t="str">
        <v>09:39:45</v>
      </c>
      <c r="K70">
        <v>-12.232255</v>
      </c>
      <c r="L70">
        <v>-76.912125</v>
      </c>
      <c r="M70">
        <f>HYPERLINK("https://www.google.com/maps/search/?api=1&amp;query=-12.232255,-76.912125","Calle 10, Villa El Salvador, Lima")</f>
      </c>
      <c r="N70">
        <v>0</v>
      </c>
      <c r="O70">
        <v>100</v>
      </c>
      <c r="P70">
        <v>240496</v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F8P-915</v>
      </c>
      <c r="D71" t="str">
        <v>F8P-915</v>
      </c>
      <c r="E71" t="str">
        <v/>
      </c>
      <c r="F71" t="str">
        <v>867806075079972</v>
      </c>
      <c r="G71" t="str">
        <v>TBD</v>
      </c>
      <c r="H71" t="str">
        <v/>
      </c>
      <c r="I71" t="str">
        <v>28/09/2026</v>
      </c>
      <c r="J71" t="str">
        <v>09:49:45</v>
      </c>
      <c r="K71">
        <v>-12.232255</v>
      </c>
      <c r="L71">
        <v>-76.912125</v>
      </c>
      <c r="M71">
        <f>HYPERLINK("https://www.google.com/maps/search/?api=1&amp;query=-12.232255,-76.912125","Calle 10, Villa El Salvador, Lima")</f>
      </c>
      <c r="N71">
        <v>0</v>
      </c>
      <c r="O71">
        <v>96</v>
      </c>
      <c r="P71">
        <v>240496</v>
      </c>
      <c r="Q71" t="str">
        <v/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F8P-915</v>
      </c>
      <c r="D72" t="str">
        <v>F8P-915</v>
      </c>
      <c r="E72" t="str">
        <v/>
      </c>
      <c r="F72" t="str">
        <v>867806075079972</v>
      </c>
      <c r="G72" t="str">
        <v>TBD</v>
      </c>
      <c r="H72" t="str">
        <v/>
      </c>
      <c r="I72" t="str">
        <v>28/09/2026</v>
      </c>
      <c r="J72" t="str">
        <v>09:59:45</v>
      </c>
      <c r="K72">
        <v>-12.232255</v>
      </c>
      <c r="L72">
        <v>-76.912125</v>
      </c>
      <c r="M72">
        <f>HYPERLINK("https://www.google.com/maps/search/?api=1&amp;query=-12.232255,-76.912125","Calle 10, Villa El Salvador, Lima")</f>
      </c>
      <c r="N72">
        <v>0</v>
      </c>
      <c r="O72">
        <v>95</v>
      </c>
      <c r="P72">
        <v>240496</v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F8P-915</v>
      </c>
      <c r="D73" t="str">
        <v>F8P-915</v>
      </c>
      <c r="E73" t="str">
        <v/>
      </c>
      <c r="F73" t="str">
        <v>867806075079972</v>
      </c>
      <c r="G73" t="str">
        <v>TBD</v>
      </c>
      <c r="H73" t="str">
        <v/>
      </c>
      <c r="I73" t="str">
        <v>28/09/2026</v>
      </c>
      <c r="J73" t="str">
        <v>10:09:45</v>
      </c>
      <c r="K73">
        <v>-12.232255</v>
      </c>
      <c r="L73">
        <v>-76.912125</v>
      </c>
      <c r="M73">
        <f>HYPERLINK("https://www.google.com/maps/search/?api=1&amp;query=-12.232255,-76.912125","Calle 10, Villa El Salvador, Lima")</f>
      </c>
      <c r="N73">
        <v>0</v>
      </c>
      <c r="O73">
        <v>100</v>
      </c>
      <c r="P73">
        <v>240496</v>
      </c>
      <c r="Q73" t="str">
        <v/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F8P-915</v>
      </c>
      <c r="D74" t="str">
        <v>F8P-915</v>
      </c>
      <c r="E74" t="str">
        <v/>
      </c>
      <c r="F74" t="str">
        <v>867806075079972</v>
      </c>
      <c r="G74" t="str">
        <v>TBD</v>
      </c>
      <c r="H74" t="str">
        <v/>
      </c>
      <c r="I74" t="str">
        <v>28/09/2026</v>
      </c>
      <c r="J74" t="str">
        <v>10:19:45</v>
      </c>
      <c r="K74">
        <v>-12.232255</v>
      </c>
      <c r="L74">
        <v>-76.912125</v>
      </c>
      <c r="M74">
        <f>HYPERLINK("https://www.google.com/maps/search/?api=1&amp;query=-12.232255,-76.912125","Calle 10, Villa El Salvador, Lima")</f>
      </c>
      <c r="N74">
        <v>0</v>
      </c>
      <c r="O74">
        <v>100</v>
      </c>
      <c r="P74">
        <v>240496</v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F8P-915</v>
      </c>
      <c r="D75" t="str">
        <v>F8P-915</v>
      </c>
      <c r="E75" t="str">
        <v/>
      </c>
      <c r="F75" t="str">
        <v>867806075079972</v>
      </c>
      <c r="G75" t="str">
        <v>TBD</v>
      </c>
      <c r="H75" t="str">
        <v/>
      </c>
      <c r="I75" t="str">
        <v>28/09/2026</v>
      </c>
      <c r="J75" t="str">
        <v>10:29:45</v>
      </c>
      <c r="K75">
        <v>-12.232255</v>
      </c>
      <c r="L75">
        <v>-76.912125</v>
      </c>
      <c r="M75">
        <f>HYPERLINK("https://www.google.com/maps/search/?api=1&amp;query=-12.232255,-76.912125","Calle 10, Villa El Salvador, Lima")</f>
      </c>
      <c r="N75">
        <v>0</v>
      </c>
      <c r="O75">
        <v>100</v>
      </c>
      <c r="P75">
        <v>240496</v>
      </c>
      <c r="Q75" t="str">
        <v/>
      </c>
      <c r="R75" t="str">
        <v/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F8P-915</v>
      </c>
      <c r="D76" t="str">
        <v>F8P-915</v>
      </c>
      <c r="E76" t="str">
        <v/>
      </c>
      <c r="F76" t="str">
        <v>867806075079972</v>
      </c>
      <c r="G76" t="str">
        <v>TBD</v>
      </c>
      <c r="H76" t="str">
        <v/>
      </c>
      <c r="I76" t="str">
        <v>28/09/2026</v>
      </c>
      <c r="J76" t="str">
        <v>10:39:45</v>
      </c>
      <c r="K76">
        <v>-12.232255</v>
      </c>
      <c r="L76">
        <v>-76.912125</v>
      </c>
      <c r="M76">
        <f>HYPERLINK("https://www.google.com/maps/search/?api=1&amp;query=-12.232255,-76.912125","Calle 10, Villa El Salvador, Lima")</f>
      </c>
      <c r="N76">
        <v>0</v>
      </c>
      <c r="O76">
        <v>100</v>
      </c>
      <c r="P76">
        <v>240496</v>
      </c>
      <c r="Q76" t="str">
        <v/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F8P-915</v>
      </c>
      <c r="D77" t="str">
        <v>F8P-915</v>
      </c>
      <c r="E77" t="str">
        <v/>
      </c>
      <c r="F77" t="str">
        <v>867806075079972</v>
      </c>
      <c r="G77" t="str">
        <v>TBD</v>
      </c>
      <c r="H77" t="str">
        <v/>
      </c>
      <c r="I77" t="str">
        <v>28/09/2026</v>
      </c>
      <c r="J77" t="str">
        <v>10:49:45</v>
      </c>
      <c r="K77">
        <v>-12.232255</v>
      </c>
      <c r="L77">
        <v>-76.912125</v>
      </c>
      <c r="M77">
        <f>HYPERLINK("https://www.google.com/maps/search/?api=1&amp;query=-12.232255,-76.912125","Calle 10, Villa El Salvador, Lima")</f>
      </c>
      <c r="N77">
        <v>0</v>
      </c>
      <c r="O77">
        <v>100</v>
      </c>
      <c r="P77">
        <v>240496</v>
      </c>
      <c r="Q77" t="str">
        <v/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F8P-915</v>
      </c>
      <c r="D78" t="str">
        <v>F8P-915</v>
      </c>
      <c r="E78" t="str">
        <v/>
      </c>
      <c r="F78" t="str">
        <v>867806075079972</v>
      </c>
      <c r="G78" t="str">
        <v>TBD</v>
      </c>
      <c r="H78" t="str">
        <v/>
      </c>
      <c r="I78" t="str">
        <v>28/09/2026</v>
      </c>
      <c r="J78" t="str">
        <v>10:59:45</v>
      </c>
      <c r="K78">
        <v>-12.232255</v>
      </c>
      <c r="L78">
        <v>-76.912125</v>
      </c>
      <c r="M78">
        <f>HYPERLINK("https://www.google.com/maps/search/?api=1&amp;query=-12.232255,-76.912125","Calle 10, Villa El Salvador, Lima")</f>
      </c>
      <c r="N78">
        <v>0</v>
      </c>
      <c r="O78">
        <v>100</v>
      </c>
      <c r="P78">
        <v>240496</v>
      </c>
      <c r="Q78" t="str">
        <v/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F8P-915</v>
      </c>
      <c r="D79" t="str">
        <v>F8P-915</v>
      </c>
      <c r="E79" t="str">
        <v/>
      </c>
      <c r="F79" t="str">
        <v>867806075079972</v>
      </c>
      <c r="G79" t="str">
        <v>TBD</v>
      </c>
      <c r="H79" t="str">
        <v/>
      </c>
      <c r="I79" t="str">
        <v>28/09/2026</v>
      </c>
      <c r="J79" t="str">
        <v>11:09:45</v>
      </c>
      <c r="K79">
        <v>-12.232255</v>
      </c>
      <c r="L79">
        <v>-76.912125</v>
      </c>
      <c r="M79">
        <f>HYPERLINK("https://www.google.com/maps/search/?api=1&amp;query=-12.232255,-76.912125","Calle 10, Villa El Salvador, Lima")</f>
      </c>
      <c r="N79">
        <v>0</v>
      </c>
      <c r="O79">
        <v>100</v>
      </c>
      <c r="P79">
        <v>240496</v>
      </c>
      <c r="Q79" t="str">
        <v/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F8P-915</v>
      </c>
      <c r="D80" t="str">
        <v>F8P-915</v>
      </c>
      <c r="E80" t="str">
        <v/>
      </c>
      <c r="F80" t="str">
        <v>867806075079972</v>
      </c>
      <c r="G80" t="str">
        <v>TBD</v>
      </c>
      <c r="H80" t="str">
        <v/>
      </c>
      <c r="I80" t="str">
        <v>28/09/2026</v>
      </c>
      <c r="J80" t="str">
        <v>11:19:45</v>
      </c>
      <c r="K80">
        <v>-12.232255</v>
      </c>
      <c r="L80">
        <v>-76.912125</v>
      </c>
      <c r="M80">
        <f>HYPERLINK("https://www.google.com/maps/search/?api=1&amp;query=-12.232255,-76.912125","Calle 10, Villa El Salvador, Lima")</f>
      </c>
      <c r="N80">
        <v>0</v>
      </c>
      <c r="O80">
        <v>100</v>
      </c>
      <c r="P80">
        <v>240496</v>
      </c>
      <c r="Q80" t="str">
        <v/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F8P-915</v>
      </c>
      <c r="D81" t="str">
        <v>F8P-915</v>
      </c>
      <c r="E81" t="str">
        <v/>
      </c>
      <c r="F81" t="str">
        <v>867806075079972</v>
      </c>
      <c r="G81" t="str">
        <v>TBD</v>
      </c>
      <c r="H81" t="str">
        <v/>
      </c>
      <c r="I81" t="str">
        <v>28/09/2026</v>
      </c>
      <c r="J81" t="str">
        <v>11:29:45</v>
      </c>
      <c r="K81">
        <v>-12.232255</v>
      </c>
      <c r="L81">
        <v>-76.912125</v>
      </c>
      <c r="M81">
        <f>HYPERLINK("https://www.google.com/maps/search/?api=1&amp;query=-12.232255,-76.912125","Calle 10, Villa El Salvador, Lima")</f>
      </c>
      <c r="N81">
        <v>0</v>
      </c>
      <c r="O81">
        <v>100</v>
      </c>
      <c r="P81">
        <v>240496</v>
      </c>
      <c r="Q81" t="str">
        <v/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F8P-915</v>
      </c>
      <c r="D82" t="str">
        <v>F8P-915</v>
      </c>
      <c r="E82" t="str">
        <v/>
      </c>
      <c r="F82" t="str">
        <v>867806075079972</v>
      </c>
      <c r="G82" t="str">
        <v>TBD</v>
      </c>
      <c r="H82" t="str">
        <v/>
      </c>
      <c r="I82" t="str">
        <v>28/09/2026</v>
      </c>
      <c r="J82" t="str">
        <v>11:39:45</v>
      </c>
      <c r="K82">
        <v>-12.232255</v>
      </c>
      <c r="L82">
        <v>-76.912125</v>
      </c>
      <c r="M82">
        <f>HYPERLINK("https://www.google.com/maps/search/?api=1&amp;query=-12.232255,-76.912125","Calle 10, Villa El Salvador, Lima")</f>
      </c>
      <c r="N82">
        <v>0</v>
      </c>
      <c r="O82">
        <v>100</v>
      </c>
      <c r="P82">
        <v>240496</v>
      </c>
      <c r="Q82" t="str">
        <v/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F8P-915</v>
      </c>
      <c r="D83" t="str">
        <v>F8P-915</v>
      </c>
      <c r="E83" t="str">
        <v/>
      </c>
      <c r="F83" t="str">
        <v>867806075079972</v>
      </c>
      <c r="G83" t="str">
        <v>TBD</v>
      </c>
      <c r="H83" t="str">
        <v/>
      </c>
      <c r="I83" t="str">
        <v>28/09/2026</v>
      </c>
      <c r="J83" t="str">
        <v>11:49:45</v>
      </c>
      <c r="K83">
        <v>-12.232255</v>
      </c>
      <c r="L83">
        <v>-76.912125</v>
      </c>
      <c r="M83">
        <f>HYPERLINK("https://www.google.com/maps/search/?api=1&amp;query=-12.232255,-76.912125","Calle 10, Villa El Salvador, Lima")</f>
      </c>
      <c r="N83">
        <v>0</v>
      </c>
      <c r="O83">
        <v>100</v>
      </c>
      <c r="P83">
        <v>240496</v>
      </c>
      <c r="Q83" t="str">
        <v/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F8P-915</v>
      </c>
      <c r="D84" t="str">
        <v>F8P-915</v>
      </c>
      <c r="E84" t="str">
        <v/>
      </c>
      <c r="F84" t="str">
        <v>867806075079972</v>
      </c>
      <c r="G84" t="str">
        <v>TBD</v>
      </c>
      <c r="H84" t="str">
        <v/>
      </c>
      <c r="I84" t="str">
        <v>28/09/2026</v>
      </c>
      <c r="J84" t="str">
        <v>11:59:45</v>
      </c>
      <c r="K84">
        <v>-12.232255</v>
      </c>
      <c r="L84">
        <v>-76.912125</v>
      </c>
      <c r="M84">
        <f>HYPERLINK("https://www.google.com/maps/search/?api=1&amp;query=-12.232255,-76.912125","Calle 10, Villa El Salvador, Lima")</f>
      </c>
      <c r="N84">
        <v>0</v>
      </c>
      <c r="O84">
        <v>100</v>
      </c>
      <c r="P84">
        <v>240496</v>
      </c>
      <c r="Q84" t="str">
        <v/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F8P-915</v>
      </c>
      <c r="D85" t="str">
        <v>F8P-915</v>
      </c>
      <c r="E85" t="str">
        <v/>
      </c>
      <c r="F85" t="str">
        <v>867806075079972</v>
      </c>
      <c r="G85" t="str">
        <v>TBD</v>
      </c>
      <c r="H85" t="str">
        <v/>
      </c>
      <c r="I85" t="str">
        <v>28/09/2026</v>
      </c>
      <c r="J85" t="str">
        <v>12:09:45</v>
      </c>
      <c r="K85">
        <v>-12.232255</v>
      </c>
      <c r="L85">
        <v>-76.912125</v>
      </c>
      <c r="M85">
        <f>HYPERLINK("https://www.google.com/maps/search/?api=1&amp;query=-12.232255,-76.912125","Calle 10, Villa El Salvador, Lima")</f>
      </c>
      <c r="N85">
        <v>0</v>
      </c>
      <c r="O85">
        <v>100</v>
      </c>
      <c r="P85">
        <v>240496</v>
      </c>
      <c r="Q85" t="str">
        <v/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F8P-915</v>
      </c>
      <c r="D86" t="str">
        <v>F8P-915</v>
      </c>
      <c r="E86" t="str">
        <v/>
      </c>
      <c r="F86" t="str">
        <v>867806075079972</v>
      </c>
      <c r="G86" t="str">
        <v>TBD</v>
      </c>
      <c r="H86" t="str">
        <v/>
      </c>
      <c r="I86" t="str">
        <v>28/09/2026</v>
      </c>
      <c r="J86" t="str">
        <v>12:17:35</v>
      </c>
      <c r="K86">
        <v>-12.232255</v>
      </c>
      <c r="L86">
        <v>-76.912125</v>
      </c>
      <c r="M86">
        <f>HYPERLINK("https://www.google.com/maps/search/?api=1&amp;query=-12.232255,-76.912125","Calle 10, Villa El Salvador, Lima")</f>
      </c>
      <c r="N86">
        <v>0</v>
      </c>
      <c r="O86">
        <v>100</v>
      </c>
      <c r="P86">
        <v>240496</v>
      </c>
      <c r="Q86" t="str">
        <v/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F8P-915</v>
      </c>
      <c r="D87" t="str">
        <v>F8P-915</v>
      </c>
      <c r="E87" t="str">
        <v/>
      </c>
      <c r="F87" t="str">
        <v>867806075079972</v>
      </c>
      <c r="G87" t="str">
        <v>TBD</v>
      </c>
      <c r="H87" t="str">
        <v/>
      </c>
      <c r="I87" t="str">
        <v>28/09/2026</v>
      </c>
      <c r="J87" t="str">
        <v>12:19:45</v>
      </c>
      <c r="K87">
        <v>-12.232308</v>
      </c>
      <c r="L87">
        <v>-76.91204</v>
      </c>
      <c r="M87">
        <f>HYPERLINK("https://www.google.com/maps/search/?api=1&amp;query=-12.232308,-76.91204","Calle 10, Villa El Salvador, Lima")</f>
      </c>
      <c r="N87">
        <v>0</v>
      </c>
      <c r="O87">
        <v>100</v>
      </c>
      <c r="P87">
        <v>240496</v>
      </c>
      <c r="Q87" t="str">
        <v/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F8P-915</v>
      </c>
      <c r="D88" t="str">
        <v>F8P-915</v>
      </c>
      <c r="E88" t="str">
        <v/>
      </c>
      <c r="F88" t="str">
        <v>867806075079972</v>
      </c>
      <c r="G88" t="str">
        <v>TBD</v>
      </c>
      <c r="H88" t="str">
        <v/>
      </c>
      <c r="I88" t="str">
        <v>28/09/2026</v>
      </c>
      <c r="J88" t="str">
        <v>12:20:35</v>
      </c>
      <c r="K88">
        <v>-12.23232</v>
      </c>
      <c r="L88">
        <v>-76.91196</v>
      </c>
      <c r="M88">
        <f>HYPERLINK("https://www.google.com/maps/search/?api=1&amp;query=-12.23232,-76.91196","Calle 10, Villa El Salvador, Lima")</f>
      </c>
      <c r="N88">
        <v>0</v>
      </c>
      <c r="O88">
        <v>100</v>
      </c>
      <c r="P88">
        <v>240496</v>
      </c>
      <c r="Q88" t="str">
        <v/>
      </c>
      <c r="R88" t="str">
        <v>Inicio de ralentí</v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F8P-915</v>
      </c>
      <c r="D89" t="str">
        <v>F8P-915</v>
      </c>
      <c r="E89" t="str">
        <v/>
      </c>
      <c r="F89" t="str">
        <v>867806075079972</v>
      </c>
      <c r="G89" t="str">
        <v>TBD</v>
      </c>
      <c r="H89" t="str">
        <v/>
      </c>
      <c r="I89" t="str">
        <v>28/09/2026</v>
      </c>
      <c r="J89" t="str">
        <v>12:20:51</v>
      </c>
      <c r="K89">
        <v>-12.232351</v>
      </c>
      <c r="L89">
        <v>-76.91199</v>
      </c>
      <c r="M89">
        <f>HYPERLINK("https://www.google.com/maps/search/?api=1&amp;query=-12.232351,-76.91199","Calle 10, Villa El Salvador, Lima")</f>
      </c>
      <c r="N89">
        <v>6.8</v>
      </c>
      <c r="O89">
        <v>100</v>
      </c>
      <c r="P89">
        <v>240496</v>
      </c>
      <c r="Q89" t="str">
        <v/>
      </c>
      <c r="R89" t="str">
        <v>Fin de ralentí</v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F8P-915</v>
      </c>
      <c r="D90" t="str">
        <v>F8P-915</v>
      </c>
      <c r="E90" t="str">
        <v/>
      </c>
      <c r="F90" t="str">
        <v>867806075079972</v>
      </c>
      <c r="G90" t="str">
        <v>TBD</v>
      </c>
      <c r="H90" t="str">
        <v/>
      </c>
      <c r="I90" t="str">
        <v>28/09/2026</v>
      </c>
      <c r="J90" t="str">
        <v>12:21:04</v>
      </c>
      <c r="K90">
        <v>-12.232788</v>
      </c>
      <c r="L90">
        <v>-76.91217</v>
      </c>
      <c r="M90">
        <f>HYPERLINK("https://www.google.com/maps/search/?api=1&amp;query=-12.232788,-76.91217","Calle B, Villa El Salvador, Lima")</f>
      </c>
      <c r="N90">
        <v>17.7</v>
      </c>
      <c r="O90">
        <v>100</v>
      </c>
      <c r="P90">
        <v>240496</v>
      </c>
      <c r="Q90" t="str">
        <v/>
      </c>
      <c r="R90" t="str">
        <v>Se movio</v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F8P-915</v>
      </c>
      <c r="D91" t="str">
        <v>F8P-915</v>
      </c>
      <c r="E91" t="str">
        <v/>
      </c>
      <c r="F91" t="str">
        <v>867806075079972</v>
      </c>
      <c r="G91" t="str">
        <v>TBD</v>
      </c>
      <c r="H91" t="str">
        <v/>
      </c>
      <c r="I91" t="str">
        <v>28/09/2026</v>
      </c>
      <c r="J91" t="str">
        <v>12:29:45</v>
      </c>
      <c r="K91">
        <v>-12.254746</v>
      </c>
      <c r="L91">
        <v>-76.91584</v>
      </c>
      <c r="M91">
        <f>HYPERLINK("https://www.google.com/maps/search/?api=1&amp;query=-12.254746,-76.91584","Antigua Panamericana Sur, Lurín, Lima")</f>
      </c>
      <c r="N91">
        <v>25.5</v>
      </c>
      <c r="O91">
        <v>100</v>
      </c>
      <c r="P91">
        <v>240496</v>
      </c>
      <c r="Q91" t="str">
        <v/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F8P-915</v>
      </c>
      <c r="D92" t="str">
        <v>F8P-915</v>
      </c>
      <c r="E92" t="str">
        <v/>
      </c>
      <c r="F92" t="str">
        <v>867806075079972</v>
      </c>
      <c r="G92" t="str">
        <v>TBD</v>
      </c>
      <c r="H92" t="str">
        <v/>
      </c>
      <c r="I92" t="str">
        <v>28/09/2026</v>
      </c>
      <c r="J92" t="str">
        <v>12:39:45</v>
      </c>
      <c r="K92">
        <v>-12.291674</v>
      </c>
      <c r="L92">
        <v>-76.86513</v>
      </c>
      <c r="M92">
        <f>HYPERLINK("https://www.google.com/maps/search/?api=1&amp;query=-12.291674,-76.86513","Carretera Panamericana Sur, Lurín, Lima")</f>
      </c>
      <c r="N92">
        <v>61.1</v>
      </c>
      <c r="O92">
        <v>100</v>
      </c>
      <c r="P92">
        <v>240496</v>
      </c>
      <c r="Q92" t="str">
        <v/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F8P-915</v>
      </c>
      <c r="D93" t="str">
        <v>F8P-915</v>
      </c>
      <c r="E93" t="str">
        <v/>
      </c>
      <c r="F93" t="str">
        <v>867806075079972</v>
      </c>
      <c r="G93" t="str">
        <v>TBD</v>
      </c>
      <c r="H93" t="str">
        <v/>
      </c>
      <c r="I93" t="str">
        <v>28/09/2026</v>
      </c>
      <c r="J93" t="str">
        <v>12:41:00</v>
      </c>
      <c r="K93">
        <v>-12.291674</v>
      </c>
      <c r="L93">
        <v>-76.86513</v>
      </c>
      <c r="M93">
        <f>HYPERLINK("https://www.google.com/maps/search/?api=1&amp;query=-12.291674,-76.86513","Carretera Panamericana Sur, Lurín, Lima")</f>
      </c>
      <c r="N93">
        <v>61.1</v>
      </c>
      <c r="O93">
        <v>96</v>
      </c>
      <c r="P93">
        <v>240496</v>
      </c>
      <c r="Q93" t="str">
        <v/>
      </c>
      <c r="R93" t="str">
        <v>Encendido o Entró en cobertura</v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F8P-915</v>
      </c>
      <c r="D94" t="str">
        <v>F8P-915</v>
      </c>
      <c r="E94" t="str">
        <v/>
      </c>
      <c r="F94" t="str">
        <v>867806075079972</v>
      </c>
      <c r="G94" t="str">
        <v>TBD</v>
      </c>
      <c r="H94" t="str">
        <v/>
      </c>
      <c r="I94" t="str">
        <v>28/09/2026</v>
      </c>
      <c r="J94" t="str">
        <v>12:45:21</v>
      </c>
      <c r="K94">
        <v>-12.325127</v>
      </c>
      <c r="L94">
        <v>-76.82554</v>
      </c>
      <c r="M94">
        <f>HYPERLINK("https://www.google.com/maps/search/?api=1&amp;query=-12.325127,-76.82554","Carretera Panamericana Sur, Punta Hermosa, Lima")</f>
      </c>
      <c r="N94">
        <v>65.1</v>
      </c>
      <c r="O94">
        <v>96</v>
      </c>
      <c r="P94">
        <v>240496</v>
      </c>
      <c r="Q94" t="str">
        <v/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F8P-915</v>
      </c>
      <c r="D95" t="str">
        <v>F8P-915</v>
      </c>
      <c r="E95" t="str">
        <v/>
      </c>
      <c r="F95" t="str">
        <v>867806075079972</v>
      </c>
      <c r="G95" t="str">
        <v>TBD</v>
      </c>
      <c r="H95" t="str">
        <v/>
      </c>
      <c r="I95" t="str">
        <v>28/09/2026</v>
      </c>
      <c r="J95" t="str">
        <v>12:55:21</v>
      </c>
      <c r="K95">
        <v>-12.316707</v>
      </c>
      <c r="L95">
        <v>-76.825066</v>
      </c>
      <c r="M95">
        <f>HYPERLINK("https://www.google.com/maps/search/?api=1&amp;query=-12.316707,-76.825066","Punta Hermosa, Lima")</f>
      </c>
      <c r="N95">
        <v>12.7</v>
      </c>
      <c r="O95">
        <v>92</v>
      </c>
      <c r="P95">
        <v>240496</v>
      </c>
      <c r="Q95" t="str">
        <v/>
      </c>
      <c r="R95" t="str">
        <v>Llegó a la zona</v>
      </c>
      <c r="S95" t="str">
        <v>MASS BSF 1</v>
      </c>
      <c r="T95" t="str">
        <v xml:space="preserve"> </v>
      </c>
      <c r="U95" t="str">
        <v/>
      </c>
    </row>
    <row r="96">
      <c r="A96" t="str">
        <v>95</v>
      </c>
      <c r="B96" t="str">
        <v>MASS BSF</v>
      </c>
      <c r="C96" t="str">
        <v>F8P-915</v>
      </c>
      <c r="D96" t="str">
        <v>F8P-915</v>
      </c>
      <c r="E96" t="str">
        <v/>
      </c>
      <c r="F96" t="str">
        <v>867806075079972</v>
      </c>
      <c r="G96" t="str">
        <v>TBD</v>
      </c>
      <c r="H96" t="str">
        <v/>
      </c>
      <c r="I96" t="str">
        <v>28/09/2026</v>
      </c>
      <c r="J96" t="str">
        <v>12:55:21</v>
      </c>
      <c r="K96">
        <v>-12.316707</v>
      </c>
      <c r="L96">
        <v>-76.825066</v>
      </c>
      <c r="M96">
        <f>HYPERLINK("https://www.google.com/maps/search/?api=1&amp;query=-12.316707,-76.825066","Punta Hermosa, Lima")</f>
      </c>
      <c r="N96">
        <v>12.7</v>
      </c>
      <c r="O96">
        <v>100</v>
      </c>
      <c r="P96">
        <v>240496</v>
      </c>
      <c r="Q96" t="str">
        <v/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F8P-915</v>
      </c>
      <c r="D97" t="str">
        <v>F8P-915</v>
      </c>
      <c r="E97" t="str">
        <v/>
      </c>
      <c r="F97" t="str">
        <v>867806075079972</v>
      </c>
      <c r="G97" t="str">
        <v>TBD</v>
      </c>
      <c r="H97" t="str">
        <v/>
      </c>
      <c r="I97" t="str">
        <v>28/09/2026</v>
      </c>
      <c r="J97" t="str">
        <v>12:59:10</v>
      </c>
      <c r="K97">
        <v>-12.317779</v>
      </c>
      <c r="L97">
        <v>-76.82422</v>
      </c>
      <c r="M97">
        <f>HYPERLINK("https://www.google.com/maps/search/?api=1&amp;query=-12.317779,-76.82422","Punta Hermosa, Lima")</f>
      </c>
      <c r="N97">
        <v>0</v>
      </c>
      <c r="O97">
        <v>100</v>
      </c>
      <c r="P97">
        <v>240496</v>
      </c>
      <c r="Q97" t="str">
        <v/>
      </c>
      <c r="R97" t="str">
        <v>Inicio de ralentí</v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F8P-915</v>
      </c>
      <c r="D98" t="str">
        <v>F8P-915</v>
      </c>
      <c r="E98" t="str">
        <v/>
      </c>
      <c r="F98" t="str">
        <v>867806075079972</v>
      </c>
      <c r="G98" t="str">
        <v>TBD</v>
      </c>
      <c r="H98" t="str">
        <v/>
      </c>
      <c r="I98" t="str">
        <v>28/09/2026</v>
      </c>
      <c r="J98" t="str">
        <v>12:59:43</v>
      </c>
      <c r="K98">
        <v>-12.317801</v>
      </c>
      <c r="L98">
        <v>-76.82418</v>
      </c>
      <c r="M98">
        <f>HYPERLINK("https://www.google.com/maps/search/?api=1&amp;query=-12.317801,-76.82418","Punta Hermosa, Lima")</f>
      </c>
      <c r="N98">
        <v>6.2</v>
      </c>
      <c r="O98">
        <v>100</v>
      </c>
      <c r="P98">
        <v>240496</v>
      </c>
      <c r="Q98" t="str">
        <v/>
      </c>
      <c r="R98" t="str">
        <v>Fin de ralentí</v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F8P-915</v>
      </c>
      <c r="D99" t="str">
        <v>F8P-915</v>
      </c>
      <c r="E99" t="str">
        <v/>
      </c>
      <c r="F99" t="str">
        <v>867806075079972</v>
      </c>
      <c r="G99" t="str">
        <v>TBD</v>
      </c>
      <c r="H99" t="str">
        <v/>
      </c>
      <c r="I99" t="str">
        <v>28/09/2026</v>
      </c>
      <c r="J99" t="str">
        <v>13:03:50</v>
      </c>
      <c r="K99">
        <v>-12.31739</v>
      </c>
      <c r="L99">
        <v>-76.82292</v>
      </c>
      <c r="M99">
        <f>HYPERLINK("https://www.google.com/maps/search/?api=1&amp;query=-12.31739,-76.82292","Punta Hermosa, Lima")</f>
      </c>
      <c r="N99">
        <v>0</v>
      </c>
      <c r="O99">
        <v>100</v>
      </c>
      <c r="P99">
        <v>240496</v>
      </c>
      <c r="Q99" t="str">
        <v/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F8P-915</v>
      </c>
      <c r="D100" t="str">
        <v>F8P-915</v>
      </c>
      <c r="E100" t="str">
        <v/>
      </c>
      <c r="F100" t="str">
        <v>867806075079972</v>
      </c>
      <c r="G100" t="str">
        <v>TBD</v>
      </c>
      <c r="H100" t="str">
        <v/>
      </c>
      <c r="I100" t="str">
        <v>28/09/2026</v>
      </c>
      <c r="J100" t="str">
        <v>13:05:21</v>
      </c>
      <c r="K100">
        <v>-12.31739</v>
      </c>
      <c r="L100">
        <v>-76.82292</v>
      </c>
      <c r="M100">
        <f>HYPERLINK("https://www.google.com/maps/search/?api=1&amp;query=-12.31739,-76.82292","Punta Hermosa, Lima")</f>
      </c>
      <c r="N100">
        <v>0</v>
      </c>
      <c r="O100">
        <v>100</v>
      </c>
      <c r="P100">
        <v>240496</v>
      </c>
      <c r="Q100" t="str">
        <v/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F8P-915</v>
      </c>
      <c r="D101" t="str">
        <v>F8P-915</v>
      </c>
      <c r="E101" t="str">
        <v/>
      </c>
      <c r="F101" t="str">
        <v>867806075079972</v>
      </c>
      <c r="G101" t="str">
        <v>TBD</v>
      </c>
      <c r="H101" t="str">
        <v/>
      </c>
      <c r="I101" t="str">
        <v>28/09/2026</v>
      </c>
      <c r="J101" t="str">
        <v>13:15:21</v>
      </c>
      <c r="K101">
        <v>-12.31739</v>
      </c>
      <c r="L101">
        <v>-76.82292</v>
      </c>
      <c r="M101">
        <f>HYPERLINK("https://www.google.com/maps/search/?api=1&amp;query=-12.31739,-76.82292","Punta Hermosa, Lima")</f>
      </c>
      <c r="N101">
        <v>0</v>
      </c>
      <c r="O101">
        <v>96</v>
      </c>
      <c r="P101">
        <v>240496</v>
      </c>
      <c r="Q101" t="str">
        <v/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F8P-915</v>
      </c>
      <c r="D102" t="str">
        <v>F8P-915</v>
      </c>
      <c r="E102" t="str">
        <v/>
      </c>
      <c r="F102" t="str">
        <v>867806075079972</v>
      </c>
      <c r="G102" t="str">
        <v>TBD</v>
      </c>
      <c r="H102" t="str">
        <v/>
      </c>
      <c r="I102" t="str">
        <v>28/09/2026</v>
      </c>
      <c r="J102" t="str">
        <v>13:19:48</v>
      </c>
      <c r="K102">
        <v>-12.31739</v>
      </c>
      <c r="L102">
        <v>-76.82292</v>
      </c>
      <c r="M102">
        <f>HYPERLINK("https://www.google.com/maps/search/?api=1&amp;query=-12.31739,-76.82292","Punta Hermosa, Lima")</f>
      </c>
      <c r="N102">
        <v>0</v>
      </c>
      <c r="O102">
        <v>96</v>
      </c>
      <c r="P102">
        <v>240496</v>
      </c>
      <c r="Q102" t="str">
        <v/>
      </c>
      <c r="R102" t="str">
        <v>Se movio</v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F8P-915</v>
      </c>
      <c r="D103" t="str">
        <v>F8P-915</v>
      </c>
      <c r="E103" t="str">
        <v/>
      </c>
      <c r="F103" t="str">
        <v>867806075079972</v>
      </c>
      <c r="G103" t="str">
        <v>TBD</v>
      </c>
      <c r="H103" t="str">
        <v/>
      </c>
      <c r="I103" t="str">
        <v>28/09/2026</v>
      </c>
      <c r="J103" t="str">
        <v>13:19:50</v>
      </c>
      <c r="K103">
        <v>-12.317398</v>
      </c>
      <c r="L103">
        <v>-76.822945</v>
      </c>
      <c r="M103">
        <f>HYPERLINK("https://www.google.com/maps/search/?api=1&amp;query=-12.317398,-76.822945","Punta Hermosa, Lima")</f>
      </c>
      <c r="N103">
        <v>0</v>
      </c>
      <c r="O103">
        <v>96</v>
      </c>
      <c r="P103">
        <v>240496</v>
      </c>
      <c r="Q103" t="str">
        <v/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F8P-915</v>
      </c>
      <c r="D104" t="str">
        <v>F8P-915</v>
      </c>
      <c r="E104" t="str">
        <v/>
      </c>
      <c r="F104" t="str">
        <v>867806075079972</v>
      </c>
      <c r="G104" t="str">
        <v>TBD</v>
      </c>
      <c r="H104" t="str">
        <v/>
      </c>
      <c r="I104" t="str">
        <v>28/09/2026</v>
      </c>
      <c r="J104" t="str">
        <v>13:25:21</v>
      </c>
      <c r="K104">
        <v>-12.31772</v>
      </c>
      <c r="L104">
        <v>-76.82449</v>
      </c>
      <c r="M104">
        <f>HYPERLINK("https://www.google.com/maps/search/?api=1&amp;query=-12.31772,-76.82449","Punta Hermosa, Lima")</f>
      </c>
      <c r="N104">
        <v>0</v>
      </c>
      <c r="O104">
        <v>96</v>
      </c>
      <c r="P104">
        <v>240496</v>
      </c>
      <c r="Q104" t="str">
        <v/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F8P-915</v>
      </c>
      <c r="D105" t="str">
        <v>F8P-915</v>
      </c>
      <c r="E105" t="str">
        <v/>
      </c>
      <c r="F105" t="str">
        <v>867806075079972</v>
      </c>
      <c r="G105" t="str">
        <v>TBD</v>
      </c>
      <c r="H105" t="str">
        <v/>
      </c>
      <c r="I105" t="str">
        <v>28/09/2026</v>
      </c>
      <c r="J105" t="str">
        <v>13:26:10</v>
      </c>
      <c r="K105">
        <v>-12.317725</v>
      </c>
      <c r="L105">
        <v>-76.824486</v>
      </c>
      <c r="M105">
        <f>HYPERLINK("https://www.google.com/maps/search/?api=1&amp;query=-12.317725,-76.824486","Punta Hermosa, Lima")</f>
      </c>
      <c r="N105">
        <v>0</v>
      </c>
      <c r="O105">
        <v>96</v>
      </c>
      <c r="P105">
        <v>240496</v>
      </c>
      <c r="Q105" t="str">
        <v/>
      </c>
      <c r="R105" t="str">
        <v>Inicio de ralentí</v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F8P-915</v>
      </c>
      <c r="D106" t="str">
        <v>F8P-915</v>
      </c>
      <c r="E106" t="str">
        <v/>
      </c>
      <c r="F106" t="str">
        <v>867806075079972</v>
      </c>
      <c r="G106" t="str">
        <v>TBD</v>
      </c>
      <c r="H106" t="str">
        <v/>
      </c>
      <c r="I106" t="str">
        <v>28/09/2026</v>
      </c>
      <c r="J106" t="str">
        <v>13:28:50</v>
      </c>
      <c r="K106">
        <v>-12.31772</v>
      </c>
      <c r="L106">
        <v>-76.82446</v>
      </c>
      <c r="M106">
        <f>HYPERLINK("https://www.google.com/maps/search/?api=1&amp;query=-12.31772,-76.82446","Punta Hermosa, Lima")</f>
      </c>
      <c r="N106">
        <v>0</v>
      </c>
      <c r="O106">
        <v>96</v>
      </c>
      <c r="P106">
        <v>240496</v>
      </c>
      <c r="Q106" t="str">
        <v/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F8P-915</v>
      </c>
      <c r="D107" t="str">
        <v>F8P-915</v>
      </c>
      <c r="E107" t="str">
        <v/>
      </c>
      <c r="F107" t="str">
        <v>867806075079972</v>
      </c>
      <c r="G107" t="str">
        <v>TBD</v>
      </c>
      <c r="H107" t="str">
        <v/>
      </c>
      <c r="I107" t="str">
        <v>28/09/2026</v>
      </c>
      <c r="J107" t="str">
        <v>13:28:50</v>
      </c>
      <c r="K107">
        <v>-12.31772</v>
      </c>
      <c r="L107">
        <v>-76.82446</v>
      </c>
      <c r="M107">
        <f>HYPERLINK("https://www.google.com/maps/search/?api=1&amp;query=-12.31772,-76.82446","Punta Hermosa, Lima")</f>
      </c>
      <c r="N107">
        <v>0</v>
      </c>
      <c r="O107">
        <v>96</v>
      </c>
      <c r="P107">
        <v>240496</v>
      </c>
      <c r="Q107" t="str">
        <v/>
      </c>
      <c r="R107" t="str">
        <v>Fin de ralentí</v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F8P-915</v>
      </c>
      <c r="D108" t="str">
        <v>F8P-915</v>
      </c>
      <c r="E108" t="str">
        <v/>
      </c>
      <c r="F108" t="str">
        <v>867806075079972</v>
      </c>
      <c r="G108" t="str">
        <v>TBD</v>
      </c>
      <c r="H108" t="str">
        <v/>
      </c>
      <c r="I108" t="str">
        <v>28/09/2026</v>
      </c>
      <c r="J108" t="str">
        <v>13:35:21</v>
      </c>
      <c r="K108">
        <v>-12.317717</v>
      </c>
      <c r="L108">
        <v>-76.82446</v>
      </c>
      <c r="M108">
        <f>HYPERLINK("https://www.google.com/maps/search/?api=1&amp;query=-12.317717,-76.82446","Punta Hermosa, Lima")</f>
      </c>
      <c r="N108">
        <v>0</v>
      </c>
      <c r="O108">
        <v>96</v>
      </c>
      <c r="P108">
        <v>240496</v>
      </c>
      <c r="Q108" t="str">
        <v/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F8P-915</v>
      </c>
      <c r="D109" t="str">
        <v>F8P-915</v>
      </c>
      <c r="E109" t="str">
        <v/>
      </c>
      <c r="F109" t="str">
        <v>867806075079972</v>
      </c>
      <c r="G109" t="str">
        <v>TBD</v>
      </c>
      <c r="H109" t="str">
        <v/>
      </c>
      <c r="I109" t="str">
        <v>28/09/2026</v>
      </c>
      <c r="J109" t="str">
        <v>13:45:21</v>
      </c>
      <c r="K109">
        <v>-12.317717</v>
      </c>
      <c r="L109">
        <v>-76.82446</v>
      </c>
      <c r="M109">
        <f>HYPERLINK("https://www.google.com/maps/search/?api=1&amp;query=-12.317717,-76.82446","Punta Hermosa, Lima")</f>
      </c>
      <c r="N109">
        <v>0</v>
      </c>
      <c r="O109">
        <v>96</v>
      </c>
      <c r="P109">
        <v>240496</v>
      </c>
      <c r="Q109" t="str">
        <v/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F8P-915</v>
      </c>
      <c r="D110" t="str">
        <v>F8P-915</v>
      </c>
      <c r="E110" t="str">
        <v/>
      </c>
      <c r="F110" t="str">
        <v>867806075079972</v>
      </c>
      <c r="G110" t="str">
        <v>TBD</v>
      </c>
      <c r="H110" t="str">
        <v/>
      </c>
      <c r="I110" t="str">
        <v>28/09/2026</v>
      </c>
      <c r="J110" t="str">
        <v>13:55:21</v>
      </c>
      <c r="K110">
        <v>-12.317717</v>
      </c>
      <c r="L110">
        <v>-76.82446</v>
      </c>
      <c r="M110">
        <f>HYPERLINK("https://www.google.com/maps/search/?api=1&amp;query=-12.317717,-76.82446","Punta Hermosa, Lima")</f>
      </c>
      <c r="N110">
        <v>0</v>
      </c>
      <c r="O110">
        <v>96</v>
      </c>
      <c r="P110">
        <v>240496</v>
      </c>
      <c r="Q110" t="str">
        <v/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F8P-915</v>
      </c>
      <c r="D111" t="str">
        <v>F8P-915</v>
      </c>
      <c r="E111" t="str">
        <v/>
      </c>
      <c r="F111" t="str">
        <v>867806075079972</v>
      </c>
      <c r="G111" t="str">
        <v>TBD</v>
      </c>
      <c r="H111" t="str">
        <v/>
      </c>
      <c r="I111" t="str">
        <v>28/09/2026</v>
      </c>
      <c r="J111" t="str">
        <v>14:05:21</v>
      </c>
      <c r="K111">
        <v>-12.317717</v>
      </c>
      <c r="L111">
        <v>-76.82446</v>
      </c>
      <c r="M111">
        <f>HYPERLINK("https://www.google.com/maps/search/?api=1&amp;query=-12.317717,-76.82446","Punta Hermosa, Lima")</f>
      </c>
      <c r="N111">
        <v>0</v>
      </c>
      <c r="O111">
        <v>96</v>
      </c>
      <c r="P111">
        <v>240496</v>
      </c>
      <c r="Q111" t="str">
        <v/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F8P-915</v>
      </c>
      <c r="D112" t="str">
        <v>F8P-915</v>
      </c>
      <c r="E112" t="str">
        <v/>
      </c>
      <c r="F112" t="str">
        <v>867806075079972</v>
      </c>
      <c r="G112" t="str">
        <v>TBD</v>
      </c>
      <c r="H112" t="str">
        <v/>
      </c>
      <c r="I112" t="str">
        <v>28/09/2026</v>
      </c>
      <c r="J112" t="str">
        <v>14:15:16</v>
      </c>
      <c r="K112">
        <v>-12.317717</v>
      </c>
      <c r="L112">
        <v>-76.82446</v>
      </c>
      <c r="M112">
        <f>HYPERLINK("https://www.google.com/maps/search/?api=1&amp;query=-12.317717,-76.82446","Punta Hermosa, Lima")</f>
      </c>
      <c r="N112">
        <v>0</v>
      </c>
      <c r="O112">
        <v>92</v>
      </c>
      <c r="P112">
        <v>240496</v>
      </c>
      <c r="Q112" t="str">
        <v/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F8P-915</v>
      </c>
      <c r="D113" t="str">
        <v>F8P-915</v>
      </c>
      <c r="E113" t="str">
        <v/>
      </c>
      <c r="F113" t="str">
        <v>867806075079972</v>
      </c>
      <c r="G113" t="str">
        <v>TBD</v>
      </c>
      <c r="H113" t="str">
        <v/>
      </c>
      <c r="I113" t="str">
        <v>28/09/2026</v>
      </c>
      <c r="J113" t="str">
        <v>14:25:16</v>
      </c>
      <c r="K113">
        <v>-12.317717</v>
      </c>
      <c r="L113">
        <v>-76.82446</v>
      </c>
      <c r="M113">
        <f>HYPERLINK("https://www.google.com/maps/search/?api=1&amp;query=-12.317717,-76.82446","Punta Hermosa, Lima")</f>
      </c>
      <c r="N113">
        <v>0</v>
      </c>
      <c r="O113">
        <v>92</v>
      </c>
      <c r="P113">
        <v>240496</v>
      </c>
      <c r="Q113" t="str">
        <v/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F8P-915</v>
      </c>
      <c r="D114" t="str">
        <v>F8P-915</v>
      </c>
      <c r="E114" t="str">
        <v/>
      </c>
      <c r="F114" t="str">
        <v>867806075079972</v>
      </c>
      <c r="G114" t="str">
        <v>TBD</v>
      </c>
      <c r="H114" t="str">
        <v/>
      </c>
      <c r="I114" t="str">
        <v>28/09/2026</v>
      </c>
      <c r="J114" t="str">
        <v>14:35:16</v>
      </c>
      <c r="K114">
        <v>-12.317717</v>
      </c>
      <c r="L114">
        <v>-76.82446</v>
      </c>
      <c r="M114">
        <f>HYPERLINK("https://www.google.com/maps/search/?api=1&amp;query=-12.317717,-76.82446","Punta Hermosa, Lima")</f>
      </c>
      <c r="N114">
        <v>0</v>
      </c>
      <c r="O114">
        <v>92</v>
      </c>
      <c r="P114">
        <v>240496</v>
      </c>
      <c r="Q114" t="str">
        <v/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F8P-915</v>
      </c>
      <c r="D115" t="str">
        <v>F8P-915</v>
      </c>
      <c r="E115" t="str">
        <v/>
      </c>
      <c r="F115" t="str">
        <v>867806075079972</v>
      </c>
      <c r="G115" t="str">
        <v>TBD</v>
      </c>
      <c r="H115" t="str">
        <v/>
      </c>
      <c r="I115" t="str">
        <v>28/09/2026</v>
      </c>
      <c r="J115" t="str">
        <v>14:38:23</v>
      </c>
      <c r="K115">
        <v>-12.317717</v>
      </c>
      <c r="L115">
        <v>-76.82446</v>
      </c>
      <c r="M115">
        <f>HYPERLINK("https://www.google.com/maps/search/?api=1&amp;query=-12.317717,-76.82446","Punta Hermosa, Lima")</f>
      </c>
      <c r="N115">
        <v>0</v>
      </c>
      <c r="O115">
        <v>92</v>
      </c>
      <c r="P115">
        <v>240496</v>
      </c>
      <c r="Q115" t="str">
        <v/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F8P-915</v>
      </c>
      <c r="D116" t="str">
        <v>F8P-915</v>
      </c>
      <c r="E116" t="str">
        <v/>
      </c>
      <c r="F116" t="str">
        <v>867806075079972</v>
      </c>
      <c r="G116" t="str">
        <v>TBD</v>
      </c>
      <c r="H116" t="str">
        <v/>
      </c>
      <c r="I116" t="str">
        <v>28/09/2026</v>
      </c>
      <c r="J116" t="str">
        <v>14:39:39</v>
      </c>
      <c r="K116">
        <v>-12.317717</v>
      </c>
      <c r="L116">
        <v>-76.82446</v>
      </c>
      <c r="M116">
        <f>HYPERLINK("https://www.google.com/maps/search/?api=1&amp;query=-12.317717,-76.82446","Punta Hermosa, Lima")</f>
      </c>
      <c r="N116">
        <v>0</v>
      </c>
      <c r="O116">
        <v>92</v>
      </c>
      <c r="P116">
        <v>240496</v>
      </c>
      <c r="Q116" t="str">
        <v/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F8P-915</v>
      </c>
      <c r="D117" t="str">
        <v>F8P-915</v>
      </c>
      <c r="E117" t="str">
        <v/>
      </c>
      <c r="F117" t="str">
        <v>867806075079972</v>
      </c>
      <c r="G117" t="str">
        <v>TBD</v>
      </c>
      <c r="H117" t="str">
        <v/>
      </c>
      <c r="I117" t="str">
        <v>28/09/2026</v>
      </c>
      <c r="J117" t="str">
        <v>14:49:39</v>
      </c>
      <c r="K117">
        <v>-12.317717</v>
      </c>
      <c r="L117">
        <v>-76.82446</v>
      </c>
      <c r="M117">
        <f>HYPERLINK("https://www.google.com/maps/search/?api=1&amp;query=-12.317717,-76.82446","Punta Hermosa, Lima")</f>
      </c>
      <c r="N117">
        <v>0</v>
      </c>
      <c r="O117">
        <v>92</v>
      </c>
      <c r="P117">
        <v>240496</v>
      </c>
      <c r="Q117" t="str">
        <v/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F8P-915</v>
      </c>
      <c r="D118" t="str">
        <v>F8P-915</v>
      </c>
      <c r="E118" t="str">
        <v/>
      </c>
      <c r="F118" t="str">
        <v>867806075079972</v>
      </c>
      <c r="G118" t="str">
        <v>TBD</v>
      </c>
      <c r="H118" t="str">
        <v/>
      </c>
      <c r="I118" t="str">
        <v>28/09/2026</v>
      </c>
      <c r="J118" t="str">
        <v>14:59:39</v>
      </c>
      <c r="K118">
        <v>-12.317717</v>
      </c>
      <c r="L118">
        <v>-76.82446</v>
      </c>
      <c r="M118">
        <f>HYPERLINK("https://www.google.com/maps/search/?api=1&amp;query=-12.317717,-76.82446","Punta Hermosa, Lima")</f>
      </c>
      <c r="N118">
        <v>0</v>
      </c>
      <c r="O118">
        <v>94</v>
      </c>
      <c r="P118">
        <v>240496</v>
      </c>
      <c r="Q118" t="str">
        <v/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F8P-915</v>
      </c>
      <c r="D119" t="str">
        <v>F8P-915</v>
      </c>
      <c r="E119" t="str">
        <v/>
      </c>
      <c r="F119" t="str">
        <v>867806075079972</v>
      </c>
      <c r="G119" t="str">
        <v>TBD</v>
      </c>
      <c r="H119" t="str">
        <v/>
      </c>
      <c r="I119" t="str">
        <v>28/09/2026</v>
      </c>
      <c r="J119" t="str">
        <v>15:09:39</v>
      </c>
      <c r="K119">
        <v>-12.317717</v>
      </c>
      <c r="L119">
        <v>-76.82446</v>
      </c>
      <c r="M119">
        <f>HYPERLINK("https://www.google.com/maps/search/?api=1&amp;query=-12.317717,-76.82446","Punta Hermosa, Lima")</f>
      </c>
      <c r="N119">
        <v>0</v>
      </c>
      <c r="O119">
        <v>93</v>
      </c>
      <c r="P119">
        <v>240496</v>
      </c>
      <c r="Q119" t="str">
        <v/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F8P-915</v>
      </c>
      <c r="D120" t="str">
        <v>F8P-915</v>
      </c>
      <c r="E120" t="str">
        <v/>
      </c>
      <c r="F120" t="str">
        <v>867806075079972</v>
      </c>
      <c r="G120" t="str">
        <v>TBD</v>
      </c>
      <c r="H120" t="str">
        <v/>
      </c>
      <c r="I120" t="str">
        <v>28/09/2026</v>
      </c>
      <c r="J120" t="str">
        <v>15:19:39</v>
      </c>
      <c r="K120">
        <v>-12.317717</v>
      </c>
      <c r="L120">
        <v>-76.82446</v>
      </c>
      <c r="M120">
        <f>HYPERLINK("https://www.google.com/maps/search/?api=1&amp;query=-12.317717,-76.82446","Punta Hermosa, Lima")</f>
      </c>
      <c r="N120">
        <v>0</v>
      </c>
      <c r="O120">
        <v>100</v>
      </c>
      <c r="P120">
        <v>240496</v>
      </c>
      <c r="Q120" t="str">
        <v/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F8P-915</v>
      </c>
      <c r="D121" t="str">
        <v>F8P-915</v>
      </c>
      <c r="E121" t="str">
        <v/>
      </c>
      <c r="F121" t="str">
        <v>867806075079972</v>
      </c>
      <c r="G121" t="str">
        <v>TBD</v>
      </c>
      <c r="H121" t="str">
        <v/>
      </c>
      <c r="I121" t="str">
        <v>28/09/2026</v>
      </c>
      <c r="J121" t="str">
        <v>15:29:39</v>
      </c>
      <c r="K121">
        <v>-12.317717</v>
      </c>
      <c r="L121">
        <v>-76.82446</v>
      </c>
      <c r="M121">
        <f>HYPERLINK("https://www.google.com/maps/search/?api=1&amp;query=-12.317717,-76.82446","Punta Hermosa, Lima")</f>
      </c>
      <c r="N121">
        <v>0</v>
      </c>
      <c r="O121">
        <v>100</v>
      </c>
      <c r="P121">
        <v>240496</v>
      </c>
      <c r="Q121" t="str">
        <v/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F8P-915</v>
      </c>
      <c r="D122" t="str">
        <v>F8P-915</v>
      </c>
      <c r="E122" t="str">
        <v/>
      </c>
      <c r="F122" t="str">
        <v>867806075079972</v>
      </c>
      <c r="G122" t="str">
        <v>TBD</v>
      </c>
      <c r="H122" t="str">
        <v/>
      </c>
      <c r="I122" t="str">
        <v>28/09/2026</v>
      </c>
      <c r="J122" t="str">
        <v>15:39:39</v>
      </c>
      <c r="K122">
        <v>-12.317717</v>
      </c>
      <c r="L122">
        <v>-76.82446</v>
      </c>
      <c r="M122">
        <f>HYPERLINK("https://www.google.com/maps/search/?api=1&amp;query=-12.317717,-76.82446","Punta Hermosa, Lima")</f>
      </c>
      <c r="N122">
        <v>0</v>
      </c>
      <c r="O122">
        <v>100</v>
      </c>
      <c r="P122">
        <v>240496</v>
      </c>
      <c r="Q122" t="str">
        <v/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F8P-915</v>
      </c>
      <c r="D123" t="str">
        <v>F8P-915</v>
      </c>
      <c r="E123" t="str">
        <v/>
      </c>
      <c r="F123" t="str">
        <v>867806075079972</v>
      </c>
      <c r="G123" t="str">
        <v>TBD</v>
      </c>
      <c r="H123" t="str">
        <v/>
      </c>
      <c r="I123" t="str">
        <v>28/09/2026</v>
      </c>
      <c r="J123" t="str">
        <v>15:42:10</v>
      </c>
      <c r="K123">
        <v>-12.317717</v>
      </c>
      <c r="L123">
        <v>-76.82446</v>
      </c>
      <c r="M123">
        <f>HYPERLINK("https://www.google.com/maps/search/?api=1&amp;query=-12.317717,-76.82446","Punta Hermosa, Lima")</f>
      </c>
      <c r="N123">
        <v>0</v>
      </c>
      <c r="O123">
        <v>100</v>
      </c>
      <c r="P123">
        <v>240496</v>
      </c>
      <c r="Q123" t="str">
        <v/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F8P-915</v>
      </c>
      <c r="D124" t="str">
        <v>F8P-915</v>
      </c>
      <c r="E124" t="str">
        <v/>
      </c>
      <c r="F124" t="str">
        <v>867806075079972</v>
      </c>
      <c r="G124" t="str">
        <v>TBD</v>
      </c>
      <c r="H124" t="str">
        <v/>
      </c>
      <c r="I124" t="str">
        <v>28/09/2026</v>
      </c>
      <c r="J124" t="str">
        <v>15:47:11</v>
      </c>
      <c r="K124">
        <v>-12.317594</v>
      </c>
      <c r="L124">
        <v>-76.82431</v>
      </c>
      <c r="M124">
        <f>HYPERLINK("https://www.google.com/maps/search/?api=1&amp;query=-12.317594,-76.82431","Punta Hermosa, Lima")</f>
      </c>
      <c r="N124">
        <v>0</v>
      </c>
      <c r="O124">
        <v>100</v>
      </c>
      <c r="P124">
        <v>240496</v>
      </c>
      <c r="Q124" t="str">
        <v/>
      </c>
      <c r="R124" t="str">
        <v>Inicio de ralentí</v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F8P-915</v>
      </c>
      <c r="D125" t="str">
        <v>F8P-915</v>
      </c>
      <c r="E125" t="str">
        <v/>
      </c>
      <c r="F125" t="str">
        <v>867806075079972</v>
      </c>
      <c r="G125" t="str">
        <v>TBD</v>
      </c>
      <c r="H125" t="str">
        <v/>
      </c>
      <c r="I125" t="str">
        <v>28/09/2026</v>
      </c>
      <c r="J125" t="str">
        <v>15:49:39</v>
      </c>
      <c r="K125">
        <v>-12.317594</v>
      </c>
      <c r="L125">
        <v>-76.82431</v>
      </c>
      <c r="M125">
        <f>HYPERLINK("https://www.google.com/maps/search/?api=1&amp;query=-12.317594,-76.82431","Punta Hermosa, Lima")</f>
      </c>
      <c r="N125">
        <v>0</v>
      </c>
      <c r="O125">
        <v>100</v>
      </c>
      <c r="P125">
        <v>240496</v>
      </c>
      <c r="Q125" t="str">
        <v/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F8P-915</v>
      </c>
      <c r="D126" t="str">
        <v>F8P-915</v>
      </c>
      <c r="E126" t="str">
        <v/>
      </c>
      <c r="F126" t="str">
        <v>867806075079972</v>
      </c>
      <c r="G126" t="str">
        <v>TBD</v>
      </c>
      <c r="H126" t="str">
        <v/>
      </c>
      <c r="I126" t="str">
        <v>28/09/2026</v>
      </c>
      <c r="J126" t="str">
        <v>15:53:48</v>
      </c>
      <c r="K126">
        <v>-12.317594</v>
      </c>
      <c r="L126">
        <v>-76.82431</v>
      </c>
      <c r="M126">
        <f>HYPERLINK("https://www.google.com/maps/search/?api=1&amp;query=-12.317594,-76.82431","Punta Hermosa, Lima")</f>
      </c>
      <c r="N126">
        <v>0</v>
      </c>
      <c r="O126">
        <v>98</v>
      </c>
      <c r="P126">
        <v>240496</v>
      </c>
      <c r="Q126" t="str">
        <v/>
      </c>
      <c r="R126" t="str">
        <v>Se detuvo</v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F8P-915</v>
      </c>
      <c r="D127" t="str">
        <v>F8P-915</v>
      </c>
      <c r="E127" t="str">
        <v/>
      </c>
      <c r="F127" t="str">
        <v>867806075079972</v>
      </c>
      <c r="G127" t="str">
        <v>TBD</v>
      </c>
      <c r="H127" t="str">
        <v/>
      </c>
      <c r="I127" t="str">
        <v>28/09/2026</v>
      </c>
      <c r="J127" t="str">
        <v>15:59:39</v>
      </c>
      <c r="K127">
        <v>-12.317594</v>
      </c>
      <c r="L127">
        <v>-76.82431</v>
      </c>
      <c r="M127">
        <f>HYPERLINK("https://www.google.com/maps/search/?api=1&amp;query=-12.317594,-76.82431","Punta Hermosa, Lima")</f>
      </c>
      <c r="N127">
        <v>0</v>
      </c>
      <c r="O127">
        <v>98</v>
      </c>
      <c r="P127">
        <v>240496</v>
      </c>
      <c r="Q127" t="str">
        <v/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F8P-915</v>
      </c>
      <c r="D128" t="str">
        <v>F8P-915</v>
      </c>
      <c r="E128" t="str">
        <v/>
      </c>
      <c r="F128" t="str">
        <v>867806075079972</v>
      </c>
      <c r="G128" t="str">
        <v>TBD</v>
      </c>
      <c r="H128" t="str">
        <v/>
      </c>
      <c r="I128" t="str">
        <v>28/09/2026</v>
      </c>
      <c r="J128" t="str">
        <v>16:09:39</v>
      </c>
      <c r="K128">
        <v>-12.317594</v>
      </c>
      <c r="L128">
        <v>-76.82431</v>
      </c>
      <c r="M128">
        <f>HYPERLINK("https://www.google.com/maps/search/?api=1&amp;query=-12.317594,-76.82431","Punta Hermosa, Lima")</f>
      </c>
      <c r="N128">
        <v>0</v>
      </c>
      <c r="O128">
        <v>98</v>
      </c>
      <c r="P128">
        <v>240496</v>
      </c>
      <c r="Q128" t="str">
        <v/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F8P-915</v>
      </c>
      <c r="D129" t="str">
        <v>F8P-915</v>
      </c>
      <c r="E129" t="str">
        <v/>
      </c>
      <c r="F129" t="str">
        <v>867806075079972</v>
      </c>
      <c r="G129" t="str">
        <v>TBD</v>
      </c>
      <c r="H129" t="str">
        <v/>
      </c>
      <c r="I129" t="str">
        <v>28/09/2026</v>
      </c>
      <c r="J129" t="str">
        <v>16:19:38</v>
      </c>
      <c r="K129">
        <v>-12.317632</v>
      </c>
      <c r="L129">
        <v>-76.82438</v>
      </c>
      <c r="M129">
        <f>HYPERLINK("https://www.google.com/maps/search/?api=1&amp;query=-12.317632,-76.82438","Punta Hermosa, Lima")</f>
      </c>
      <c r="N129">
        <v>5.7</v>
      </c>
      <c r="O129">
        <v>94</v>
      </c>
      <c r="P129">
        <v>240496</v>
      </c>
      <c r="Q129" t="str">
        <v/>
      </c>
      <c r="R129" t="str">
        <v>Fin de ralentí</v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F8P-915</v>
      </c>
      <c r="D130" t="str">
        <v>F8P-915</v>
      </c>
      <c r="E130" t="str">
        <v/>
      </c>
      <c r="F130" t="str">
        <v>867806075079972</v>
      </c>
      <c r="G130" t="str">
        <v>TBD</v>
      </c>
      <c r="H130" t="str">
        <v/>
      </c>
      <c r="I130" t="str">
        <v>28/09/2026</v>
      </c>
      <c r="J130" t="str">
        <v>16:19:39</v>
      </c>
      <c r="K130">
        <v>-12.317632</v>
      </c>
      <c r="L130">
        <v>-76.82438</v>
      </c>
      <c r="M130">
        <f>HYPERLINK("https://www.google.com/maps/search/?api=1&amp;query=-12.317632,-76.82438","Punta Hermosa, Lima")</f>
      </c>
      <c r="N130">
        <v>5.7</v>
      </c>
      <c r="O130">
        <v>94</v>
      </c>
      <c r="P130">
        <v>240496</v>
      </c>
      <c r="Q130" t="str">
        <v/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F8P-915</v>
      </c>
      <c r="D131" t="str">
        <v>F8P-915</v>
      </c>
      <c r="E131" t="str">
        <v/>
      </c>
      <c r="F131" t="str">
        <v>867806075079972</v>
      </c>
      <c r="G131" t="str">
        <v>TBD</v>
      </c>
      <c r="H131" t="str">
        <v/>
      </c>
      <c r="I131" t="str">
        <v>28/09/2026</v>
      </c>
      <c r="J131" t="str">
        <v>16:29:39</v>
      </c>
      <c r="K131">
        <v>-12.293854</v>
      </c>
      <c r="L131">
        <v>-76.861465</v>
      </c>
      <c r="M131">
        <f>HYPERLINK("https://www.google.com/maps/search/?api=1&amp;query=-12.293854,-76.861465","Carretera Panamericana Sur, Lurín, Lima")</f>
      </c>
      <c r="N131">
        <v>66.3</v>
      </c>
      <c r="O131">
        <v>98</v>
      </c>
      <c r="P131">
        <v>240496</v>
      </c>
      <c r="Q131" t="str">
        <v/>
      </c>
      <c r="R131" t="str">
        <v>Salió de zona</v>
      </c>
      <c r="S131" t="str">
        <v>MASS BSF 1</v>
      </c>
      <c r="T131" t="str">
        <v xml:space="preserve"> </v>
      </c>
      <c r="U131" t="str">
        <v/>
      </c>
    </row>
    <row r="132">
      <c r="A132" t="str">
        <v>131</v>
      </c>
      <c r="B132" t="str">
        <v>MASS BSF</v>
      </c>
      <c r="C132" t="str">
        <v>F8P-915</v>
      </c>
      <c r="D132" t="str">
        <v>F8P-915</v>
      </c>
      <c r="E132" t="str">
        <v/>
      </c>
      <c r="F132" t="str">
        <v>867806075079972</v>
      </c>
      <c r="G132" t="str">
        <v>TBD</v>
      </c>
      <c r="H132" t="str">
        <v/>
      </c>
      <c r="I132" t="str">
        <v>28/09/2026</v>
      </c>
      <c r="J132" t="str">
        <v>16:29:39</v>
      </c>
      <c r="K132">
        <v>-12.293854</v>
      </c>
      <c r="L132">
        <v>-76.861465</v>
      </c>
      <c r="M132">
        <f>HYPERLINK("https://www.google.com/maps/search/?api=1&amp;query=-12.293854,-76.861465","Carretera Panamericana Sur, Lurín, Lima")</f>
      </c>
      <c r="N132">
        <v>66.3</v>
      </c>
      <c r="O132">
        <v>94</v>
      </c>
      <c r="P132">
        <v>240496</v>
      </c>
      <c r="Q132" t="str">
        <v/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F8P-915</v>
      </c>
      <c r="D133" t="str">
        <v>F8P-915</v>
      </c>
      <c r="E133" t="str">
        <v/>
      </c>
      <c r="F133" t="str">
        <v>867806075079972</v>
      </c>
      <c r="G133" t="str">
        <v>TBD</v>
      </c>
      <c r="H133" t="str">
        <v/>
      </c>
      <c r="I133" t="str">
        <v>28/09/2026</v>
      </c>
      <c r="J133" t="str">
        <v>16:38:18</v>
      </c>
      <c r="K133">
        <v>-12.249595</v>
      </c>
      <c r="L133">
        <v>-76.93156</v>
      </c>
      <c r="M133">
        <f>HYPERLINK("https://www.google.com/maps/search/?api=1&amp;query=-12.249595,-76.93156","Carretera Panamericana Sur, Lurín, Lima")</f>
      </c>
      <c r="N133">
        <v>34.8</v>
      </c>
      <c r="O133">
        <v>98</v>
      </c>
      <c r="P133">
        <v>240496</v>
      </c>
      <c r="Q133" t="str">
        <v/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F8P-915</v>
      </c>
      <c r="D134" t="str">
        <v>F8P-915</v>
      </c>
      <c r="E134" t="str">
        <v/>
      </c>
      <c r="F134" t="str">
        <v>867806075079972</v>
      </c>
      <c r="G134" t="str">
        <v>TBD</v>
      </c>
      <c r="H134" t="str">
        <v/>
      </c>
      <c r="I134" t="str">
        <v>28/09/2026</v>
      </c>
      <c r="J134" t="str">
        <v>16:48:18</v>
      </c>
      <c r="K134">
        <v>-12.218734</v>
      </c>
      <c r="L134">
        <v>-76.97591</v>
      </c>
      <c r="M134">
        <f>HYPERLINK("https://www.google.com/maps/search/?api=1&amp;query=-12.218734,-76.97591","Villa El Salvador, Lima")</f>
      </c>
      <c r="N134">
        <v>25.5</v>
      </c>
      <c r="O134">
        <v>98</v>
      </c>
      <c r="P134">
        <v>240496</v>
      </c>
      <c r="Q134" t="str">
        <v/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F8P-915</v>
      </c>
      <c r="D135" t="str">
        <v>F8P-915</v>
      </c>
      <c r="E135" t="str">
        <v/>
      </c>
      <c r="F135" t="str">
        <v>867806075079972</v>
      </c>
      <c r="G135" t="str">
        <v>TBD</v>
      </c>
      <c r="H135" t="str">
        <v/>
      </c>
      <c r="I135" t="str">
        <v>28/09/2026</v>
      </c>
      <c r="J135" t="str">
        <v>16:58:18</v>
      </c>
      <c r="K135">
        <v>-12.213003</v>
      </c>
      <c r="L135">
        <v>-76.958954</v>
      </c>
      <c r="M135">
        <f>HYPERLINK("https://www.google.com/maps/search/?api=1&amp;query=-12.213003,-76.958954","Avenida Villa del Mar, Villa El Salvador, Lima")</f>
      </c>
      <c r="N135">
        <v>6.2</v>
      </c>
      <c r="O135">
        <v>98</v>
      </c>
      <c r="P135">
        <v>240496</v>
      </c>
      <c r="Q135" t="str">
        <v/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F8P-915</v>
      </c>
      <c r="D136" t="str">
        <v>F8P-915</v>
      </c>
      <c r="E136" t="str">
        <v/>
      </c>
      <c r="F136" t="str">
        <v>867806075079972</v>
      </c>
      <c r="G136" t="str">
        <v>TBD</v>
      </c>
      <c r="H136" t="str">
        <v/>
      </c>
      <c r="I136" t="str">
        <v>28/09/2026</v>
      </c>
      <c r="J136" t="str">
        <v>16:58:18</v>
      </c>
      <c r="K136">
        <v>-12.213003</v>
      </c>
      <c r="L136">
        <v>-76.958954</v>
      </c>
      <c r="M136">
        <f>HYPERLINK("https://www.google.com/maps/search/?api=1&amp;query=-12.213003,-76.958954","Avenida Villa del Mar, Villa El Salvador, Lima")</f>
      </c>
      <c r="N136">
        <v>6.2</v>
      </c>
      <c r="O136">
        <v>98</v>
      </c>
      <c r="P136">
        <v>240496</v>
      </c>
      <c r="Q136" t="str">
        <v/>
      </c>
      <c r="R136" t="str">
        <v>Llegó a la zona</v>
      </c>
      <c r="S136" t="str">
        <v>BASE-OSLOGISTICS</v>
      </c>
      <c r="T136" t="str">
        <v xml:space="preserve"> </v>
      </c>
      <c r="U136" t="str">
        <v/>
      </c>
    </row>
    <row r="137">
      <c r="A137" t="str">
        <v>136</v>
      </c>
      <c r="B137" t="str">
        <v>MASS BSF</v>
      </c>
      <c r="C137" t="str">
        <v>F8P-915</v>
      </c>
      <c r="D137" t="str">
        <v>F8P-915</v>
      </c>
      <c r="E137" t="str">
        <v/>
      </c>
      <c r="F137" t="str">
        <v>867806075079972</v>
      </c>
      <c r="G137" t="str">
        <v>TBD</v>
      </c>
      <c r="H137" t="str">
        <v/>
      </c>
      <c r="I137" t="str">
        <v>28/09/2026</v>
      </c>
      <c r="J137" t="str">
        <v>17:00:40</v>
      </c>
      <c r="K137">
        <v>-12.213085</v>
      </c>
      <c r="L137">
        <v>-76.95894</v>
      </c>
      <c r="M137">
        <f>HYPERLINK("https://www.google.com/maps/search/?api=1&amp;query=-12.213085,-76.95894","Villa El Salvador, Lima")</f>
      </c>
      <c r="N137">
        <v>0</v>
      </c>
      <c r="O137">
        <v>98</v>
      </c>
      <c r="P137">
        <v>240496</v>
      </c>
      <c r="Q137" t="str">
        <v/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F8P-915</v>
      </c>
      <c r="D138" t="str">
        <v>F8P-915</v>
      </c>
      <c r="E138" t="str">
        <v/>
      </c>
      <c r="F138" t="str">
        <v>867806075079972</v>
      </c>
      <c r="G138" t="str">
        <v>TBD</v>
      </c>
      <c r="H138" t="str">
        <v/>
      </c>
      <c r="I138" t="str">
        <v>28/09/2026</v>
      </c>
      <c r="J138" t="str">
        <v>17:08:18</v>
      </c>
      <c r="K138">
        <v>-12.21293</v>
      </c>
      <c r="L138">
        <v>-76.95888</v>
      </c>
      <c r="M138">
        <f>HYPERLINK("https://www.google.com/maps/search/?api=1&amp;query=-12.21293,-76.95888","Avenida Villa del Mar, Villa El Salvador, Lima")</f>
      </c>
      <c r="N138">
        <v>0</v>
      </c>
      <c r="O138">
        <v>98</v>
      </c>
      <c r="P138">
        <v>240496</v>
      </c>
      <c r="Q138" t="str">
        <v/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F8P-915</v>
      </c>
      <c r="D139" t="str">
        <v>F8P-915</v>
      </c>
      <c r="E139" t="str">
        <v/>
      </c>
      <c r="F139" t="str">
        <v>867806075079972</v>
      </c>
      <c r="G139" t="str">
        <v>TBD</v>
      </c>
      <c r="H139" t="str">
        <v/>
      </c>
      <c r="I139" t="str">
        <v>28/09/2026</v>
      </c>
      <c r="J139" t="str">
        <v>17:18:18</v>
      </c>
      <c r="K139">
        <v>-12.21293</v>
      </c>
      <c r="L139">
        <v>-76.95888</v>
      </c>
      <c r="M139">
        <f>HYPERLINK("https://www.google.com/maps/search/?api=1&amp;query=-12.21293,-76.95888","Avenida Villa del Mar, Villa El Salvador, Lima")</f>
      </c>
      <c r="N139">
        <v>0</v>
      </c>
      <c r="O139">
        <v>98</v>
      </c>
      <c r="P139">
        <v>240496</v>
      </c>
      <c r="Q139" t="str">
        <v/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F8P-915</v>
      </c>
      <c r="D140" t="str">
        <v>F8P-915</v>
      </c>
      <c r="E140" t="str">
        <v/>
      </c>
      <c r="F140" t="str">
        <v>867806075079972</v>
      </c>
      <c r="G140" t="str">
        <v>TBD</v>
      </c>
      <c r="H140" t="str">
        <v/>
      </c>
      <c r="I140" t="str">
        <v>28/09/2026</v>
      </c>
      <c r="J140" t="str">
        <v>17:28:18</v>
      </c>
      <c r="K140">
        <v>-12.21293</v>
      </c>
      <c r="L140">
        <v>-76.95888</v>
      </c>
      <c r="M140">
        <f>HYPERLINK("https://www.google.com/maps/search/?api=1&amp;query=-12.21293,-76.95888","Avenida Villa del Mar, Villa El Salvador, Lima")</f>
      </c>
      <c r="N140">
        <v>0</v>
      </c>
      <c r="O140">
        <v>100</v>
      </c>
      <c r="P140">
        <v>240496</v>
      </c>
      <c r="Q140" t="str">
        <v/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F8P-915</v>
      </c>
      <c r="D141" t="str">
        <v>F8P-915</v>
      </c>
      <c r="E141" t="str">
        <v/>
      </c>
      <c r="F141" t="str">
        <v>867806075079972</v>
      </c>
      <c r="G141" t="str">
        <v>TBD</v>
      </c>
      <c r="H141" t="str">
        <v/>
      </c>
      <c r="I141" t="str">
        <v>28/09/2026</v>
      </c>
      <c r="J141" t="str">
        <v>17:38:18</v>
      </c>
      <c r="K141">
        <v>-12.21293</v>
      </c>
      <c r="L141">
        <v>-76.95888</v>
      </c>
      <c r="M141">
        <f>HYPERLINK("https://www.google.com/maps/search/?api=1&amp;query=-12.21293,-76.95888","Avenida Villa del Mar, Villa El Salvador, Lima")</f>
      </c>
      <c r="N141">
        <v>0</v>
      </c>
      <c r="O141">
        <v>100</v>
      </c>
      <c r="P141">
        <v>240496</v>
      </c>
      <c r="Q141" t="str">
        <v/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F8P-915</v>
      </c>
      <c r="D142" t="str">
        <v>F8P-915</v>
      </c>
      <c r="E142" t="str">
        <v/>
      </c>
      <c r="F142" t="str">
        <v>867806075079972</v>
      </c>
      <c r="G142" t="str">
        <v>TBD</v>
      </c>
      <c r="H142" t="str">
        <v/>
      </c>
      <c r="I142" t="str">
        <v>28/09/2026</v>
      </c>
      <c r="J142" t="str">
        <v>17:48:18</v>
      </c>
      <c r="K142">
        <v>-12.21293</v>
      </c>
      <c r="L142">
        <v>-76.95888</v>
      </c>
      <c r="M142">
        <f>HYPERLINK("https://www.google.com/maps/search/?api=1&amp;query=-12.21293,-76.95888","Avenida Villa del Mar, Villa El Salvador, Lima")</f>
      </c>
      <c r="N142">
        <v>0</v>
      </c>
      <c r="O142">
        <v>100</v>
      </c>
      <c r="P142">
        <v>240496</v>
      </c>
      <c r="Q142" t="str">
        <v/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F8P-915</v>
      </c>
      <c r="D143" t="str">
        <v>F8P-915</v>
      </c>
      <c r="E143" t="str">
        <v/>
      </c>
      <c r="F143" t="str">
        <v>867806075079972</v>
      </c>
      <c r="G143" t="str">
        <v>TBD</v>
      </c>
      <c r="H143" t="str">
        <v/>
      </c>
      <c r="I143" t="str">
        <v>28/09/2026</v>
      </c>
      <c r="J143" t="str">
        <v>17:58:18</v>
      </c>
      <c r="K143">
        <v>-12.21293</v>
      </c>
      <c r="L143">
        <v>-76.95888</v>
      </c>
      <c r="M143">
        <f>HYPERLINK("https://www.google.com/maps/search/?api=1&amp;query=-12.21293,-76.95888","Avenida Villa del Mar, Villa El Salvador, Lima")</f>
      </c>
      <c r="N143">
        <v>0</v>
      </c>
      <c r="O143">
        <v>100</v>
      </c>
      <c r="P143">
        <v>240496</v>
      </c>
      <c r="Q143" t="str">
        <v/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F8P-915</v>
      </c>
      <c r="D144" t="str">
        <v>F8P-915</v>
      </c>
      <c r="E144" t="str">
        <v/>
      </c>
      <c r="F144" t="str">
        <v>867806075079972</v>
      </c>
      <c r="G144" t="str">
        <v>TBD</v>
      </c>
      <c r="H144" t="str">
        <v/>
      </c>
      <c r="I144" t="str">
        <v>28/09/2026</v>
      </c>
      <c r="J144" t="str">
        <v>18:08:18</v>
      </c>
      <c r="K144">
        <v>-12.21293</v>
      </c>
      <c r="L144">
        <v>-76.95888</v>
      </c>
      <c r="M144">
        <f>HYPERLINK("https://www.google.com/maps/search/?api=1&amp;query=-12.21293,-76.95888","Avenida Villa del Mar, Villa El Salvador, Lima")</f>
      </c>
      <c r="N144">
        <v>0</v>
      </c>
      <c r="O144">
        <v>100</v>
      </c>
      <c r="P144">
        <v>240496</v>
      </c>
      <c r="Q144" t="str">
        <v/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F8P-915</v>
      </c>
      <c r="D145" t="str">
        <v>F8P-915</v>
      </c>
      <c r="E145" t="str">
        <v/>
      </c>
      <c r="F145" t="str">
        <v>867806075079972</v>
      </c>
      <c r="G145" t="str">
        <v>TBD</v>
      </c>
      <c r="H145" t="str">
        <v/>
      </c>
      <c r="I145" t="str">
        <v>28/09/2026</v>
      </c>
      <c r="J145" t="str">
        <v>18:18:18</v>
      </c>
      <c r="K145">
        <v>-12.21293</v>
      </c>
      <c r="L145">
        <v>-76.95888</v>
      </c>
      <c r="M145">
        <f>HYPERLINK("https://www.google.com/maps/search/?api=1&amp;query=-12.21293,-76.95888","Avenida Villa del Mar, Villa El Salvador, Lima")</f>
      </c>
      <c r="N145">
        <v>0</v>
      </c>
      <c r="O145">
        <v>91</v>
      </c>
      <c r="P145">
        <v>240496</v>
      </c>
      <c r="Q145" t="str">
        <v/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F8P-915</v>
      </c>
      <c r="D146" t="str">
        <v>F8P-915</v>
      </c>
      <c r="E146" t="str">
        <v/>
      </c>
      <c r="F146" t="str">
        <v>867806075079972</v>
      </c>
      <c r="G146" t="str">
        <v>TBD</v>
      </c>
      <c r="H146" t="str">
        <v/>
      </c>
      <c r="I146" t="str">
        <v>28/09/2026</v>
      </c>
      <c r="J146" t="str">
        <v>18:28:18</v>
      </c>
      <c r="K146">
        <v>-12.21293</v>
      </c>
      <c r="L146">
        <v>-76.95888</v>
      </c>
      <c r="M146">
        <f>HYPERLINK("https://www.google.com/maps/search/?api=1&amp;query=-12.21293,-76.95888","Avenida Villa del Mar, Villa El Salvador, Lima")</f>
      </c>
      <c r="N146">
        <v>0</v>
      </c>
      <c r="O146">
        <v>91</v>
      </c>
      <c r="P146">
        <v>240496</v>
      </c>
      <c r="Q146" t="str">
        <v/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F8P-915</v>
      </c>
      <c r="D147" t="str">
        <v>F8P-915</v>
      </c>
      <c r="E147" t="str">
        <v/>
      </c>
      <c r="F147" t="str">
        <v>867806075079972</v>
      </c>
      <c r="G147" t="str">
        <v>TBD</v>
      </c>
      <c r="H147" t="str">
        <v/>
      </c>
      <c r="I147" t="str">
        <v>28/09/2026</v>
      </c>
      <c r="J147" t="str">
        <v>18:38:18</v>
      </c>
      <c r="K147">
        <v>-12.21293</v>
      </c>
      <c r="L147">
        <v>-76.95888</v>
      </c>
      <c r="M147">
        <f>HYPERLINK("https://www.google.com/maps/search/?api=1&amp;query=-12.21293,-76.95888","Avenida Villa del Mar, Villa El Salvador, Lima")</f>
      </c>
      <c r="N147">
        <v>0</v>
      </c>
      <c r="O147">
        <v>91</v>
      </c>
      <c r="P147">
        <v>240496</v>
      </c>
      <c r="Q147" t="str">
        <v/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F8P-915</v>
      </c>
      <c r="D148" t="str">
        <v>F8P-915</v>
      </c>
      <c r="E148" t="str">
        <v/>
      </c>
      <c r="F148" t="str">
        <v>867806075079972</v>
      </c>
      <c r="G148" t="str">
        <v>TBD</v>
      </c>
      <c r="H148" t="str">
        <v/>
      </c>
      <c r="I148" t="str">
        <v>28/09/2026</v>
      </c>
      <c r="J148" t="str">
        <v>18:48:18</v>
      </c>
      <c r="K148">
        <v>-12.21293</v>
      </c>
      <c r="L148">
        <v>-76.95888</v>
      </c>
      <c r="M148">
        <f>HYPERLINK("https://www.google.com/maps/search/?api=1&amp;query=-12.21293,-76.95888","Avenida Villa del Mar, Villa El Salvador, Lima")</f>
      </c>
      <c r="N148">
        <v>0</v>
      </c>
      <c r="O148">
        <v>91</v>
      </c>
      <c r="P148">
        <v>240496</v>
      </c>
      <c r="Q148" t="str">
        <v/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F8P-915</v>
      </c>
      <c r="D149" t="str">
        <v>F8P-915</v>
      </c>
      <c r="E149" t="str">
        <v/>
      </c>
      <c r="F149" t="str">
        <v>867806075079972</v>
      </c>
      <c r="G149" t="str">
        <v>TBD</v>
      </c>
      <c r="H149" t="str">
        <v/>
      </c>
      <c r="I149" t="str">
        <v>28/09/2026</v>
      </c>
      <c r="J149" t="str">
        <v>18:58:18</v>
      </c>
      <c r="K149">
        <v>-12.21293</v>
      </c>
      <c r="L149">
        <v>-76.95888</v>
      </c>
      <c r="M149">
        <f>HYPERLINK("https://www.google.com/maps/search/?api=1&amp;query=-12.21293,-76.95888","Avenida Villa del Mar, Villa El Salvador, Lima")</f>
      </c>
      <c r="N149">
        <v>0</v>
      </c>
      <c r="O149">
        <v>91</v>
      </c>
      <c r="P149">
        <v>240496</v>
      </c>
      <c r="Q149" t="str">
        <v/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F8P-915</v>
      </c>
      <c r="D150" t="str">
        <v>F8P-915</v>
      </c>
      <c r="E150" t="str">
        <v/>
      </c>
      <c r="F150" t="str">
        <v>867806075079972</v>
      </c>
      <c r="G150" t="str">
        <v>TBD</v>
      </c>
      <c r="H150" t="str">
        <v/>
      </c>
      <c r="I150" t="str">
        <v>28/09/2026</v>
      </c>
      <c r="J150" t="str">
        <v>19:08:18</v>
      </c>
      <c r="K150">
        <v>-12.21293</v>
      </c>
      <c r="L150">
        <v>-76.95888</v>
      </c>
      <c r="M150">
        <f>HYPERLINK("https://www.google.com/maps/search/?api=1&amp;query=-12.21293,-76.95888","Avenida Villa del Mar, Villa El Salvador, Lima")</f>
      </c>
      <c r="N150">
        <v>0</v>
      </c>
      <c r="O150">
        <v>91</v>
      </c>
      <c r="P150">
        <v>240496</v>
      </c>
      <c r="Q150" t="str">
        <v/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F8P-915</v>
      </c>
      <c r="D151" t="str">
        <v>F8P-915</v>
      </c>
      <c r="E151" t="str">
        <v/>
      </c>
      <c r="F151" t="str">
        <v>867806075079972</v>
      </c>
      <c r="G151" t="str">
        <v>TBD</v>
      </c>
      <c r="H151" t="str">
        <v/>
      </c>
      <c r="I151" t="str">
        <v>28/09/2026</v>
      </c>
      <c r="J151" t="str">
        <v>19:18:18</v>
      </c>
      <c r="K151">
        <v>-12.21293</v>
      </c>
      <c r="L151">
        <v>-76.95888</v>
      </c>
      <c r="M151">
        <f>HYPERLINK("https://www.google.com/maps/search/?api=1&amp;query=-12.21293,-76.95888","Avenida Villa del Mar, Villa El Salvador, Lima")</f>
      </c>
      <c r="N151">
        <v>0</v>
      </c>
      <c r="O151">
        <v>91</v>
      </c>
      <c r="P151">
        <v>240496</v>
      </c>
      <c r="Q151" t="str">
        <v/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F8P-915</v>
      </c>
      <c r="D152" t="str">
        <v>F8P-915</v>
      </c>
      <c r="E152" t="str">
        <v/>
      </c>
      <c r="F152" t="str">
        <v>867806075079972</v>
      </c>
      <c r="G152" t="str">
        <v>TBD</v>
      </c>
      <c r="H152" t="str">
        <v/>
      </c>
      <c r="I152" t="str">
        <v>28/09/2026</v>
      </c>
      <c r="J152" t="str">
        <v>19:28:18</v>
      </c>
      <c r="K152">
        <v>-12.21293</v>
      </c>
      <c r="L152">
        <v>-76.95888</v>
      </c>
      <c r="M152">
        <f>HYPERLINK("https://www.google.com/maps/search/?api=1&amp;query=-12.21293,-76.95888","Avenida Villa del Mar, Villa El Salvador, Lima")</f>
      </c>
      <c r="N152">
        <v>0</v>
      </c>
      <c r="O152">
        <v>91</v>
      </c>
      <c r="P152">
        <v>240496</v>
      </c>
      <c r="Q152" t="str">
        <v/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F8P-915</v>
      </c>
      <c r="D153" t="str">
        <v>F8P-915</v>
      </c>
      <c r="E153" t="str">
        <v/>
      </c>
      <c r="F153" t="str">
        <v>867806075079972</v>
      </c>
      <c r="G153" t="str">
        <v>TBD</v>
      </c>
      <c r="H153" t="str">
        <v/>
      </c>
      <c r="I153" t="str">
        <v>28/09/2026</v>
      </c>
      <c r="J153" t="str">
        <v>19:38:18</v>
      </c>
      <c r="K153">
        <v>-12.21293</v>
      </c>
      <c r="L153">
        <v>-76.95888</v>
      </c>
      <c r="M153">
        <f>HYPERLINK("https://www.google.com/maps/search/?api=1&amp;query=-12.21293,-76.95888","Avenida Villa del Mar, Villa El Salvador, Lima")</f>
      </c>
      <c r="N153">
        <v>0</v>
      </c>
      <c r="O153">
        <v>94</v>
      </c>
      <c r="P153">
        <v>240496</v>
      </c>
      <c r="Q153" t="str">
        <v/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F8P-915</v>
      </c>
      <c r="D154" t="str">
        <v>F8P-915</v>
      </c>
      <c r="E154" t="str">
        <v/>
      </c>
      <c r="F154" t="str">
        <v>867806075079972</v>
      </c>
      <c r="G154" t="str">
        <v>TBD</v>
      </c>
      <c r="H154" t="str">
        <v/>
      </c>
      <c r="I154" t="str">
        <v>28/09/2026</v>
      </c>
      <c r="J154" t="str">
        <v>19:48:18</v>
      </c>
      <c r="K154">
        <v>-12.21293</v>
      </c>
      <c r="L154">
        <v>-76.95888</v>
      </c>
      <c r="M154">
        <f>HYPERLINK("https://www.google.com/maps/search/?api=1&amp;query=-12.21293,-76.95888","Avenida Villa del Mar, Villa El Salvador, Lima")</f>
      </c>
      <c r="N154">
        <v>0</v>
      </c>
      <c r="O154">
        <v>94</v>
      </c>
      <c r="P154">
        <v>240496</v>
      </c>
      <c r="Q154" t="str">
        <v/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F8P-915</v>
      </c>
      <c r="D155" t="str">
        <v>F8P-915</v>
      </c>
      <c r="E155" t="str">
        <v/>
      </c>
      <c r="F155" t="str">
        <v>867806075079972</v>
      </c>
      <c r="G155" t="str">
        <v>TBD</v>
      </c>
      <c r="H155" t="str">
        <v/>
      </c>
      <c r="I155" t="str">
        <v>28/09/2026</v>
      </c>
      <c r="J155" t="str">
        <v>19:58:18</v>
      </c>
      <c r="K155">
        <v>-12.21293</v>
      </c>
      <c r="L155">
        <v>-76.95888</v>
      </c>
      <c r="M155">
        <f>HYPERLINK("https://www.google.com/maps/search/?api=1&amp;query=-12.21293,-76.95888","Avenida Villa del Mar, Villa El Salvador, Lima")</f>
      </c>
      <c r="N155">
        <v>0</v>
      </c>
      <c r="O155">
        <v>94</v>
      </c>
      <c r="P155">
        <v>240496</v>
      </c>
      <c r="Q155" t="str">
        <v/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F8P-915</v>
      </c>
      <c r="D156" t="str">
        <v>F8P-915</v>
      </c>
      <c r="E156" t="str">
        <v/>
      </c>
      <c r="F156" t="str">
        <v>867806075079972</v>
      </c>
      <c r="G156" t="str">
        <v>TBD</v>
      </c>
      <c r="H156" t="str">
        <v/>
      </c>
      <c r="I156" t="str">
        <v>28/09/2026</v>
      </c>
      <c r="J156" t="str">
        <v>20:08:18</v>
      </c>
      <c r="K156">
        <v>-12.21293</v>
      </c>
      <c r="L156">
        <v>-76.95888</v>
      </c>
      <c r="M156">
        <f>HYPERLINK("https://www.google.com/maps/search/?api=1&amp;query=-12.21293,-76.95888","Avenida Villa del Mar, Villa El Salvador, Lima")</f>
      </c>
      <c r="N156">
        <v>0</v>
      </c>
      <c r="O156">
        <v>100</v>
      </c>
      <c r="P156">
        <v>240496</v>
      </c>
      <c r="Q156" t="str">
        <v/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F8P-915</v>
      </c>
      <c r="D157" t="str">
        <v>F8P-915</v>
      </c>
      <c r="E157" t="str">
        <v/>
      </c>
      <c r="F157" t="str">
        <v>867806075079972</v>
      </c>
      <c r="G157" t="str">
        <v>TBD</v>
      </c>
      <c r="H157" t="str">
        <v/>
      </c>
      <c r="I157" t="str">
        <v>28/09/2026</v>
      </c>
      <c r="J157" t="str">
        <v>20:18:18</v>
      </c>
      <c r="K157">
        <v>-12.21293</v>
      </c>
      <c r="L157">
        <v>-76.95888</v>
      </c>
      <c r="M157">
        <f>HYPERLINK("https://www.google.com/maps/search/?api=1&amp;query=-12.21293,-76.95888","Avenida Villa del Mar, Villa El Salvador, Lima")</f>
      </c>
      <c r="N157">
        <v>0</v>
      </c>
      <c r="O157">
        <v>98</v>
      </c>
      <c r="P157">
        <v>240496</v>
      </c>
      <c r="Q157" t="str">
        <v/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F8P-915</v>
      </c>
      <c r="D158" t="str">
        <v>F8P-915</v>
      </c>
      <c r="E158" t="str">
        <v/>
      </c>
      <c r="F158" t="str">
        <v>867806075079972</v>
      </c>
      <c r="G158" t="str">
        <v>TBD</v>
      </c>
      <c r="H158" t="str">
        <v/>
      </c>
      <c r="I158" t="str">
        <v>28/09/2026</v>
      </c>
      <c r="J158" t="str">
        <v>20:28:18</v>
      </c>
      <c r="K158">
        <v>-12.21293</v>
      </c>
      <c r="L158">
        <v>-76.95888</v>
      </c>
      <c r="M158">
        <f>HYPERLINK("https://www.google.com/maps/search/?api=1&amp;query=-12.21293,-76.95888","Avenida Villa del Mar, Villa El Salvador, Lima")</f>
      </c>
      <c r="N158">
        <v>0</v>
      </c>
      <c r="O158">
        <v>98</v>
      </c>
      <c r="P158">
        <v>240496</v>
      </c>
      <c r="Q158" t="str">
        <v/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F8P-915</v>
      </c>
      <c r="D159" t="str">
        <v>F8P-915</v>
      </c>
      <c r="E159" t="str">
        <v/>
      </c>
      <c r="F159" t="str">
        <v>867806075079972</v>
      </c>
      <c r="G159" t="str">
        <v>TBD</v>
      </c>
      <c r="H159" t="str">
        <v/>
      </c>
      <c r="I159" t="str">
        <v>28/09/2026</v>
      </c>
      <c r="J159" t="str">
        <v>20:38:18</v>
      </c>
      <c r="K159">
        <v>-12.21293</v>
      </c>
      <c r="L159">
        <v>-76.95888</v>
      </c>
      <c r="M159">
        <f>HYPERLINK("https://www.google.com/maps/search/?api=1&amp;query=-12.21293,-76.95888","Avenida Villa del Mar, Villa El Salvador, Lima")</f>
      </c>
      <c r="N159">
        <v>0</v>
      </c>
      <c r="O159">
        <v>100</v>
      </c>
      <c r="P159">
        <v>240496</v>
      </c>
      <c r="Q159" t="str">
        <v/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F8P-915</v>
      </c>
      <c r="D160" t="str">
        <v>F8P-915</v>
      </c>
      <c r="E160" t="str">
        <v/>
      </c>
      <c r="F160" t="str">
        <v>867806075079972</v>
      </c>
      <c r="G160" t="str">
        <v>TBD</v>
      </c>
      <c r="H160" t="str">
        <v/>
      </c>
      <c r="I160" t="str">
        <v>28/09/2026</v>
      </c>
      <c r="J160" t="str">
        <v>20:48:18</v>
      </c>
      <c r="K160">
        <v>-12.21293</v>
      </c>
      <c r="L160">
        <v>-76.95888</v>
      </c>
      <c r="M160">
        <f>HYPERLINK("https://www.google.com/maps/search/?api=1&amp;query=-12.21293,-76.95888","Avenida Villa del Mar, Villa El Salvador, Lima")</f>
      </c>
      <c r="N160">
        <v>0</v>
      </c>
      <c r="O160">
        <v>100</v>
      </c>
      <c r="P160">
        <v>240496</v>
      </c>
      <c r="Q160" t="str">
        <v/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F8P-915</v>
      </c>
      <c r="D161" t="str">
        <v>F8P-915</v>
      </c>
      <c r="E161" t="str">
        <v/>
      </c>
      <c r="F161" t="str">
        <v>867806075079972</v>
      </c>
      <c r="G161" t="str">
        <v>TBD</v>
      </c>
      <c r="H161" t="str">
        <v/>
      </c>
      <c r="I161" t="str">
        <v>28/09/2026</v>
      </c>
      <c r="J161" t="str">
        <v>20:58:18</v>
      </c>
      <c r="K161">
        <v>-12.21293</v>
      </c>
      <c r="L161">
        <v>-76.95888</v>
      </c>
      <c r="M161">
        <f>HYPERLINK("https://www.google.com/maps/search/?api=1&amp;query=-12.21293,-76.95888","Avenida Villa del Mar, Villa El Salvador, Lima")</f>
      </c>
      <c r="N161">
        <v>0</v>
      </c>
      <c r="O161">
        <v>100</v>
      </c>
      <c r="P161">
        <v>240496</v>
      </c>
      <c r="Q161" t="str">
        <v/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F8P-915</v>
      </c>
      <c r="D162" t="str">
        <v>F8P-915</v>
      </c>
      <c r="E162" t="str">
        <v/>
      </c>
      <c r="F162" t="str">
        <v>867806075079972</v>
      </c>
      <c r="G162" t="str">
        <v>TBD</v>
      </c>
      <c r="H162" t="str">
        <v/>
      </c>
      <c r="I162" t="str">
        <v>28/09/2026</v>
      </c>
      <c r="J162" t="str">
        <v>21:08:18</v>
      </c>
      <c r="K162">
        <v>-12.21293</v>
      </c>
      <c r="L162">
        <v>-76.95888</v>
      </c>
      <c r="M162">
        <f>HYPERLINK("https://www.google.com/maps/search/?api=1&amp;query=-12.21293,-76.95888","Avenida Villa del Mar, Villa El Salvador, Lima")</f>
      </c>
      <c r="N162">
        <v>0</v>
      </c>
      <c r="O162">
        <v>100</v>
      </c>
      <c r="P162">
        <v>240496</v>
      </c>
      <c r="Q162" t="str">
        <v/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F8P-915</v>
      </c>
      <c r="D163" t="str">
        <v>F8P-915</v>
      </c>
      <c r="E163" t="str">
        <v/>
      </c>
      <c r="F163" t="str">
        <v>867806075079972</v>
      </c>
      <c r="G163" t="str">
        <v>TBD</v>
      </c>
      <c r="H163" t="str">
        <v/>
      </c>
      <c r="I163" t="str">
        <v>28/09/2026</v>
      </c>
      <c r="J163" t="str">
        <v>21:18:18</v>
      </c>
      <c r="K163">
        <v>-12.21293</v>
      </c>
      <c r="L163">
        <v>-76.95888</v>
      </c>
      <c r="M163">
        <f>HYPERLINK("https://www.google.com/maps/search/?api=1&amp;query=-12.21293,-76.95888","Avenida Villa del Mar, Villa El Salvador, Lima")</f>
      </c>
      <c r="N163">
        <v>0</v>
      </c>
      <c r="O163">
        <v>97</v>
      </c>
      <c r="P163">
        <v>240496</v>
      </c>
      <c r="Q163" t="str">
        <v/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F8P-915</v>
      </c>
      <c r="D164" t="str">
        <v>F8P-915</v>
      </c>
      <c r="E164" t="str">
        <v/>
      </c>
      <c r="F164" t="str">
        <v>867806075079972</v>
      </c>
      <c r="G164" t="str">
        <v>TBD</v>
      </c>
      <c r="H164" t="str">
        <v/>
      </c>
      <c r="I164" t="str">
        <v>28/09/2026</v>
      </c>
      <c r="J164" t="str">
        <v>21:28:18</v>
      </c>
      <c r="K164">
        <v>-12.21293</v>
      </c>
      <c r="L164">
        <v>-76.95888</v>
      </c>
      <c r="M164">
        <f>HYPERLINK("https://www.google.com/maps/search/?api=1&amp;query=-12.21293,-76.95888","Avenida Villa del Mar, Villa El Salvador, Lima")</f>
      </c>
      <c r="N164">
        <v>0</v>
      </c>
      <c r="O164">
        <v>100</v>
      </c>
      <c r="P164">
        <v>240496</v>
      </c>
      <c r="Q164" t="str">
        <v/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F8P-915</v>
      </c>
      <c r="D165" t="str">
        <v>F8P-915</v>
      </c>
      <c r="E165" t="str">
        <v/>
      </c>
      <c r="F165" t="str">
        <v>867806075079972</v>
      </c>
      <c r="G165" t="str">
        <v>TBD</v>
      </c>
      <c r="H165" t="str">
        <v/>
      </c>
      <c r="I165" t="str">
        <v>28/09/2026</v>
      </c>
      <c r="J165" t="str">
        <v>21:38:18</v>
      </c>
      <c r="K165">
        <v>-12.21293</v>
      </c>
      <c r="L165">
        <v>-76.95888</v>
      </c>
      <c r="M165">
        <f>HYPERLINK("https://www.google.com/maps/search/?api=1&amp;query=-12.21293,-76.95888","Avenida Villa del Mar, Villa El Salvador, Lima")</f>
      </c>
      <c r="N165">
        <v>0</v>
      </c>
      <c r="O165">
        <v>100</v>
      </c>
      <c r="P165">
        <v>240496</v>
      </c>
      <c r="Q165" t="str">
        <v/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F8P-915</v>
      </c>
      <c r="D166" t="str">
        <v>F8P-915</v>
      </c>
      <c r="E166" t="str">
        <v/>
      </c>
      <c r="F166" t="str">
        <v>867806075079972</v>
      </c>
      <c r="G166" t="str">
        <v>TBD</v>
      </c>
      <c r="H166" t="str">
        <v/>
      </c>
      <c r="I166" t="str">
        <v>28/09/2026</v>
      </c>
      <c r="J166" t="str">
        <v>21:48:18</v>
      </c>
      <c r="K166">
        <v>-12.21293</v>
      </c>
      <c r="L166">
        <v>-76.95888</v>
      </c>
      <c r="M166">
        <f>HYPERLINK("https://www.google.com/maps/search/?api=1&amp;query=-12.21293,-76.95888","Avenida Villa del Mar, Villa El Salvador, Lima")</f>
      </c>
      <c r="N166">
        <v>0</v>
      </c>
      <c r="O166">
        <v>100</v>
      </c>
      <c r="P166">
        <v>240496</v>
      </c>
      <c r="Q166" t="str">
        <v/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F8P-915</v>
      </c>
      <c r="D167" t="str">
        <v>F8P-915</v>
      </c>
      <c r="E167" t="str">
        <v/>
      </c>
      <c r="F167" t="str">
        <v>867806075079972</v>
      </c>
      <c r="G167" t="str">
        <v>TBD</v>
      </c>
      <c r="H167" t="str">
        <v/>
      </c>
      <c r="I167" t="str">
        <v>28/09/2026</v>
      </c>
      <c r="J167" t="str">
        <v>21:58:18</v>
      </c>
      <c r="K167">
        <v>-12.21293</v>
      </c>
      <c r="L167">
        <v>-76.95888</v>
      </c>
      <c r="M167">
        <f>HYPERLINK("https://www.google.com/maps/search/?api=1&amp;query=-12.21293,-76.95888","Avenida Villa del Mar, Villa El Salvador, Lima")</f>
      </c>
      <c r="N167">
        <v>0</v>
      </c>
      <c r="O167">
        <v>100</v>
      </c>
      <c r="P167">
        <v>240496</v>
      </c>
      <c r="Q167" t="str">
        <v/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F8P-915</v>
      </c>
      <c r="D168" t="str">
        <v>F8P-915</v>
      </c>
      <c r="E168" t="str">
        <v/>
      </c>
      <c r="F168" t="str">
        <v>867806075079972</v>
      </c>
      <c r="G168" t="str">
        <v>TBD</v>
      </c>
      <c r="H168" t="str">
        <v/>
      </c>
      <c r="I168" t="str">
        <v>28/09/2026</v>
      </c>
      <c r="J168" t="str">
        <v>22:08:18</v>
      </c>
      <c r="K168">
        <v>-12.21293</v>
      </c>
      <c r="L168">
        <v>-76.95888</v>
      </c>
      <c r="M168">
        <f>HYPERLINK("https://www.google.com/maps/search/?api=1&amp;query=-12.21293,-76.95888","Avenida Villa del Mar, Villa El Salvador, Lima")</f>
      </c>
      <c r="N168">
        <v>0</v>
      </c>
      <c r="O168">
        <v>100</v>
      </c>
      <c r="P168">
        <v>240496</v>
      </c>
      <c r="Q168" t="str">
        <v/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F8P-915</v>
      </c>
      <c r="D169" t="str">
        <v>F8P-915</v>
      </c>
      <c r="E169" t="str">
        <v/>
      </c>
      <c r="F169" t="str">
        <v>867806075079972</v>
      </c>
      <c r="G169" t="str">
        <v>TBD</v>
      </c>
      <c r="H169" t="str">
        <v/>
      </c>
      <c r="I169" t="str">
        <v>28/09/2026</v>
      </c>
      <c r="J169" t="str">
        <v>22:18:18</v>
      </c>
      <c r="K169">
        <v>-12.21293</v>
      </c>
      <c r="L169">
        <v>-76.95888</v>
      </c>
      <c r="M169">
        <f>HYPERLINK("https://www.google.com/maps/search/?api=1&amp;query=-12.21293,-76.95888","Avenida Villa del Mar, Villa El Salvador, Lima")</f>
      </c>
      <c r="N169">
        <v>0</v>
      </c>
      <c r="O169">
        <v>97</v>
      </c>
      <c r="P169">
        <v>240496</v>
      </c>
      <c r="Q169" t="str">
        <v/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F8P-915</v>
      </c>
      <c r="D170" t="str">
        <v>F8P-915</v>
      </c>
      <c r="E170" t="str">
        <v/>
      </c>
      <c r="F170" t="str">
        <v>867806075079972</v>
      </c>
      <c r="G170" t="str">
        <v>TBD</v>
      </c>
      <c r="H170" t="str">
        <v/>
      </c>
      <c r="I170" t="str">
        <v>28/09/2026</v>
      </c>
      <c r="J170" t="str">
        <v>22:28:18</v>
      </c>
      <c r="K170">
        <v>-12.21293</v>
      </c>
      <c r="L170">
        <v>-76.95888</v>
      </c>
      <c r="M170">
        <f>HYPERLINK("https://www.google.com/maps/search/?api=1&amp;query=-12.21293,-76.95888","Avenida Villa del Mar, Villa El Salvador, Lima")</f>
      </c>
      <c r="N170">
        <v>0</v>
      </c>
      <c r="O170">
        <v>97</v>
      </c>
      <c r="P170">
        <v>240496</v>
      </c>
      <c r="Q170" t="str">
        <v/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F8P-915</v>
      </c>
      <c r="D171" t="str">
        <v>F8P-915</v>
      </c>
      <c r="E171" t="str">
        <v/>
      </c>
      <c r="F171" t="str">
        <v>867806075079972</v>
      </c>
      <c r="G171" t="str">
        <v>TBD</v>
      </c>
      <c r="H171" t="str">
        <v/>
      </c>
      <c r="I171" t="str">
        <v>28/09/2026</v>
      </c>
      <c r="J171" t="str">
        <v>22:38:18</v>
      </c>
      <c r="K171">
        <v>-12.21293</v>
      </c>
      <c r="L171">
        <v>-76.95888</v>
      </c>
      <c r="M171">
        <f>HYPERLINK("https://www.google.com/maps/search/?api=1&amp;query=-12.21293,-76.95888","Avenida Villa del Mar, Villa El Salvador, Lima")</f>
      </c>
      <c r="N171">
        <v>0</v>
      </c>
      <c r="O171">
        <v>97</v>
      </c>
      <c r="P171">
        <v>240496</v>
      </c>
      <c r="Q171" t="str">
        <v/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F8P-915</v>
      </c>
      <c r="D172" t="str">
        <v>F8P-915</v>
      </c>
      <c r="E172" t="str">
        <v/>
      </c>
      <c r="F172" t="str">
        <v>867806075079972</v>
      </c>
      <c r="G172" t="str">
        <v>TBD</v>
      </c>
      <c r="H172" t="str">
        <v/>
      </c>
      <c r="I172" t="str">
        <v>28/09/2026</v>
      </c>
      <c r="J172" t="str">
        <v>22:48:18</v>
      </c>
      <c r="K172">
        <v>-12.21293</v>
      </c>
      <c r="L172">
        <v>-76.95888</v>
      </c>
      <c r="M172">
        <f>HYPERLINK("https://www.google.com/maps/search/?api=1&amp;query=-12.21293,-76.95888","Avenida Villa del Mar, Villa El Salvador, Lima")</f>
      </c>
      <c r="N172">
        <v>0</v>
      </c>
      <c r="O172">
        <v>97</v>
      </c>
      <c r="P172">
        <v>240496</v>
      </c>
      <c r="Q172" t="str">
        <v/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F8P-915</v>
      </c>
      <c r="D173" t="str">
        <v>F8P-915</v>
      </c>
      <c r="E173" t="str">
        <v/>
      </c>
      <c r="F173" t="str">
        <v>867806075079972</v>
      </c>
      <c r="G173" t="str">
        <v>TBD</v>
      </c>
      <c r="H173" t="str">
        <v/>
      </c>
      <c r="I173" t="str">
        <v>28/09/2026</v>
      </c>
      <c r="J173" t="str">
        <v>22:58:18</v>
      </c>
      <c r="K173">
        <v>-12.21293</v>
      </c>
      <c r="L173">
        <v>-76.95888</v>
      </c>
      <c r="M173">
        <f>HYPERLINK("https://www.google.com/maps/search/?api=1&amp;query=-12.21293,-76.95888","Avenida Villa del Mar, Villa El Salvador, Lima")</f>
      </c>
      <c r="N173">
        <v>0</v>
      </c>
      <c r="O173">
        <v>97</v>
      </c>
      <c r="P173">
        <v>240496</v>
      </c>
      <c r="Q173" t="str">
        <v/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F8P-915</v>
      </c>
      <c r="D174" t="str">
        <v>F8P-915</v>
      </c>
      <c r="E174" t="str">
        <v/>
      </c>
      <c r="F174" t="str">
        <v>867806075079972</v>
      </c>
      <c r="G174" t="str">
        <v>TBD</v>
      </c>
      <c r="H174" t="str">
        <v/>
      </c>
      <c r="I174" t="str">
        <v>28/09/2026</v>
      </c>
      <c r="J174" t="str">
        <v>23:08:18</v>
      </c>
      <c r="K174">
        <v>-12.21293</v>
      </c>
      <c r="L174">
        <v>-76.95888</v>
      </c>
      <c r="M174">
        <f>HYPERLINK("https://www.google.com/maps/search/?api=1&amp;query=-12.21293,-76.95888","Avenida Villa del Mar, Villa El Salvador, Lima")</f>
      </c>
      <c r="N174">
        <v>0</v>
      </c>
      <c r="O174">
        <v>97</v>
      </c>
      <c r="P174">
        <v>240496</v>
      </c>
      <c r="Q174" t="str">
        <v/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F8P-915</v>
      </c>
      <c r="D175" t="str">
        <v>F8P-915</v>
      </c>
      <c r="E175" t="str">
        <v/>
      </c>
      <c r="F175" t="str">
        <v>867806075079972</v>
      </c>
      <c r="G175" t="str">
        <v>TBD</v>
      </c>
      <c r="H175" t="str">
        <v/>
      </c>
      <c r="I175" t="str">
        <v>28/09/2026</v>
      </c>
      <c r="J175" t="str">
        <v>23:18:18</v>
      </c>
      <c r="K175">
        <v>-12.21293</v>
      </c>
      <c r="L175">
        <v>-76.95888</v>
      </c>
      <c r="M175">
        <f>HYPERLINK("https://www.google.com/maps/search/?api=1&amp;query=-12.21293,-76.95888","Avenida Villa del Mar, Villa El Salvador, Lima")</f>
      </c>
      <c r="N175">
        <v>0</v>
      </c>
      <c r="O175">
        <v>97</v>
      </c>
      <c r="P175">
        <v>240496</v>
      </c>
      <c r="Q175" t="str">
        <v/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F8P-915</v>
      </c>
      <c r="D176" t="str">
        <v>F8P-915</v>
      </c>
      <c r="E176" t="str">
        <v/>
      </c>
      <c r="F176" t="str">
        <v>867806075079972</v>
      </c>
      <c r="G176" t="str">
        <v>TBD</v>
      </c>
      <c r="H176" t="str">
        <v/>
      </c>
      <c r="I176" t="str">
        <v>28/09/2026</v>
      </c>
      <c r="J176" t="str">
        <v>23:28:18</v>
      </c>
      <c r="K176">
        <v>-12.21293</v>
      </c>
      <c r="L176">
        <v>-76.95888</v>
      </c>
      <c r="M176">
        <f>HYPERLINK("https://www.google.com/maps/search/?api=1&amp;query=-12.21293,-76.95888","Avenida Villa del Mar, Villa El Salvador, Lima")</f>
      </c>
      <c r="N176">
        <v>0</v>
      </c>
      <c r="O176">
        <v>97</v>
      </c>
      <c r="P176">
        <v>240496</v>
      </c>
      <c r="Q176" t="str">
        <v/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F8P-915</v>
      </c>
      <c r="D177" t="str">
        <v>F8P-915</v>
      </c>
      <c r="E177" t="str">
        <v/>
      </c>
      <c r="F177" t="str">
        <v>867806075079972</v>
      </c>
      <c r="G177" t="str">
        <v>TBD</v>
      </c>
      <c r="H177" t="str">
        <v/>
      </c>
      <c r="I177" t="str">
        <v>28/09/2026</v>
      </c>
      <c r="J177" t="str">
        <v>23:38:18</v>
      </c>
      <c r="K177">
        <v>-12.21293</v>
      </c>
      <c r="L177">
        <v>-76.95888</v>
      </c>
      <c r="M177">
        <f>HYPERLINK("https://www.google.com/maps/search/?api=1&amp;query=-12.21293,-76.95888","Avenida Villa del Mar, Villa El Salvador, Lima")</f>
      </c>
      <c r="N177">
        <v>0</v>
      </c>
      <c r="O177">
        <v>100</v>
      </c>
      <c r="P177">
        <v>240496</v>
      </c>
      <c r="Q177" t="str">
        <v/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F8P-915</v>
      </c>
      <c r="D178" t="str">
        <v>F8P-915</v>
      </c>
      <c r="E178" t="str">
        <v/>
      </c>
      <c r="F178" t="str">
        <v>867806075079972</v>
      </c>
      <c r="G178" t="str">
        <v>TBD</v>
      </c>
      <c r="H178" t="str">
        <v/>
      </c>
      <c r="I178" t="str">
        <v>28/09/2026</v>
      </c>
      <c r="J178" t="str">
        <v>23:48:18</v>
      </c>
      <c r="K178">
        <v>-12.21293</v>
      </c>
      <c r="L178">
        <v>-76.95888</v>
      </c>
      <c r="M178">
        <f>HYPERLINK("https://www.google.com/maps/search/?api=1&amp;query=-12.21293,-76.95888","Avenida Villa del Mar, Villa El Salvador, Lima")</f>
      </c>
      <c r="N178">
        <v>0</v>
      </c>
      <c r="O178">
        <v>100</v>
      </c>
      <c r="P178">
        <v>240496</v>
      </c>
      <c r="Q178" t="str">
        <v/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F8P-915</v>
      </c>
      <c r="D179" t="str">
        <v>F8P-915</v>
      </c>
      <c r="E179" t="str">
        <v/>
      </c>
      <c r="F179" t="str">
        <v>867806075079972</v>
      </c>
      <c r="G179" t="str">
        <v>TBD</v>
      </c>
      <c r="H179" t="str">
        <v/>
      </c>
      <c r="I179" t="str">
        <v>28/09/2026</v>
      </c>
      <c r="J179" t="str">
        <v>23:58:18</v>
      </c>
      <c r="K179">
        <v>-12.21293</v>
      </c>
      <c r="L179">
        <v>-76.95888</v>
      </c>
      <c r="M179">
        <f>HYPERLINK("https://www.google.com/maps/search/?api=1&amp;query=-12.21293,-76.95888","Avenida Villa del Mar, Villa El Salvador, Lima")</f>
      </c>
      <c r="N179">
        <v>0</v>
      </c>
      <c r="O179">
        <v>100</v>
      </c>
      <c r="P179">
        <v>240496</v>
      </c>
      <c r="Q179" t="str">
        <v/>
      </c>
      <c r="R179" t="str">
        <v/>
      </c>
      <c r="S179" t="str">
        <v/>
      </c>
      <c r="T179" t="str">
        <v/>
      </c>
      <c r="U179" t="str">
        <v/>
      </c>
    </row>
  </sheetData>
  <ignoredErrors>
    <ignoredError numberStoredAsText="1" sqref="A1:U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