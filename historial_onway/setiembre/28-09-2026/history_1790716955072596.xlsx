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nsporte.ope4\Pictures\AS\Automatizaciones\MASS\REPORTE ALERTAS ONWAY\historial_onway\setiembre\28-09-2026\"/>
    </mc:Choice>
  </mc:AlternateContent>
  <xr:revisionPtr revIDLastSave="0" documentId="13_ncr:1_{C37097A8-C24A-4EFD-9ECB-E03F7ED553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 His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0" i="1" l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<sst xmlns="http://schemas.openxmlformats.org/spreadsheetml/2006/main" count="3906" uniqueCount="607">
  <si>
    <t>Secuencia</t>
  </si>
  <si>
    <t>Grupo</t>
  </si>
  <si>
    <t>Alias</t>
  </si>
  <si>
    <t>Etiquetas</t>
  </si>
  <si>
    <t>IMEI</t>
  </si>
  <si>
    <t>Tipo de carrocería</t>
  </si>
  <si>
    <t>Empresa</t>
  </si>
  <si>
    <t>Fecha</t>
  </si>
  <si>
    <t>Hora</t>
  </si>
  <si>
    <t>Latitud</t>
  </si>
  <si>
    <t>Longitud</t>
  </si>
  <si>
    <t>Dirección</t>
  </si>
  <si>
    <t>Velocidad (Km/h)</t>
  </si>
  <si>
    <t>% Batería</t>
  </si>
  <si>
    <t>Odómetro (Km)</t>
  </si>
  <si>
    <t>Horómetro (Hrs)</t>
  </si>
  <si>
    <t>Alerta</t>
  </si>
  <si>
    <t>Zona/Marca</t>
  </si>
  <si>
    <t>Conductor</t>
  </si>
  <si>
    <t>Notas</t>
  </si>
  <si>
    <t>1</t>
  </si>
  <si>
    <t>MASS BSF</t>
  </si>
  <si>
    <t>CPF-781</t>
  </si>
  <si>
    <t/>
  </si>
  <si>
    <t>867162029821188</t>
  </si>
  <si>
    <t>TBD</t>
  </si>
  <si>
    <t>28/09/2026</t>
  </si>
  <si>
    <t>00:01:25</t>
  </si>
  <si>
    <t>603.20</t>
  </si>
  <si>
    <t>2</t>
  </si>
  <si>
    <t>00:31:25</t>
  </si>
  <si>
    <t>3</t>
  </si>
  <si>
    <t>01:01:25</t>
  </si>
  <si>
    <t>4</t>
  </si>
  <si>
    <t>01:31:25</t>
  </si>
  <si>
    <t>5</t>
  </si>
  <si>
    <t>02:01:26</t>
  </si>
  <si>
    <t>6</t>
  </si>
  <si>
    <t>02:31:27</t>
  </si>
  <si>
    <t>7</t>
  </si>
  <si>
    <t>03:01:27</t>
  </si>
  <si>
    <t>8</t>
  </si>
  <si>
    <t>03:31:28</t>
  </si>
  <si>
    <t>9</t>
  </si>
  <si>
    <t>04:01:29</t>
  </si>
  <si>
    <t>10</t>
  </si>
  <si>
    <t>04:31:29</t>
  </si>
  <si>
    <t>11</t>
  </si>
  <si>
    <t>05:01:30</t>
  </si>
  <si>
    <t>12</t>
  </si>
  <si>
    <t>05:31:31</t>
  </si>
  <si>
    <t>13</t>
  </si>
  <si>
    <t>06:01:32</t>
  </si>
  <si>
    <t>14</t>
  </si>
  <si>
    <t>06:31:32</t>
  </si>
  <si>
    <t>15</t>
  </si>
  <si>
    <t>07:01:33</t>
  </si>
  <si>
    <t>16</t>
  </si>
  <si>
    <t>07:31:34</t>
  </si>
  <si>
    <t>17</t>
  </si>
  <si>
    <t>08:01:34</t>
  </si>
  <si>
    <t>18</t>
  </si>
  <si>
    <t>08:31:35</t>
  </si>
  <si>
    <t>19</t>
  </si>
  <si>
    <t>09:01:36</t>
  </si>
  <si>
    <t>20</t>
  </si>
  <si>
    <t>09:31:36</t>
  </si>
  <si>
    <t>21</t>
  </si>
  <si>
    <t>10:01:37</t>
  </si>
  <si>
    <t>22</t>
  </si>
  <si>
    <t>10:31:37</t>
  </si>
  <si>
    <t>23</t>
  </si>
  <si>
    <t>11:01:37</t>
  </si>
  <si>
    <t>24</t>
  </si>
  <si>
    <t>11:31:37</t>
  </si>
  <si>
    <t>25</t>
  </si>
  <si>
    <t>12:01:38</t>
  </si>
  <si>
    <t>26</t>
  </si>
  <si>
    <t>12:31:38</t>
  </si>
  <si>
    <t>27</t>
  </si>
  <si>
    <t>Llegó a la zona</t>
  </si>
  <si>
    <t>BASE-OSLOGISTICS</t>
  </si>
  <si>
    <t xml:space="preserve"> </t>
  </si>
  <si>
    <t>28</t>
  </si>
  <si>
    <t>13:01:38</t>
  </si>
  <si>
    <t>29</t>
  </si>
  <si>
    <t>13:31:36</t>
  </si>
  <si>
    <t>Vehículo encendido</t>
  </si>
  <si>
    <t>30</t>
  </si>
  <si>
    <t>13:31:41</t>
  </si>
  <si>
    <t>31</t>
  </si>
  <si>
    <t>13:32:38</t>
  </si>
  <si>
    <t>32</t>
  </si>
  <si>
    <t>33</t>
  </si>
  <si>
    <t>13:33:33</t>
  </si>
  <si>
    <t>602.87</t>
  </si>
  <si>
    <t>34</t>
  </si>
  <si>
    <t>13:34:20</t>
  </si>
  <si>
    <t>602.88</t>
  </si>
  <si>
    <t>35</t>
  </si>
  <si>
    <t>36</t>
  </si>
  <si>
    <t>13:35:18</t>
  </si>
  <si>
    <t>602.92</t>
  </si>
  <si>
    <t>37</t>
  </si>
  <si>
    <t>13:36:18</t>
  </si>
  <si>
    <t>Salió de zona</t>
  </si>
  <si>
    <t>38</t>
  </si>
  <si>
    <t>39</t>
  </si>
  <si>
    <t>13:37:18</t>
  </si>
  <si>
    <t>40</t>
  </si>
  <si>
    <t>13:38:18</t>
  </si>
  <si>
    <t>602.97</t>
  </si>
  <si>
    <t>41</t>
  </si>
  <si>
    <t>13:39:18</t>
  </si>
  <si>
    <t>42</t>
  </si>
  <si>
    <t>13:40:18</t>
  </si>
  <si>
    <t>602.98</t>
  </si>
  <si>
    <t>43</t>
  </si>
  <si>
    <t>13:40:50</t>
  </si>
  <si>
    <t>603.02</t>
  </si>
  <si>
    <t>44</t>
  </si>
  <si>
    <t>45</t>
  </si>
  <si>
    <t>13:40:53</t>
  </si>
  <si>
    <t>46</t>
  </si>
  <si>
    <t>13:41:48</t>
  </si>
  <si>
    <t>47</t>
  </si>
  <si>
    <t>13:42:08</t>
  </si>
  <si>
    <t>48</t>
  </si>
  <si>
    <t>13:42:29</t>
  </si>
  <si>
    <t>49</t>
  </si>
  <si>
    <t>13:42:48</t>
  </si>
  <si>
    <t>50</t>
  </si>
  <si>
    <t>13:43:48</t>
  </si>
  <si>
    <t>603.03</t>
  </si>
  <si>
    <t>51</t>
  </si>
  <si>
    <t>13:44:48</t>
  </si>
  <si>
    <t>603.07</t>
  </si>
  <si>
    <t>52</t>
  </si>
  <si>
    <t>13:44:56</t>
  </si>
  <si>
    <t>53</t>
  </si>
  <si>
    <t>13:45:02</t>
  </si>
  <si>
    <t>54</t>
  </si>
  <si>
    <t>13:45:32</t>
  </si>
  <si>
    <t>55</t>
  </si>
  <si>
    <t>13:45:48</t>
  </si>
  <si>
    <t>56</t>
  </si>
  <si>
    <t>13:46:05</t>
  </si>
  <si>
    <t>57</t>
  </si>
  <si>
    <t>13:46:14</t>
  </si>
  <si>
    <t>58</t>
  </si>
  <si>
    <t>13:46:49</t>
  </si>
  <si>
    <t>603.12</t>
  </si>
  <si>
    <t>59</t>
  </si>
  <si>
    <t>13:46:50</t>
  </si>
  <si>
    <t>60</t>
  </si>
  <si>
    <t>13:47:33</t>
  </si>
  <si>
    <t>61</t>
  </si>
  <si>
    <t>13:47:38</t>
  </si>
  <si>
    <t>62</t>
  </si>
  <si>
    <t>63</t>
  </si>
  <si>
    <t>13:47:41</t>
  </si>
  <si>
    <t>64</t>
  </si>
  <si>
    <t>13:48:34</t>
  </si>
  <si>
    <t>603.13</t>
  </si>
  <si>
    <t>65</t>
  </si>
  <si>
    <t>13:49:34</t>
  </si>
  <si>
    <t>66</t>
  </si>
  <si>
    <t>13:50:34</t>
  </si>
  <si>
    <t>603.17</t>
  </si>
  <si>
    <t>67</t>
  </si>
  <si>
    <t>13:51:34</t>
  </si>
  <si>
    <t>68</t>
  </si>
  <si>
    <t>13:52:34</t>
  </si>
  <si>
    <t>603.18</t>
  </si>
  <si>
    <t>69</t>
  </si>
  <si>
    <t>13:53:34</t>
  </si>
  <si>
    <t>603.22</t>
  </si>
  <si>
    <t>70</t>
  </si>
  <si>
    <t>13:54:34</t>
  </si>
  <si>
    <t>71</t>
  </si>
  <si>
    <t>13:55:34</t>
  </si>
  <si>
    <t>603.23</t>
  </si>
  <si>
    <t>72</t>
  </si>
  <si>
    <t>13:56:34</t>
  </si>
  <si>
    <t>603.27</t>
  </si>
  <si>
    <t>73</t>
  </si>
  <si>
    <t>13:56:44</t>
  </si>
  <si>
    <t>Excedió el límite de velocidad</t>
  </si>
  <si>
    <t>74</t>
  </si>
  <si>
    <t>13:57:33</t>
  </si>
  <si>
    <t>75</t>
  </si>
  <si>
    <t>13:57:56</t>
  </si>
  <si>
    <t>603.28</t>
  </si>
  <si>
    <t>76</t>
  </si>
  <si>
    <t>13:58:33</t>
  </si>
  <si>
    <t>77</t>
  </si>
  <si>
    <t>13:59:34</t>
  </si>
  <si>
    <t>603.32</t>
  </si>
  <si>
    <t>78</t>
  </si>
  <si>
    <t>13:59:38</t>
  </si>
  <si>
    <t>79</t>
  </si>
  <si>
    <t>14:00:23</t>
  </si>
  <si>
    <t>80</t>
  </si>
  <si>
    <t>14:00:34</t>
  </si>
  <si>
    <t>81</t>
  </si>
  <si>
    <t>14:01:34</t>
  </si>
  <si>
    <t>603.33</t>
  </si>
  <si>
    <t>82</t>
  </si>
  <si>
    <t>14:02:34</t>
  </si>
  <si>
    <t>603.37</t>
  </si>
  <si>
    <t>83</t>
  </si>
  <si>
    <t>14:03:34</t>
  </si>
  <si>
    <t>84</t>
  </si>
  <si>
    <t>14:03:44</t>
  </si>
  <si>
    <t>603.38</t>
  </si>
  <si>
    <t>85</t>
  </si>
  <si>
    <t>14:04:11</t>
  </si>
  <si>
    <t>86</t>
  </si>
  <si>
    <t>14:04:34</t>
  </si>
  <si>
    <t>87</t>
  </si>
  <si>
    <t>14:05:34</t>
  </si>
  <si>
    <t>603.42</t>
  </si>
  <si>
    <t>Exceso de velocidad en segmento vial</t>
  </si>
  <si>
    <t>88</t>
  </si>
  <si>
    <t>14:05:47</t>
  </si>
  <si>
    <t>89</t>
  </si>
  <si>
    <t>90</t>
  </si>
  <si>
    <t>14:05:53</t>
  </si>
  <si>
    <t>91</t>
  </si>
  <si>
    <t>14:05:59</t>
  </si>
  <si>
    <t>92</t>
  </si>
  <si>
    <t>14:06:44</t>
  </si>
  <si>
    <t>93</t>
  </si>
  <si>
    <t>94</t>
  </si>
  <si>
    <t>14:06:47</t>
  </si>
  <si>
    <t>95</t>
  </si>
  <si>
    <t>14:06:56</t>
  </si>
  <si>
    <t>96</t>
  </si>
  <si>
    <t>14:07:02</t>
  </si>
  <si>
    <t>97</t>
  </si>
  <si>
    <t>14:07:08</t>
  </si>
  <si>
    <t>98</t>
  </si>
  <si>
    <t>14:07:39</t>
  </si>
  <si>
    <t>603.47</t>
  </si>
  <si>
    <t>99</t>
  </si>
  <si>
    <t>14:08:39</t>
  </si>
  <si>
    <t>100</t>
  </si>
  <si>
    <t>14:09:20</t>
  </si>
  <si>
    <t>101</t>
  </si>
  <si>
    <t>14:09:39</t>
  </si>
  <si>
    <t>102</t>
  </si>
  <si>
    <t>MASS BSF 1</t>
  </si>
  <si>
    <t>103</t>
  </si>
  <si>
    <t>14:10:39</t>
  </si>
  <si>
    <t>603.48</t>
  </si>
  <si>
    <t>104</t>
  </si>
  <si>
    <t>14:11:05</t>
  </si>
  <si>
    <t>603.52</t>
  </si>
  <si>
    <t>105</t>
  </si>
  <si>
    <t>14:11:11</t>
  </si>
  <si>
    <t>106</t>
  </si>
  <si>
    <t>14:11:32</t>
  </si>
  <si>
    <t>107</t>
  </si>
  <si>
    <t>14:11:39</t>
  </si>
  <si>
    <t>108</t>
  </si>
  <si>
    <t>14:11:59</t>
  </si>
  <si>
    <t>109</t>
  </si>
  <si>
    <t>14:12:39</t>
  </si>
  <si>
    <t>603.53</t>
  </si>
  <si>
    <t>110</t>
  </si>
  <si>
    <t>14:13:39</t>
  </si>
  <si>
    <t>111</t>
  </si>
  <si>
    <t>14:14:39</t>
  </si>
  <si>
    <t>603.57</t>
  </si>
  <si>
    <t>112</t>
  </si>
  <si>
    <t>14:14:56</t>
  </si>
  <si>
    <t>113</t>
  </si>
  <si>
    <t>14:15:23</t>
  </si>
  <si>
    <t>114</t>
  </si>
  <si>
    <t>14:15:29</t>
  </si>
  <si>
    <t>115</t>
  </si>
  <si>
    <t>14:15:39</t>
  </si>
  <si>
    <t>116</t>
  </si>
  <si>
    <t>14:15:56</t>
  </si>
  <si>
    <t>603.58</t>
  </si>
  <si>
    <t>117</t>
  </si>
  <si>
    <t>14:16:39</t>
  </si>
  <si>
    <t>118</t>
  </si>
  <si>
    <t>14:16:49</t>
  </si>
  <si>
    <t>Vehículo apagado</t>
  </si>
  <si>
    <t>119</t>
  </si>
  <si>
    <t>14:16:52</t>
  </si>
  <si>
    <t>120</t>
  </si>
  <si>
    <t>14:41:33</t>
  </si>
  <si>
    <t>121</t>
  </si>
  <si>
    <t>14:41:53</t>
  </si>
  <si>
    <t>122</t>
  </si>
  <si>
    <t>14:42:11</t>
  </si>
  <si>
    <t>123</t>
  </si>
  <si>
    <t>14:42:35</t>
  </si>
  <si>
    <t>124</t>
  </si>
  <si>
    <t>125</t>
  </si>
  <si>
    <t>14:43:13</t>
  </si>
  <si>
    <t>126</t>
  </si>
  <si>
    <t>14:43:22</t>
  </si>
  <si>
    <t>127</t>
  </si>
  <si>
    <t>14:43:34</t>
  </si>
  <si>
    <t>603.63</t>
  </si>
  <si>
    <t>128</t>
  </si>
  <si>
    <t>14:44:17</t>
  </si>
  <si>
    <t>129</t>
  </si>
  <si>
    <t>14:44:21</t>
  </si>
  <si>
    <t>130</t>
  </si>
  <si>
    <t>14:48:34</t>
  </si>
  <si>
    <t>131</t>
  </si>
  <si>
    <t>14:48:48</t>
  </si>
  <si>
    <t>132</t>
  </si>
  <si>
    <t>14:49:00</t>
  </si>
  <si>
    <t>133</t>
  </si>
  <si>
    <t>14:49:03</t>
  </si>
  <si>
    <t>134</t>
  </si>
  <si>
    <t>14:49:07</t>
  </si>
  <si>
    <t>135</t>
  </si>
  <si>
    <t>14:49:34</t>
  </si>
  <si>
    <t>136</t>
  </si>
  <si>
    <t>137</t>
  </si>
  <si>
    <t>14:49:42</t>
  </si>
  <si>
    <t>138</t>
  </si>
  <si>
    <t>14:49:45</t>
  </si>
  <si>
    <t>139</t>
  </si>
  <si>
    <t>15:19:44</t>
  </si>
  <si>
    <t>140</t>
  </si>
  <si>
    <t>15:49:44</t>
  </si>
  <si>
    <t>141</t>
  </si>
  <si>
    <t>15:54:34</t>
  </si>
  <si>
    <t>142</t>
  </si>
  <si>
    <t>15:54:42</t>
  </si>
  <si>
    <t>143</t>
  </si>
  <si>
    <t>15:55:40</t>
  </si>
  <si>
    <t>144</t>
  </si>
  <si>
    <t>15:56:12</t>
  </si>
  <si>
    <t>603.68</t>
  </si>
  <si>
    <t>145</t>
  </si>
  <si>
    <t>15:56:17</t>
  </si>
  <si>
    <t>146</t>
  </si>
  <si>
    <t>15:56:40</t>
  </si>
  <si>
    <t>147</t>
  </si>
  <si>
    <t>15:57:40</t>
  </si>
  <si>
    <t>148</t>
  </si>
  <si>
    <t>15:58:40</t>
  </si>
  <si>
    <t>603.72</t>
  </si>
  <si>
    <t>149</t>
  </si>
  <si>
    <t>15:59:36</t>
  </si>
  <si>
    <t>150</t>
  </si>
  <si>
    <t>151</t>
  </si>
  <si>
    <t>15:59:38</t>
  </si>
  <si>
    <t>152</t>
  </si>
  <si>
    <t>16:00:01</t>
  </si>
  <si>
    <t>603.75</t>
  </si>
  <si>
    <t>153</t>
  </si>
  <si>
    <t>16:00:04</t>
  </si>
  <si>
    <t>154</t>
  </si>
  <si>
    <t>16:01:45</t>
  </si>
  <si>
    <t>155</t>
  </si>
  <si>
    <t>16:01:52</t>
  </si>
  <si>
    <t>156</t>
  </si>
  <si>
    <t>16:02:50</t>
  </si>
  <si>
    <t>157</t>
  </si>
  <si>
    <t>16:03:23</t>
  </si>
  <si>
    <t>603.77</t>
  </si>
  <si>
    <t>158</t>
  </si>
  <si>
    <t>16:03:29</t>
  </si>
  <si>
    <t>159</t>
  </si>
  <si>
    <t>16:03:32</t>
  </si>
  <si>
    <t>160</t>
  </si>
  <si>
    <t>16:03:35</t>
  </si>
  <si>
    <t>161</t>
  </si>
  <si>
    <t>16:03:50</t>
  </si>
  <si>
    <t>603.78</t>
  </si>
  <si>
    <t>162</t>
  </si>
  <si>
    <t>16:04:50</t>
  </si>
  <si>
    <t>163</t>
  </si>
  <si>
    <t>16:05:50</t>
  </si>
  <si>
    <t>603.82</t>
  </si>
  <si>
    <t>164</t>
  </si>
  <si>
    <t>16:06:11</t>
  </si>
  <si>
    <t>165</t>
  </si>
  <si>
    <t>16:06:29</t>
  </si>
  <si>
    <t>166</t>
  </si>
  <si>
    <t>16:06:32</t>
  </si>
  <si>
    <t>167</t>
  </si>
  <si>
    <t>16:06:50</t>
  </si>
  <si>
    <t>168</t>
  </si>
  <si>
    <t>16:07:50</t>
  </si>
  <si>
    <t>603.83</t>
  </si>
  <si>
    <t>169</t>
  </si>
  <si>
    <t>16:08:18</t>
  </si>
  <si>
    <t>170</t>
  </si>
  <si>
    <t>16:08:22</t>
  </si>
  <si>
    <t>171</t>
  </si>
  <si>
    <t>16:31:58</t>
  </si>
  <si>
    <t>172</t>
  </si>
  <si>
    <t>16:32:04</t>
  </si>
  <si>
    <t>173</t>
  </si>
  <si>
    <t>16:33:00</t>
  </si>
  <si>
    <t>174</t>
  </si>
  <si>
    <t>16:34:00</t>
  </si>
  <si>
    <t>175</t>
  </si>
  <si>
    <t>16:35:00</t>
  </si>
  <si>
    <t>603.90</t>
  </si>
  <si>
    <t>176</t>
  </si>
  <si>
    <t>16:36:00</t>
  </si>
  <si>
    <t>603.92</t>
  </si>
  <si>
    <t>177</t>
  </si>
  <si>
    <t>16:36:17</t>
  </si>
  <si>
    <t>603.93</t>
  </si>
  <si>
    <t>178</t>
  </si>
  <si>
    <t>16:36:22</t>
  </si>
  <si>
    <t>179</t>
  </si>
  <si>
    <t>16:37:00</t>
  </si>
  <si>
    <t>180</t>
  </si>
  <si>
    <t>16:38:00</t>
  </si>
  <si>
    <t>603.97</t>
  </si>
  <si>
    <t>181</t>
  </si>
  <si>
    <t>16:39:00</t>
  </si>
  <si>
    <t>182</t>
  </si>
  <si>
    <t>16:39:23</t>
  </si>
  <si>
    <t>183</t>
  </si>
  <si>
    <t>184</t>
  </si>
  <si>
    <t>16:39:35</t>
  </si>
  <si>
    <t>185</t>
  </si>
  <si>
    <t>16:40:00</t>
  </si>
  <si>
    <t>186</t>
  </si>
  <si>
    <t>16:41:00</t>
  </si>
  <si>
    <t>604.02</t>
  </si>
  <si>
    <t>187</t>
  </si>
  <si>
    <t>16:42:00</t>
  </si>
  <si>
    <t>188</t>
  </si>
  <si>
    <t>16:43:00</t>
  </si>
  <si>
    <t>604.05</t>
  </si>
  <si>
    <t>189</t>
  </si>
  <si>
    <t>16:44:00</t>
  </si>
  <si>
    <t>604.07</t>
  </si>
  <si>
    <t>190</t>
  </si>
  <si>
    <t>16:45:47</t>
  </si>
  <si>
    <t>604.08</t>
  </si>
  <si>
    <t>191</t>
  </si>
  <si>
    <t>16:46:00</t>
  </si>
  <si>
    <t>192</t>
  </si>
  <si>
    <t>16:47:00</t>
  </si>
  <si>
    <t>604.12</t>
  </si>
  <si>
    <t>193</t>
  </si>
  <si>
    <t>16:47:11</t>
  </si>
  <si>
    <t>194</t>
  </si>
  <si>
    <t>16:48:00</t>
  </si>
  <si>
    <t>195</t>
  </si>
  <si>
    <t>16:49:00</t>
  </si>
  <si>
    <t>604.13</t>
  </si>
  <si>
    <t>196</t>
  </si>
  <si>
    <t>16:50:00</t>
  </si>
  <si>
    <t>604.17</t>
  </si>
  <si>
    <t>197</t>
  </si>
  <si>
    <t>16:50:20</t>
  </si>
  <si>
    <t>198</t>
  </si>
  <si>
    <t>16:50:32</t>
  </si>
  <si>
    <t>199</t>
  </si>
  <si>
    <t>16:50:44</t>
  </si>
  <si>
    <t>200</t>
  </si>
  <si>
    <t>16:50:53</t>
  </si>
  <si>
    <t>201</t>
  </si>
  <si>
    <t>16:51:00</t>
  </si>
  <si>
    <t>202</t>
  </si>
  <si>
    <t>16:52:00</t>
  </si>
  <si>
    <t>604.18</t>
  </si>
  <si>
    <t>203</t>
  </si>
  <si>
    <t>16:53:00</t>
  </si>
  <si>
    <t>604.22</t>
  </si>
  <si>
    <t>204</t>
  </si>
  <si>
    <t>16:54:00</t>
  </si>
  <si>
    <t>205</t>
  </si>
  <si>
    <t>16:55:00</t>
  </si>
  <si>
    <t>604.23</t>
  </si>
  <si>
    <t>206</t>
  </si>
  <si>
    <t>16:56:00</t>
  </si>
  <si>
    <t>604.25</t>
  </si>
  <si>
    <t>207</t>
  </si>
  <si>
    <t>16:57:00</t>
  </si>
  <si>
    <t>208</t>
  </si>
  <si>
    <t>16:58:00</t>
  </si>
  <si>
    <t>604.30</t>
  </si>
  <si>
    <t>209</t>
  </si>
  <si>
    <t>16:59:00</t>
  </si>
  <si>
    <t>210</t>
  </si>
  <si>
    <t>17:00:00</t>
  </si>
  <si>
    <t>604.33</t>
  </si>
  <si>
    <t>211</t>
  </si>
  <si>
    <t>17:00:41</t>
  </si>
  <si>
    <t>212</t>
  </si>
  <si>
    <t>17:01:00</t>
  </si>
  <si>
    <t>213</t>
  </si>
  <si>
    <t>17:02:00</t>
  </si>
  <si>
    <t>604.35</t>
  </si>
  <si>
    <t>214</t>
  </si>
  <si>
    <t>17:02:44</t>
  </si>
  <si>
    <t>604.37</t>
  </si>
  <si>
    <t>215</t>
  </si>
  <si>
    <t>17:03:00</t>
  </si>
  <si>
    <t>216</t>
  </si>
  <si>
    <t>17:04:00</t>
  </si>
  <si>
    <t>604.40</t>
  </si>
  <si>
    <t>217</t>
  </si>
  <si>
    <t>17:05:00</t>
  </si>
  <si>
    <t>218</t>
  </si>
  <si>
    <t>17:06:00</t>
  </si>
  <si>
    <t>604.42</t>
  </si>
  <si>
    <t>219</t>
  </si>
  <si>
    <t>17:06:17</t>
  </si>
  <si>
    <t>220</t>
  </si>
  <si>
    <t>17:06:53</t>
  </si>
  <si>
    <t>604.43</t>
  </si>
  <si>
    <t>221</t>
  </si>
  <si>
    <t>17:06:59</t>
  </si>
  <si>
    <t>222</t>
  </si>
  <si>
    <t>223</t>
  </si>
  <si>
    <t>17:07:56</t>
  </si>
  <si>
    <t>604.45</t>
  </si>
  <si>
    <t>224</t>
  </si>
  <si>
    <t>17:08:56</t>
  </si>
  <si>
    <t>604.47</t>
  </si>
  <si>
    <t>225</t>
  </si>
  <si>
    <t>17:09:23</t>
  </si>
  <si>
    <t>604.48</t>
  </si>
  <si>
    <t>226</t>
  </si>
  <si>
    <t>227</t>
  </si>
  <si>
    <t>17:09:29</t>
  </si>
  <si>
    <t>228</t>
  </si>
  <si>
    <t>17:10:21</t>
  </si>
  <si>
    <t>604.50</t>
  </si>
  <si>
    <t>229</t>
  </si>
  <si>
    <t>17:11:21</t>
  </si>
  <si>
    <t>604.52</t>
  </si>
  <si>
    <t>230</t>
  </si>
  <si>
    <t>17:12:21</t>
  </si>
  <si>
    <t>604.53</t>
  </si>
  <si>
    <t>231</t>
  </si>
  <si>
    <t>17:13:21</t>
  </si>
  <si>
    <t>232</t>
  </si>
  <si>
    <t>17:13:47</t>
  </si>
  <si>
    <t>604.55</t>
  </si>
  <si>
    <t>233</t>
  </si>
  <si>
    <t>234</t>
  </si>
  <si>
    <t>17:14:21</t>
  </si>
  <si>
    <t>604.57</t>
  </si>
  <si>
    <t>235</t>
  </si>
  <si>
    <t>17:15:21</t>
  </si>
  <si>
    <t>604.58</t>
  </si>
  <si>
    <t>236</t>
  </si>
  <si>
    <t>17:15:56</t>
  </si>
  <si>
    <t>237</t>
  </si>
  <si>
    <t>17:16:21</t>
  </si>
  <si>
    <t>238</t>
  </si>
  <si>
    <t>17:17:02</t>
  </si>
  <si>
    <t>604.62</t>
  </si>
  <si>
    <t>239</t>
  </si>
  <si>
    <t>17:17:04</t>
  </si>
  <si>
    <t>240</t>
  </si>
  <si>
    <t>17:21:24</t>
  </si>
  <si>
    <t>241</t>
  </si>
  <si>
    <t>17:21:31</t>
  </si>
  <si>
    <t>242</t>
  </si>
  <si>
    <t>17:22:26</t>
  </si>
  <si>
    <t>243</t>
  </si>
  <si>
    <t>17:23:26</t>
  </si>
  <si>
    <t>604.63</t>
  </si>
  <si>
    <t>244</t>
  </si>
  <si>
    <t>245</t>
  </si>
  <si>
    <t>17:23:30</t>
  </si>
  <si>
    <t>246</t>
  </si>
  <si>
    <t>17:53:26</t>
  </si>
  <si>
    <t>604.67</t>
  </si>
  <si>
    <t>247</t>
  </si>
  <si>
    <t>18:23:26</t>
  </si>
  <si>
    <t>248</t>
  </si>
  <si>
    <t>18:53:27</t>
  </si>
  <si>
    <t>249</t>
  </si>
  <si>
    <t>19:23:27</t>
  </si>
  <si>
    <t>250</t>
  </si>
  <si>
    <t>19:53:27</t>
  </si>
  <si>
    <t>251</t>
  </si>
  <si>
    <t>20:23:28</t>
  </si>
  <si>
    <t>252</t>
  </si>
  <si>
    <t>20:53:28</t>
  </si>
  <si>
    <t>253</t>
  </si>
  <si>
    <t>21:01:52</t>
  </si>
  <si>
    <t>254</t>
  </si>
  <si>
    <t>21:01:53</t>
  </si>
  <si>
    <t>255</t>
  </si>
  <si>
    <t>21:31:48</t>
  </si>
  <si>
    <t>256</t>
  </si>
  <si>
    <t>22:01:48</t>
  </si>
  <si>
    <t>257</t>
  </si>
  <si>
    <t>22:31:48</t>
  </si>
  <si>
    <t>258</t>
  </si>
  <si>
    <t>23:01:49</t>
  </si>
  <si>
    <t>259</t>
  </si>
  <si>
    <t>23:31:49</t>
  </si>
  <si>
    <t>Placa/Patente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</si>
</sst>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0"/>
  <sheetViews>
    <sheetView tabSelected="1" topLeftCell="A2" workbookViewId="0">
      <selection activeCell="D2" sqref="D2:D260"/>
    </sheetView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s="1" t="s">
        <v>606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 t="s">
        <v>20</v>
      </c>
      <c r="B2" t="s">
        <v>21</v>
      </c>
      <c r="C2" t="s">
        <v>22</v>
      </c>
      <c r="D2" s="1" t="s">
        <v>22</v>
      </c>
      <c r="E2" t="s">
        <v>23</v>
      </c>
      <c r="F2" t="s">
        <v>24</v>
      </c>
      <c r="G2" t="s">
        <v>25</v>
      </c>
      <c r="H2" t="s">
        <v>23</v>
      </c>
      <c r="I2" t="s">
        <v>26</v>
      </c>
      <c r="J2" t="s">
        <v>27</v>
      </c>
      <c r="K2">
        <v>-12.213050000000001</v>
      </c>
      <c r="L2">
        <v>-76.958839999999995</v>
      </c>
      <c r="M2" t="str">
        <f t="shared" ref="M2:M30" si="0">HYPERLINK("https://www.google.com/maps/search/?api=1&amp;query=-12.21305,-76.95884","Villa El Salvador, Lima")</f>
        <v>Villa El Salvador, Lima</v>
      </c>
      <c r="N2">
        <v>0</v>
      </c>
      <c r="O2">
        <v>100</v>
      </c>
      <c r="P2">
        <v>2725.7</v>
      </c>
      <c r="Q2" t="s">
        <v>28</v>
      </c>
      <c r="R2" t="s">
        <v>23</v>
      </c>
      <c r="S2" t="s">
        <v>23</v>
      </c>
      <c r="T2" t="s">
        <v>23</v>
      </c>
      <c r="U2" t="s">
        <v>23</v>
      </c>
    </row>
    <row r="3" spans="1:21" x14ac:dyDescent="0.25">
      <c r="A3" t="s">
        <v>29</v>
      </c>
      <c r="B3" t="s">
        <v>21</v>
      </c>
      <c r="C3" t="s">
        <v>22</v>
      </c>
      <c r="D3" s="1" t="s">
        <v>22</v>
      </c>
      <c r="E3" t="s">
        <v>23</v>
      </c>
      <c r="F3" t="s">
        <v>24</v>
      </c>
      <c r="G3" t="s">
        <v>25</v>
      </c>
      <c r="H3" t="s">
        <v>23</v>
      </c>
      <c r="I3" t="s">
        <v>26</v>
      </c>
      <c r="J3" t="s">
        <v>30</v>
      </c>
      <c r="K3">
        <v>-12.213050000000001</v>
      </c>
      <c r="L3">
        <v>-76.958839999999995</v>
      </c>
      <c r="M3" t="str">
        <f t="shared" si="0"/>
        <v>Villa El Salvador, Lima</v>
      </c>
      <c r="N3">
        <v>0</v>
      </c>
      <c r="O3">
        <v>100</v>
      </c>
      <c r="P3">
        <v>2725.7</v>
      </c>
      <c r="Q3" t="s">
        <v>28</v>
      </c>
      <c r="R3" t="s">
        <v>23</v>
      </c>
      <c r="S3" t="s">
        <v>23</v>
      </c>
      <c r="T3" t="s">
        <v>23</v>
      </c>
      <c r="U3" t="s">
        <v>23</v>
      </c>
    </row>
    <row r="4" spans="1:21" x14ac:dyDescent="0.25">
      <c r="A4" t="s">
        <v>31</v>
      </c>
      <c r="B4" t="s">
        <v>21</v>
      </c>
      <c r="C4" t="s">
        <v>22</v>
      </c>
      <c r="D4" s="1" t="s">
        <v>22</v>
      </c>
      <c r="E4" t="s">
        <v>23</v>
      </c>
      <c r="F4" t="s">
        <v>24</v>
      </c>
      <c r="G4" t="s">
        <v>25</v>
      </c>
      <c r="H4" t="s">
        <v>23</v>
      </c>
      <c r="I4" t="s">
        <v>26</v>
      </c>
      <c r="J4" t="s">
        <v>32</v>
      </c>
      <c r="K4">
        <v>-12.213050000000001</v>
      </c>
      <c r="L4">
        <v>-76.958839999999995</v>
      </c>
      <c r="M4" t="str">
        <f t="shared" si="0"/>
        <v>Villa El Salvador, Lima</v>
      </c>
      <c r="N4">
        <v>0</v>
      </c>
      <c r="O4">
        <v>100</v>
      </c>
      <c r="P4">
        <v>2725.7</v>
      </c>
      <c r="Q4" t="s">
        <v>28</v>
      </c>
      <c r="R4" t="s">
        <v>23</v>
      </c>
      <c r="S4" t="s">
        <v>23</v>
      </c>
      <c r="T4" t="s">
        <v>23</v>
      </c>
      <c r="U4" t="s">
        <v>23</v>
      </c>
    </row>
    <row r="5" spans="1:21" x14ac:dyDescent="0.25">
      <c r="A5" t="s">
        <v>33</v>
      </c>
      <c r="B5" t="s">
        <v>21</v>
      </c>
      <c r="C5" t="s">
        <v>22</v>
      </c>
      <c r="D5" s="1" t="s">
        <v>22</v>
      </c>
      <c r="E5" t="s">
        <v>23</v>
      </c>
      <c r="F5" t="s">
        <v>24</v>
      </c>
      <c r="G5" t="s">
        <v>25</v>
      </c>
      <c r="H5" t="s">
        <v>23</v>
      </c>
      <c r="I5" t="s">
        <v>26</v>
      </c>
      <c r="J5" t="s">
        <v>34</v>
      </c>
      <c r="K5">
        <v>-12.213050000000001</v>
      </c>
      <c r="L5">
        <v>-76.958839999999995</v>
      </c>
      <c r="M5" t="str">
        <f t="shared" si="0"/>
        <v>Villa El Salvador, Lima</v>
      </c>
      <c r="N5">
        <v>0</v>
      </c>
      <c r="O5">
        <v>100</v>
      </c>
      <c r="P5">
        <v>2725.7</v>
      </c>
      <c r="Q5" t="s">
        <v>28</v>
      </c>
      <c r="R5" t="s">
        <v>23</v>
      </c>
      <c r="S5" t="s">
        <v>23</v>
      </c>
      <c r="T5" t="s">
        <v>23</v>
      </c>
      <c r="U5" t="s">
        <v>23</v>
      </c>
    </row>
    <row r="6" spans="1:21" x14ac:dyDescent="0.25">
      <c r="A6" t="s">
        <v>35</v>
      </c>
      <c r="B6" t="s">
        <v>21</v>
      </c>
      <c r="C6" t="s">
        <v>22</v>
      </c>
      <c r="D6" s="1" t="s">
        <v>22</v>
      </c>
      <c r="E6" t="s">
        <v>23</v>
      </c>
      <c r="F6" t="s">
        <v>24</v>
      </c>
      <c r="G6" t="s">
        <v>25</v>
      </c>
      <c r="H6" t="s">
        <v>23</v>
      </c>
      <c r="I6" t="s">
        <v>26</v>
      </c>
      <c r="J6" t="s">
        <v>36</v>
      </c>
      <c r="K6">
        <v>-12.213050000000001</v>
      </c>
      <c r="L6">
        <v>-76.958839999999995</v>
      </c>
      <c r="M6" t="str">
        <f t="shared" si="0"/>
        <v>Villa El Salvador, Lima</v>
      </c>
      <c r="N6">
        <v>0</v>
      </c>
      <c r="O6">
        <v>100</v>
      </c>
      <c r="P6">
        <v>2725.7</v>
      </c>
      <c r="Q6" t="s">
        <v>28</v>
      </c>
      <c r="R6" t="s">
        <v>23</v>
      </c>
      <c r="S6" t="s">
        <v>23</v>
      </c>
      <c r="T6" t="s">
        <v>23</v>
      </c>
      <c r="U6" t="s">
        <v>23</v>
      </c>
    </row>
    <row r="7" spans="1:21" x14ac:dyDescent="0.25">
      <c r="A7" t="s">
        <v>37</v>
      </c>
      <c r="B7" t="s">
        <v>21</v>
      </c>
      <c r="C7" t="s">
        <v>22</v>
      </c>
      <c r="D7" s="1" t="s">
        <v>22</v>
      </c>
      <c r="E7" t="s">
        <v>23</v>
      </c>
      <c r="F7" t="s">
        <v>24</v>
      </c>
      <c r="G7" t="s">
        <v>25</v>
      </c>
      <c r="H7" t="s">
        <v>23</v>
      </c>
      <c r="I7" t="s">
        <v>26</v>
      </c>
      <c r="J7" t="s">
        <v>38</v>
      </c>
      <c r="K7">
        <v>-12.213050000000001</v>
      </c>
      <c r="L7">
        <v>-76.958839999999995</v>
      </c>
      <c r="M7" t="str">
        <f t="shared" si="0"/>
        <v>Villa El Salvador, Lima</v>
      </c>
      <c r="N7">
        <v>0</v>
      </c>
      <c r="O7">
        <v>100</v>
      </c>
      <c r="P7">
        <v>2725.7</v>
      </c>
      <c r="Q7" t="s">
        <v>28</v>
      </c>
      <c r="R7" t="s">
        <v>23</v>
      </c>
      <c r="S7" t="s">
        <v>23</v>
      </c>
      <c r="T7" t="s">
        <v>23</v>
      </c>
      <c r="U7" t="s">
        <v>23</v>
      </c>
    </row>
    <row r="8" spans="1:21" x14ac:dyDescent="0.25">
      <c r="A8" t="s">
        <v>39</v>
      </c>
      <c r="B8" t="s">
        <v>21</v>
      </c>
      <c r="C8" t="s">
        <v>22</v>
      </c>
      <c r="D8" s="1" t="s">
        <v>22</v>
      </c>
      <c r="E8" t="s">
        <v>23</v>
      </c>
      <c r="F8" t="s">
        <v>24</v>
      </c>
      <c r="G8" t="s">
        <v>25</v>
      </c>
      <c r="H8" t="s">
        <v>23</v>
      </c>
      <c r="I8" t="s">
        <v>26</v>
      </c>
      <c r="J8" t="s">
        <v>40</v>
      </c>
      <c r="K8">
        <v>-12.213050000000001</v>
      </c>
      <c r="L8">
        <v>-76.958839999999995</v>
      </c>
      <c r="M8" t="str">
        <f t="shared" si="0"/>
        <v>Villa El Salvador, Lima</v>
      </c>
      <c r="N8">
        <v>0</v>
      </c>
      <c r="O8">
        <v>100</v>
      </c>
      <c r="P8">
        <v>2725.7</v>
      </c>
      <c r="Q8" t="s">
        <v>28</v>
      </c>
      <c r="R8" t="s">
        <v>23</v>
      </c>
      <c r="S8" t="s">
        <v>23</v>
      </c>
      <c r="T8" t="s">
        <v>23</v>
      </c>
      <c r="U8" t="s">
        <v>23</v>
      </c>
    </row>
    <row r="9" spans="1:21" x14ac:dyDescent="0.25">
      <c r="A9" t="s">
        <v>41</v>
      </c>
      <c r="B9" t="s">
        <v>21</v>
      </c>
      <c r="C9" t="s">
        <v>22</v>
      </c>
      <c r="D9" s="1" t="s">
        <v>22</v>
      </c>
      <c r="E9" t="s">
        <v>23</v>
      </c>
      <c r="F9" t="s">
        <v>24</v>
      </c>
      <c r="G9" t="s">
        <v>25</v>
      </c>
      <c r="H9" t="s">
        <v>23</v>
      </c>
      <c r="I9" t="s">
        <v>26</v>
      </c>
      <c r="J9" t="s">
        <v>42</v>
      </c>
      <c r="K9">
        <v>-12.213050000000001</v>
      </c>
      <c r="L9">
        <v>-76.958839999999995</v>
      </c>
      <c r="M9" t="str">
        <f t="shared" si="0"/>
        <v>Villa El Salvador, Lima</v>
      </c>
      <c r="N9">
        <v>0</v>
      </c>
      <c r="O9">
        <v>100</v>
      </c>
      <c r="P9">
        <v>2725.7</v>
      </c>
      <c r="Q9" t="s">
        <v>28</v>
      </c>
      <c r="R9" t="s">
        <v>23</v>
      </c>
      <c r="S9" t="s">
        <v>23</v>
      </c>
      <c r="T9" t="s">
        <v>23</v>
      </c>
      <c r="U9" t="s">
        <v>23</v>
      </c>
    </row>
    <row r="10" spans="1:21" x14ac:dyDescent="0.25">
      <c r="A10" t="s">
        <v>43</v>
      </c>
      <c r="B10" t="s">
        <v>21</v>
      </c>
      <c r="C10" t="s">
        <v>22</v>
      </c>
      <c r="D10" s="1" t="s">
        <v>22</v>
      </c>
      <c r="E10" t="s">
        <v>23</v>
      </c>
      <c r="F10" t="s">
        <v>24</v>
      </c>
      <c r="G10" t="s">
        <v>25</v>
      </c>
      <c r="H10" t="s">
        <v>23</v>
      </c>
      <c r="I10" t="s">
        <v>26</v>
      </c>
      <c r="J10" t="s">
        <v>44</v>
      </c>
      <c r="K10">
        <v>-12.213050000000001</v>
      </c>
      <c r="L10">
        <v>-76.958839999999995</v>
      </c>
      <c r="M10" t="str">
        <f t="shared" si="0"/>
        <v>Villa El Salvador, Lima</v>
      </c>
      <c r="N10">
        <v>0</v>
      </c>
      <c r="O10">
        <v>100</v>
      </c>
      <c r="P10">
        <v>2725.7</v>
      </c>
      <c r="Q10" t="s">
        <v>28</v>
      </c>
      <c r="R10" t="s">
        <v>23</v>
      </c>
      <c r="S10" t="s">
        <v>23</v>
      </c>
      <c r="T10" t="s">
        <v>23</v>
      </c>
      <c r="U10" t="s">
        <v>23</v>
      </c>
    </row>
    <row r="11" spans="1:21" x14ac:dyDescent="0.25">
      <c r="A11" t="s">
        <v>45</v>
      </c>
      <c r="B11" t="s">
        <v>21</v>
      </c>
      <c r="C11" t="s">
        <v>22</v>
      </c>
      <c r="D11" s="1" t="s">
        <v>22</v>
      </c>
      <c r="E11" t="s">
        <v>23</v>
      </c>
      <c r="F11" t="s">
        <v>24</v>
      </c>
      <c r="G11" t="s">
        <v>25</v>
      </c>
      <c r="H11" t="s">
        <v>23</v>
      </c>
      <c r="I11" t="s">
        <v>26</v>
      </c>
      <c r="J11" t="s">
        <v>46</v>
      </c>
      <c r="K11">
        <v>-12.213050000000001</v>
      </c>
      <c r="L11">
        <v>-76.958839999999995</v>
      </c>
      <c r="M11" t="str">
        <f t="shared" si="0"/>
        <v>Villa El Salvador, Lima</v>
      </c>
      <c r="N11">
        <v>0</v>
      </c>
      <c r="O11">
        <v>100</v>
      </c>
      <c r="P11">
        <v>2725.7</v>
      </c>
      <c r="Q11" t="s">
        <v>28</v>
      </c>
      <c r="R11" t="s">
        <v>23</v>
      </c>
      <c r="S11" t="s">
        <v>23</v>
      </c>
      <c r="T11" t="s">
        <v>23</v>
      </c>
      <c r="U11" t="s">
        <v>23</v>
      </c>
    </row>
    <row r="12" spans="1:21" x14ac:dyDescent="0.25">
      <c r="A12" t="s">
        <v>47</v>
      </c>
      <c r="B12" t="s">
        <v>21</v>
      </c>
      <c r="C12" t="s">
        <v>22</v>
      </c>
      <c r="D12" s="1" t="s">
        <v>22</v>
      </c>
      <c r="E12" t="s">
        <v>23</v>
      </c>
      <c r="F12" t="s">
        <v>24</v>
      </c>
      <c r="G12" t="s">
        <v>25</v>
      </c>
      <c r="H12" t="s">
        <v>23</v>
      </c>
      <c r="I12" t="s">
        <v>26</v>
      </c>
      <c r="J12" t="s">
        <v>48</v>
      </c>
      <c r="K12">
        <v>-12.213050000000001</v>
      </c>
      <c r="L12">
        <v>-76.958839999999995</v>
      </c>
      <c r="M12" t="str">
        <f t="shared" si="0"/>
        <v>Villa El Salvador, Lima</v>
      </c>
      <c r="N12">
        <v>0</v>
      </c>
      <c r="O12">
        <v>100</v>
      </c>
      <c r="P12">
        <v>2725.7</v>
      </c>
      <c r="Q12" t="s">
        <v>28</v>
      </c>
      <c r="R12" t="s">
        <v>23</v>
      </c>
      <c r="S12" t="s">
        <v>23</v>
      </c>
      <c r="T12" t="s">
        <v>23</v>
      </c>
      <c r="U12" t="s">
        <v>23</v>
      </c>
    </row>
    <row r="13" spans="1:21" x14ac:dyDescent="0.25">
      <c r="A13" t="s">
        <v>49</v>
      </c>
      <c r="B13" t="s">
        <v>21</v>
      </c>
      <c r="C13" t="s">
        <v>22</v>
      </c>
      <c r="D13" s="1" t="s">
        <v>22</v>
      </c>
      <c r="E13" t="s">
        <v>23</v>
      </c>
      <c r="F13" t="s">
        <v>24</v>
      </c>
      <c r="G13" t="s">
        <v>25</v>
      </c>
      <c r="H13" t="s">
        <v>23</v>
      </c>
      <c r="I13" t="s">
        <v>26</v>
      </c>
      <c r="J13" t="s">
        <v>50</v>
      </c>
      <c r="K13">
        <v>-12.213050000000001</v>
      </c>
      <c r="L13">
        <v>-76.958839999999995</v>
      </c>
      <c r="M13" t="str">
        <f t="shared" si="0"/>
        <v>Villa El Salvador, Lima</v>
      </c>
      <c r="N13">
        <v>0</v>
      </c>
      <c r="O13">
        <v>100</v>
      </c>
      <c r="P13">
        <v>2725.7</v>
      </c>
      <c r="Q13" t="s">
        <v>28</v>
      </c>
      <c r="R13" t="s">
        <v>23</v>
      </c>
      <c r="S13" t="s">
        <v>23</v>
      </c>
      <c r="T13" t="s">
        <v>23</v>
      </c>
      <c r="U13" t="s">
        <v>23</v>
      </c>
    </row>
    <row r="14" spans="1:21" x14ac:dyDescent="0.25">
      <c r="A14" t="s">
        <v>51</v>
      </c>
      <c r="B14" t="s">
        <v>21</v>
      </c>
      <c r="C14" t="s">
        <v>22</v>
      </c>
      <c r="D14" s="1" t="s">
        <v>22</v>
      </c>
      <c r="E14" t="s">
        <v>23</v>
      </c>
      <c r="F14" t="s">
        <v>24</v>
      </c>
      <c r="G14" t="s">
        <v>25</v>
      </c>
      <c r="H14" t="s">
        <v>23</v>
      </c>
      <c r="I14" t="s">
        <v>26</v>
      </c>
      <c r="J14" t="s">
        <v>52</v>
      </c>
      <c r="K14">
        <v>-12.213050000000001</v>
      </c>
      <c r="L14">
        <v>-76.958839999999995</v>
      </c>
      <c r="M14" t="str">
        <f t="shared" si="0"/>
        <v>Villa El Salvador, Lima</v>
      </c>
      <c r="N14">
        <v>0</v>
      </c>
      <c r="O14">
        <v>100</v>
      </c>
      <c r="P14">
        <v>2725.7</v>
      </c>
      <c r="Q14" t="s">
        <v>28</v>
      </c>
      <c r="R14" t="s">
        <v>23</v>
      </c>
      <c r="S14" t="s">
        <v>23</v>
      </c>
      <c r="T14" t="s">
        <v>23</v>
      </c>
      <c r="U14" t="s">
        <v>23</v>
      </c>
    </row>
    <row r="15" spans="1:21" x14ac:dyDescent="0.25">
      <c r="A15" t="s">
        <v>53</v>
      </c>
      <c r="B15" t="s">
        <v>21</v>
      </c>
      <c r="C15" t="s">
        <v>22</v>
      </c>
      <c r="D15" s="1" t="s">
        <v>22</v>
      </c>
      <c r="E15" t="s">
        <v>23</v>
      </c>
      <c r="F15" t="s">
        <v>24</v>
      </c>
      <c r="G15" t="s">
        <v>25</v>
      </c>
      <c r="H15" t="s">
        <v>23</v>
      </c>
      <c r="I15" t="s">
        <v>26</v>
      </c>
      <c r="J15" t="s">
        <v>54</v>
      </c>
      <c r="K15">
        <v>-12.213050000000001</v>
      </c>
      <c r="L15">
        <v>-76.958839999999995</v>
      </c>
      <c r="M15" t="str">
        <f t="shared" si="0"/>
        <v>Villa El Salvador, Lima</v>
      </c>
      <c r="N15">
        <v>0</v>
      </c>
      <c r="O15">
        <v>100</v>
      </c>
      <c r="P15">
        <v>2725.7</v>
      </c>
      <c r="Q15" t="s">
        <v>28</v>
      </c>
      <c r="R15" t="s">
        <v>23</v>
      </c>
      <c r="S15" t="s">
        <v>23</v>
      </c>
      <c r="T15" t="s">
        <v>23</v>
      </c>
      <c r="U15" t="s">
        <v>23</v>
      </c>
    </row>
    <row r="16" spans="1:21" x14ac:dyDescent="0.25">
      <c r="A16" t="s">
        <v>55</v>
      </c>
      <c r="B16" t="s">
        <v>21</v>
      </c>
      <c r="C16" t="s">
        <v>22</v>
      </c>
      <c r="D16" s="1" t="s">
        <v>22</v>
      </c>
      <c r="E16" t="s">
        <v>23</v>
      </c>
      <c r="F16" t="s">
        <v>24</v>
      </c>
      <c r="G16" t="s">
        <v>25</v>
      </c>
      <c r="H16" t="s">
        <v>23</v>
      </c>
      <c r="I16" t="s">
        <v>26</v>
      </c>
      <c r="J16" t="s">
        <v>56</v>
      </c>
      <c r="K16">
        <v>-12.213050000000001</v>
      </c>
      <c r="L16">
        <v>-76.958839999999995</v>
      </c>
      <c r="M16" t="str">
        <f t="shared" si="0"/>
        <v>Villa El Salvador, Lima</v>
      </c>
      <c r="N16">
        <v>0</v>
      </c>
      <c r="O16">
        <v>100</v>
      </c>
      <c r="P16">
        <v>2725.7</v>
      </c>
      <c r="Q16" t="s">
        <v>28</v>
      </c>
      <c r="R16" t="s">
        <v>23</v>
      </c>
      <c r="S16" t="s">
        <v>23</v>
      </c>
      <c r="T16" t="s">
        <v>23</v>
      </c>
      <c r="U16" t="s">
        <v>23</v>
      </c>
    </row>
    <row r="17" spans="1:21" x14ac:dyDescent="0.25">
      <c r="A17" t="s">
        <v>57</v>
      </c>
      <c r="B17" t="s">
        <v>21</v>
      </c>
      <c r="C17" t="s">
        <v>22</v>
      </c>
      <c r="D17" s="1" t="s">
        <v>22</v>
      </c>
      <c r="E17" t="s">
        <v>23</v>
      </c>
      <c r="F17" t="s">
        <v>24</v>
      </c>
      <c r="G17" t="s">
        <v>25</v>
      </c>
      <c r="H17" t="s">
        <v>23</v>
      </c>
      <c r="I17" t="s">
        <v>26</v>
      </c>
      <c r="J17" t="s">
        <v>58</v>
      </c>
      <c r="K17">
        <v>-12.213050000000001</v>
      </c>
      <c r="L17">
        <v>-76.958839999999995</v>
      </c>
      <c r="M17" t="str">
        <f t="shared" si="0"/>
        <v>Villa El Salvador, Lima</v>
      </c>
      <c r="N17">
        <v>0</v>
      </c>
      <c r="O17">
        <v>100</v>
      </c>
      <c r="P17">
        <v>2725.7</v>
      </c>
      <c r="Q17" t="s">
        <v>28</v>
      </c>
      <c r="R17" t="s">
        <v>23</v>
      </c>
      <c r="S17" t="s">
        <v>23</v>
      </c>
      <c r="T17" t="s">
        <v>23</v>
      </c>
      <c r="U17" t="s">
        <v>23</v>
      </c>
    </row>
    <row r="18" spans="1:21" x14ac:dyDescent="0.25">
      <c r="A18" t="s">
        <v>59</v>
      </c>
      <c r="B18" t="s">
        <v>21</v>
      </c>
      <c r="C18" t="s">
        <v>22</v>
      </c>
      <c r="D18" s="1" t="s">
        <v>22</v>
      </c>
      <c r="E18" t="s">
        <v>23</v>
      </c>
      <c r="F18" t="s">
        <v>24</v>
      </c>
      <c r="G18" t="s">
        <v>25</v>
      </c>
      <c r="H18" t="s">
        <v>23</v>
      </c>
      <c r="I18" t="s">
        <v>26</v>
      </c>
      <c r="J18" t="s">
        <v>60</v>
      </c>
      <c r="K18">
        <v>-12.213050000000001</v>
      </c>
      <c r="L18">
        <v>-76.958839999999995</v>
      </c>
      <c r="M18" t="str">
        <f t="shared" si="0"/>
        <v>Villa El Salvador, Lima</v>
      </c>
      <c r="N18">
        <v>0</v>
      </c>
      <c r="O18">
        <v>100</v>
      </c>
      <c r="P18">
        <v>2725.7</v>
      </c>
      <c r="Q18" t="s">
        <v>28</v>
      </c>
      <c r="R18" t="s">
        <v>23</v>
      </c>
      <c r="S18" t="s">
        <v>23</v>
      </c>
      <c r="T18" t="s">
        <v>23</v>
      </c>
      <c r="U18" t="s">
        <v>23</v>
      </c>
    </row>
    <row r="19" spans="1:21" x14ac:dyDescent="0.25">
      <c r="A19" t="s">
        <v>61</v>
      </c>
      <c r="B19" t="s">
        <v>21</v>
      </c>
      <c r="C19" t="s">
        <v>22</v>
      </c>
      <c r="D19" s="1" t="s">
        <v>22</v>
      </c>
      <c r="E19" t="s">
        <v>23</v>
      </c>
      <c r="F19" t="s">
        <v>24</v>
      </c>
      <c r="G19" t="s">
        <v>25</v>
      </c>
      <c r="H19" t="s">
        <v>23</v>
      </c>
      <c r="I19" t="s">
        <v>26</v>
      </c>
      <c r="J19" t="s">
        <v>62</v>
      </c>
      <c r="K19">
        <v>-12.213050000000001</v>
      </c>
      <c r="L19">
        <v>-76.958839999999995</v>
      </c>
      <c r="M19" t="str">
        <f t="shared" si="0"/>
        <v>Villa El Salvador, Lima</v>
      </c>
      <c r="N19">
        <v>0</v>
      </c>
      <c r="O19">
        <v>100</v>
      </c>
      <c r="P19">
        <v>2725.7</v>
      </c>
      <c r="Q19" t="s">
        <v>28</v>
      </c>
      <c r="R19" t="s">
        <v>23</v>
      </c>
      <c r="S19" t="s">
        <v>23</v>
      </c>
      <c r="T19" t="s">
        <v>23</v>
      </c>
      <c r="U19" t="s">
        <v>23</v>
      </c>
    </row>
    <row r="20" spans="1:21" x14ac:dyDescent="0.25">
      <c r="A20" t="s">
        <v>63</v>
      </c>
      <c r="B20" t="s">
        <v>21</v>
      </c>
      <c r="C20" t="s">
        <v>22</v>
      </c>
      <c r="D20" s="1" t="s">
        <v>22</v>
      </c>
      <c r="E20" t="s">
        <v>23</v>
      </c>
      <c r="F20" t="s">
        <v>24</v>
      </c>
      <c r="G20" t="s">
        <v>25</v>
      </c>
      <c r="H20" t="s">
        <v>23</v>
      </c>
      <c r="I20" t="s">
        <v>26</v>
      </c>
      <c r="J20" t="s">
        <v>64</v>
      </c>
      <c r="K20">
        <v>-12.213050000000001</v>
      </c>
      <c r="L20">
        <v>-76.958839999999995</v>
      </c>
      <c r="M20" t="str">
        <f t="shared" si="0"/>
        <v>Villa El Salvador, Lima</v>
      </c>
      <c r="N20">
        <v>0</v>
      </c>
      <c r="O20">
        <v>100</v>
      </c>
      <c r="P20">
        <v>2725.7</v>
      </c>
      <c r="Q20" t="s">
        <v>28</v>
      </c>
      <c r="R20" t="s">
        <v>23</v>
      </c>
      <c r="S20" t="s">
        <v>23</v>
      </c>
      <c r="T20" t="s">
        <v>23</v>
      </c>
      <c r="U20" t="s">
        <v>23</v>
      </c>
    </row>
    <row r="21" spans="1:21" x14ac:dyDescent="0.25">
      <c r="A21" t="s">
        <v>65</v>
      </c>
      <c r="B21" t="s">
        <v>21</v>
      </c>
      <c r="C21" t="s">
        <v>22</v>
      </c>
      <c r="D21" s="1" t="s">
        <v>22</v>
      </c>
      <c r="E21" t="s">
        <v>23</v>
      </c>
      <c r="F21" t="s">
        <v>24</v>
      </c>
      <c r="G21" t="s">
        <v>25</v>
      </c>
      <c r="H21" t="s">
        <v>23</v>
      </c>
      <c r="I21" t="s">
        <v>26</v>
      </c>
      <c r="J21" t="s">
        <v>66</v>
      </c>
      <c r="K21">
        <v>-12.213050000000001</v>
      </c>
      <c r="L21">
        <v>-76.958839999999995</v>
      </c>
      <c r="M21" t="str">
        <f t="shared" si="0"/>
        <v>Villa El Salvador, Lima</v>
      </c>
      <c r="N21">
        <v>0</v>
      </c>
      <c r="O21">
        <v>100</v>
      </c>
      <c r="P21">
        <v>2725.7</v>
      </c>
      <c r="Q21" t="s">
        <v>28</v>
      </c>
      <c r="R21" t="s">
        <v>23</v>
      </c>
      <c r="S21" t="s">
        <v>23</v>
      </c>
      <c r="T21" t="s">
        <v>23</v>
      </c>
      <c r="U21" t="s">
        <v>23</v>
      </c>
    </row>
    <row r="22" spans="1:21" x14ac:dyDescent="0.25">
      <c r="A22" t="s">
        <v>67</v>
      </c>
      <c r="B22" t="s">
        <v>21</v>
      </c>
      <c r="C22" t="s">
        <v>22</v>
      </c>
      <c r="D22" s="1" t="s">
        <v>22</v>
      </c>
      <c r="E22" t="s">
        <v>23</v>
      </c>
      <c r="F22" t="s">
        <v>24</v>
      </c>
      <c r="G22" t="s">
        <v>25</v>
      </c>
      <c r="H22" t="s">
        <v>23</v>
      </c>
      <c r="I22" t="s">
        <v>26</v>
      </c>
      <c r="J22" t="s">
        <v>68</v>
      </c>
      <c r="K22">
        <v>-12.213050000000001</v>
      </c>
      <c r="L22">
        <v>-76.958839999999995</v>
      </c>
      <c r="M22" t="str">
        <f t="shared" si="0"/>
        <v>Villa El Salvador, Lima</v>
      </c>
      <c r="N22">
        <v>0</v>
      </c>
      <c r="O22">
        <v>100</v>
      </c>
      <c r="P22">
        <v>2725.7</v>
      </c>
      <c r="Q22" t="s">
        <v>28</v>
      </c>
      <c r="R22" t="s">
        <v>23</v>
      </c>
      <c r="S22" t="s">
        <v>23</v>
      </c>
      <c r="T22" t="s">
        <v>23</v>
      </c>
      <c r="U22" t="s">
        <v>23</v>
      </c>
    </row>
    <row r="23" spans="1:21" x14ac:dyDescent="0.25">
      <c r="A23" t="s">
        <v>69</v>
      </c>
      <c r="B23" t="s">
        <v>21</v>
      </c>
      <c r="C23" t="s">
        <v>22</v>
      </c>
      <c r="D23" s="1" t="s">
        <v>22</v>
      </c>
      <c r="E23" t="s">
        <v>23</v>
      </c>
      <c r="F23" t="s">
        <v>24</v>
      </c>
      <c r="G23" t="s">
        <v>25</v>
      </c>
      <c r="H23" t="s">
        <v>23</v>
      </c>
      <c r="I23" t="s">
        <v>26</v>
      </c>
      <c r="J23" t="s">
        <v>70</v>
      </c>
      <c r="K23">
        <v>-12.213050000000001</v>
      </c>
      <c r="L23">
        <v>-76.958839999999995</v>
      </c>
      <c r="M23" t="str">
        <f t="shared" si="0"/>
        <v>Villa El Salvador, Lima</v>
      </c>
      <c r="N23">
        <v>0</v>
      </c>
      <c r="O23">
        <v>100</v>
      </c>
      <c r="P23">
        <v>2725.7</v>
      </c>
      <c r="Q23" t="s">
        <v>28</v>
      </c>
      <c r="R23" t="s">
        <v>23</v>
      </c>
      <c r="S23" t="s">
        <v>23</v>
      </c>
      <c r="T23" t="s">
        <v>23</v>
      </c>
      <c r="U23" t="s">
        <v>23</v>
      </c>
    </row>
    <row r="24" spans="1:21" x14ac:dyDescent="0.25">
      <c r="A24" t="s">
        <v>71</v>
      </c>
      <c r="B24" t="s">
        <v>21</v>
      </c>
      <c r="C24" t="s">
        <v>22</v>
      </c>
      <c r="D24" s="1" t="s">
        <v>22</v>
      </c>
      <c r="E24" t="s">
        <v>23</v>
      </c>
      <c r="F24" t="s">
        <v>24</v>
      </c>
      <c r="G24" t="s">
        <v>25</v>
      </c>
      <c r="H24" t="s">
        <v>23</v>
      </c>
      <c r="I24" t="s">
        <v>26</v>
      </c>
      <c r="J24" t="s">
        <v>72</v>
      </c>
      <c r="K24">
        <v>-12.213050000000001</v>
      </c>
      <c r="L24">
        <v>-76.958839999999995</v>
      </c>
      <c r="M24" t="str">
        <f t="shared" si="0"/>
        <v>Villa El Salvador, Lima</v>
      </c>
      <c r="N24">
        <v>0</v>
      </c>
      <c r="O24">
        <v>100</v>
      </c>
      <c r="P24">
        <v>2725.7</v>
      </c>
      <c r="Q24" t="s">
        <v>28</v>
      </c>
      <c r="R24" t="s">
        <v>23</v>
      </c>
      <c r="S24" t="s">
        <v>23</v>
      </c>
      <c r="T24" t="s">
        <v>23</v>
      </c>
      <c r="U24" t="s">
        <v>23</v>
      </c>
    </row>
    <row r="25" spans="1:21" x14ac:dyDescent="0.25">
      <c r="A25" t="s">
        <v>73</v>
      </c>
      <c r="B25" t="s">
        <v>21</v>
      </c>
      <c r="C25" t="s">
        <v>22</v>
      </c>
      <c r="D25" s="1" t="s">
        <v>22</v>
      </c>
      <c r="E25" t="s">
        <v>23</v>
      </c>
      <c r="F25" t="s">
        <v>24</v>
      </c>
      <c r="G25" t="s">
        <v>25</v>
      </c>
      <c r="H25" t="s">
        <v>23</v>
      </c>
      <c r="I25" t="s">
        <v>26</v>
      </c>
      <c r="J25" t="s">
        <v>74</v>
      </c>
      <c r="K25">
        <v>-12.213050000000001</v>
      </c>
      <c r="L25">
        <v>-76.958839999999995</v>
      </c>
      <c r="M25" t="str">
        <f t="shared" si="0"/>
        <v>Villa El Salvador, Lima</v>
      </c>
      <c r="N25">
        <v>0</v>
      </c>
      <c r="O25">
        <v>100</v>
      </c>
      <c r="P25">
        <v>2725.7</v>
      </c>
      <c r="Q25" t="s">
        <v>28</v>
      </c>
      <c r="R25" t="s">
        <v>23</v>
      </c>
      <c r="S25" t="s">
        <v>23</v>
      </c>
      <c r="T25" t="s">
        <v>23</v>
      </c>
      <c r="U25" t="s">
        <v>23</v>
      </c>
    </row>
    <row r="26" spans="1:21" x14ac:dyDescent="0.25">
      <c r="A26" t="s">
        <v>75</v>
      </c>
      <c r="B26" t="s">
        <v>21</v>
      </c>
      <c r="C26" t="s">
        <v>22</v>
      </c>
      <c r="D26" s="1" t="s">
        <v>22</v>
      </c>
      <c r="E26" t="s">
        <v>23</v>
      </c>
      <c r="F26" t="s">
        <v>24</v>
      </c>
      <c r="G26" t="s">
        <v>25</v>
      </c>
      <c r="H26" t="s">
        <v>23</v>
      </c>
      <c r="I26" t="s">
        <v>26</v>
      </c>
      <c r="J26" t="s">
        <v>76</v>
      </c>
      <c r="K26">
        <v>-12.213050000000001</v>
      </c>
      <c r="L26">
        <v>-76.958839999999995</v>
      </c>
      <c r="M26" t="str">
        <f t="shared" si="0"/>
        <v>Villa El Salvador, Lima</v>
      </c>
      <c r="N26">
        <v>0</v>
      </c>
      <c r="O26">
        <v>100</v>
      </c>
      <c r="P26">
        <v>2725.7</v>
      </c>
      <c r="Q26" t="s">
        <v>28</v>
      </c>
      <c r="R26" t="s">
        <v>23</v>
      </c>
      <c r="S26" t="s">
        <v>23</v>
      </c>
      <c r="T26" t="s">
        <v>23</v>
      </c>
      <c r="U26" t="s">
        <v>23</v>
      </c>
    </row>
    <row r="27" spans="1:21" x14ac:dyDescent="0.25">
      <c r="A27" t="s">
        <v>77</v>
      </c>
      <c r="B27" t="s">
        <v>21</v>
      </c>
      <c r="C27" t="s">
        <v>22</v>
      </c>
      <c r="D27" s="1" t="s">
        <v>22</v>
      </c>
      <c r="E27" t="s">
        <v>23</v>
      </c>
      <c r="F27" t="s">
        <v>24</v>
      </c>
      <c r="G27" t="s">
        <v>25</v>
      </c>
      <c r="H27" t="s">
        <v>23</v>
      </c>
      <c r="I27" t="s">
        <v>26</v>
      </c>
      <c r="J27" t="s">
        <v>78</v>
      </c>
      <c r="K27">
        <v>-12.213050000000001</v>
      </c>
      <c r="L27">
        <v>-76.958839999999995</v>
      </c>
      <c r="M27" t="str">
        <f t="shared" si="0"/>
        <v>Villa El Salvador, Lima</v>
      </c>
      <c r="N27">
        <v>0</v>
      </c>
      <c r="O27">
        <v>100</v>
      </c>
      <c r="P27">
        <v>2725.7</v>
      </c>
      <c r="Q27" t="s">
        <v>28</v>
      </c>
      <c r="R27" t="s">
        <v>23</v>
      </c>
      <c r="S27" t="s">
        <v>23</v>
      </c>
      <c r="T27" t="s">
        <v>23</v>
      </c>
      <c r="U27" t="s">
        <v>23</v>
      </c>
    </row>
    <row r="28" spans="1:21" x14ac:dyDescent="0.25">
      <c r="A28" t="s">
        <v>79</v>
      </c>
      <c r="B28" t="s">
        <v>21</v>
      </c>
      <c r="C28" t="s">
        <v>22</v>
      </c>
      <c r="D28" s="1" t="s">
        <v>22</v>
      </c>
      <c r="E28" t="s">
        <v>23</v>
      </c>
      <c r="F28" t="s">
        <v>24</v>
      </c>
      <c r="G28" t="s">
        <v>25</v>
      </c>
      <c r="H28" t="s">
        <v>23</v>
      </c>
      <c r="I28" t="s">
        <v>26</v>
      </c>
      <c r="J28" t="s">
        <v>78</v>
      </c>
      <c r="K28">
        <v>-12.213050000000001</v>
      </c>
      <c r="L28">
        <v>-76.958839999999995</v>
      </c>
      <c r="M28" t="str">
        <f t="shared" si="0"/>
        <v>Villa El Salvador, Lima</v>
      </c>
      <c r="N28">
        <v>0</v>
      </c>
      <c r="O28">
        <v>100</v>
      </c>
      <c r="P28">
        <v>2725.7</v>
      </c>
      <c r="Q28" t="s">
        <v>28</v>
      </c>
      <c r="R28" t="s">
        <v>80</v>
      </c>
      <c r="S28" t="s">
        <v>81</v>
      </c>
      <c r="T28" t="s">
        <v>82</v>
      </c>
      <c r="U28" t="s">
        <v>23</v>
      </c>
    </row>
    <row r="29" spans="1:21" x14ac:dyDescent="0.25">
      <c r="A29" t="s">
        <v>83</v>
      </c>
      <c r="B29" t="s">
        <v>21</v>
      </c>
      <c r="C29" t="s">
        <v>22</v>
      </c>
      <c r="D29" s="1" t="s">
        <v>22</v>
      </c>
      <c r="E29" t="s">
        <v>23</v>
      </c>
      <c r="F29" t="s">
        <v>24</v>
      </c>
      <c r="G29" t="s">
        <v>25</v>
      </c>
      <c r="H29" t="s">
        <v>23</v>
      </c>
      <c r="I29" t="s">
        <v>26</v>
      </c>
      <c r="J29" t="s">
        <v>84</v>
      </c>
      <c r="K29">
        <v>-12.213050000000001</v>
      </c>
      <c r="L29">
        <v>-76.958839999999995</v>
      </c>
      <c r="M29" t="str">
        <f t="shared" si="0"/>
        <v>Villa El Salvador, Lima</v>
      </c>
      <c r="N29">
        <v>0</v>
      </c>
      <c r="O29">
        <v>100</v>
      </c>
      <c r="P29">
        <v>2725.7</v>
      </c>
      <c r="Q29" t="s">
        <v>28</v>
      </c>
      <c r="R29" t="s">
        <v>23</v>
      </c>
      <c r="S29" t="s">
        <v>23</v>
      </c>
      <c r="T29" t="s">
        <v>23</v>
      </c>
      <c r="U29" t="s">
        <v>23</v>
      </c>
    </row>
    <row r="30" spans="1:21" x14ac:dyDescent="0.25">
      <c r="A30" t="s">
        <v>85</v>
      </c>
      <c r="B30" t="s">
        <v>21</v>
      </c>
      <c r="C30" t="s">
        <v>22</v>
      </c>
      <c r="D30" s="1" t="s">
        <v>22</v>
      </c>
      <c r="E30" t="s">
        <v>23</v>
      </c>
      <c r="F30" t="s">
        <v>24</v>
      </c>
      <c r="G30" t="s">
        <v>25</v>
      </c>
      <c r="H30" t="s">
        <v>23</v>
      </c>
      <c r="I30" t="s">
        <v>26</v>
      </c>
      <c r="J30" t="s">
        <v>86</v>
      </c>
      <c r="K30">
        <v>-12.213050000000001</v>
      </c>
      <c r="L30">
        <v>-76.958839999999995</v>
      </c>
      <c r="M30" t="str">
        <f t="shared" si="0"/>
        <v>Villa El Salvador, Lima</v>
      </c>
      <c r="N30">
        <v>0</v>
      </c>
      <c r="O30">
        <v>100</v>
      </c>
      <c r="P30">
        <v>2725.7</v>
      </c>
      <c r="Q30" t="s">
        <v>28</v>
      </c>
      <c r="R30" t="s">
        <v>87</v>
      </c>
      <c r="S30" t="s">
        <v>23</v>
      </c>
      <c r="T30" t="s">
        <v>23</v>
      </c>
      <c r="U30" t="s">
        <v>23</v>
      </c>
    </row>
    <row r="31" spans="1:21" x14ac:dyDescent="0.25">
      <c r="A31" t="s">
        <v>88</v>
      </c>
      <c r="B31" t="s">
        <v>21</v>
      </c>
      <c r="C31" t="s">
        <v>22</v>
      </c>
      <c r="D31" s="1" t="s">
        <v>22</v>
      </c>
      <c r="E31" t="s">
        <v>23</v>
      </c>
      <c r="F31" t="s">
        <v>24</v>
      </c>
      <c r="G31" t="s">
        <v>25</v>
      </c>
      <c r="H31" t="s">
        <v>23</v>
      </c>
      <c r="I31" t="s">
        <v>26</v>
      </c>
      <c r="J31" t="s">
        <v>89</v>
      </c>
      <c r="K31">
        <v>-12.213151</v>
      </c>
      <c r="L31">
        <v>-76.958939999999998</v>
      </c>
      <c r="M31" t="str">
        <f>HYPERLINK("https://www.google.com/maps/search/?api=1&amp;query=-12.213151,-76.95894","Villa El Salvador, Lima")</f>
        <v>Villa El Salvador, Lima</v>
      </c>
      <c r="N31">
        <v>0.4</v>
      </c>
      <c r="O31">
        <v>100</v>
      </c>
      <c r="P31">
        <v>2725.7</v>
      </c>
      <c r="Q31" t="s">
        <v>28</v>
      </c>
      <c r="R31" t="s">
        <v>23</v>
      </c>
      <c r="S31" t="s">
        <v>23</v>
      </c>
      <c r="T31" t="s">
        <v>23</v>
      </c>
      <c r="U31" t="s">
        <v>23</v>
      </c>
    </row>
    <row r="32" spans="1:21" x14ac:dyDescent="0.25">
      <c r="A32" t="s">
        <v>90</v>
      </c>
      <c r="B32" t="s">
        <v>21</v>
      </c>
      <c r="C32" t="s">
        <v>22</v>
      </c>
      <c r="D32" s="1" t="s">
        <v>22</v>
      </c>
      <c r="E32" t="s">
        <v>23</v>
      </c>
      <c r="F32" t="s">
        <v>24</v>
      </c>
      <c r="G32" t="s">
        <v>25</v>
      </c>
      <c r="H32" t="s">
        <v>23</v>
      </c>
      <c r="I32" t="s">
        <v>26</v>
      </c>
      <c r="J32" t="s">
        <v>91</v>
      </c>
      <c r="K32">
        <v>-12.213117</v>
      </c>
      <c r="L32">
        <v>-76.958910000000003</v>
      </c>
      <c r="M32" t="str">
        <f>HYPERLINK("https://www.google.com/maps/search/?api=1&amp;query=-12.213117,-76.95891","Villa El Salvador, Lima")</f>
        <v>Villa El Salvador, Lima</v>
      </c>
      <c r="N32">
        <v>0.4</v>
      </c>
      <c r="O32">
        <v>100</v>
      </c>
      <c r="P32">
        <v>2725.7</v>
      </c>
      <c r="Q32" t="s">
        <v>28</v>
      </c>
      <c r="R32" t="s">
        <v>23</v>
      </c>
      <c r="S32" t="s">
        <v>23</v>
      </c>
      <c r="T32" t="s">
        <v>23</v>
      </c>
      <c r="U32" t="s">
        <v>23</v>
      </c>
    </row>
    <row r="33" spans="1:21" x14ac:dyDescent="0.25">
      <c r="A33" t="s">
        <v>92</v>
      </c>
      <c r="B33" t="s">
        <v>21</v>
      </c>
      <c r="C33" t="s">
        <v>22</v>
      </c>
      <c r="D33" s="1" t="s">
        <v>22</v>
      </c>
      <c r="E33" t="s">
        <v>23</v>
      </c>
      <c r="F33" t="s">
        <v>24</v>
      </c>
      <c r="G33" t="s">
        <v>25</v>
      </c>
      <c r="H33" t="s">
        <v>23</v>
      </c>
      <c r="I33" t="s">
        <v>26</v>
      </c>
      <c r="J33" t="s">
        <v>91</v>
      </c>
      <c r="K33">
        <v>-12.213123</v>
      </c>
      <c r="L33">
        <v>-76.958939999999998</v>
      </c>
      <c r="M33" t="str">
        <f>HYPERLINK("https://www.google.com/maps/search/?api=1&amp;query=-12.213123,-76.95894","Villa El Salvador, Lima")</f>
        <v>Villa El Salvador, Lima</v>
      </c>
      <c r="N33">
        <v>3.6</v>
      </c>
      <c r="O33">
        <v>100</v>
      </c>
      <c r="P33">
        <v>2725.7</v>
      </c>
      <c r="Q33" t="s">
        <v>28</v>
      </c>
      <c r="R33" t="s">
        <v>23</v>
      </c>
      <c r="S33" t="s">
        <v>23</v>
      </c>
      <c r="T33" t="s">
        <v>23</v>
      </c>
      <c r="U33" t="s">
        <v>23</v>
      </c>
    </row>
    <row r="34" spans="1:21" x14ac:dyDescent="0.25">
      <c r="A34" t="s">
        <v>93</v>
      </c>
      <c r="B34" t="s">
        <v>21</v>
      </c>
      <c r="C34" t="s">
        <v>22</v>
      </c>
      <c r="D34" s="1" t="s">
        <v>22</v>
      </c>
      <c r="E34" t="s">
        <v>23</v>
      </c>
      <c r="F34" t="s">
        <v>24</v>
      </c>
      <c r="G34" t="s">
        <v>25</v>
      </c>
      <c r="H34" t="s">
        <v>23</v>
      </c>
      <c r="I34" t="s">
        <v>26</v>
      </c>
      <c r="J34" t="s">
        <v>94</v>
      </c>
      <c r="K34">
        <v>-12.213117</v>
      </c>
      <c r="L34">
        <v>-76.958910000000003</v>
      </c>
      <c r="M34" t="str">
        <f>HYPERLINK("https://www.google.com/maps/search/?api=1&amp;query=-12.213117,-76.95891","Villa El Salvador, Lima")</f>
        <v>Villa El Salvador, Lima</v>
      </c>
      <c r="N34">
        <v>0.4</v>
      </c>
      <c r="O34">
        <v>100</v>
      </c>
      <c r="P34">
        <v>2725.8</v>
      </c>
      <c r="Q34" t="s">
        <v>95</v>
      </c>
      <c r="R34" t="s">
        <v>23</v>
      </c>
      <c r="S34" t="s">
        <v>23</v>
      </c>
      <c r="T34" t="s">
        <v>23</v>
      </c>
      <c r="U34" t="s">
        <v>23</v>
      </c>
    </row>
    <row r="35" spans="1:21" x14ac:dyDescent="0.25">
      <c r="A35" t="s">
        <v>96</v>
      </c>
      <c r="B35" t="s">
        <v>21</v>
      </c>
      <c r="C35" t="s">
        <v>22</v>
      </c>
      <c r="D35" s="1" t="s">
        <v>22</v>
      </c>
      <c r="E35" t="s">
        <v>23</v>
      </c>
      <c r="F35" t="s">
        <v>24</v>
      </c>
      <c r="G35" t="s">
        <v>25</v>
      </c>
      <c r="H35" t="s">
        <v>23</v>
      </c>
      <c r="I35" t="s">
        <v>26</v>
      </c>
      <c r="J35" t="s">
        <v>97</v>
      </c>
      <c r="K35">
        <v>-12.213096999999999</v>
      </c>
      <c r="L35">
        <v>-76.95899</v>
      </c>
      <c r="M35" t="str">
        <f>HYPERLINK("https://www.google.com/maps/search/?api=1&amp;query=-12.213097,-76.95899","Villa El Salvador, Lima")</f>
        <v>Villa El Salvador, Lima</v>
      </c>
      <c r="N35">
        <v>0</v>
      </c>
      <c r="O35">
        <v>100</v>
      </c>
      <c r="P35">
        <v>2725.8</v>
      </c>
      <c r="Q35" t="s">
        <v>98</v>
      </c>
      <c r="R35" t="s">
        <v>23</v>
      </c>
      <c r="S35" t="s">
        <v>23</v>
      </c>
      <c r="T35" t="s">
        <v>23</v>
      </c>
      <c r="U35" t="s">
        <v>23</v>
      </c>
    </row>
    <row r="36" spans="1:21" x14ac:dyDescent="0.25">
      <c r="A36" t="s">
        <v>99</v>
      </c>
      <c r="B36" t="s">
        <v>21</v>
      </c>
      <c r="C36" t="s">
        <v>22</v>
      </c>
      <c r="D36" s="1" t="s">
        <v>22</v>
      </c>
      <c r="E36" t="s">
        <v>23</v>
      </c>
      <c r="F36" t="s">
        <v>24</v>
      </c>
      <c r="G36" t="s">
        <v>25</v>
      </c>
      <c r="H36" t="s">
        <v>23</v>
      </c>
      <c r="I36" t="s">
        <v>26</v>
      </c>
      <c r="J36" t="s">
        <v>97</v>
      </c>
      <c r="K36">
        <v>-12.213077</v>
      </c>
      <c r="L36">
        <v>-76.959130000000002</v>
      </c>
      <c r="M36" t="str">
        <f>HYPERLINK("https://www.google.com/maps/search/?api=1&amp;query=-12.213077,-76.95913","Avenida Villa del Mar, Villa El Salvador, Lima")</f>
        <v>Avenida Villa del Mar, Villa El Salvador, Lima</v>
      </c>
      <c r="N36">
        <v>8.4</v>
      </c>
      <c r="O36">
        <v>100</v>
      </c>
      <c r="P36">
        <v>2725.8</v>
      </c>
      <c r="Q36" t="s">
        <v>98</v>
      </c>
      <c r="R36" t="s">
        <v>23</v>
      </c>
      <c r="S36" t="s">
        <v>23</v>
      </c>
      <c r="T36" t="s">
        <v>23</v>
      </c>
      <c r="U36" t="s">
        <v>23</v>
      </c>
    </row>
    <row r="37" spans="1:21" x14ac:dyDescent="0.25">
      <c r="A37" t="s">
        <v>100</v>
      </c>
      <c r="B37" t="s">
        <v>21</v>
      </c>
      <c r="C37" t="s">
        <v>22</v>
      </c>
      <c r="D37" s="1" t="s">
        <v>22</v>
      </c>
      <c r="E37" t="s">
        <v>23</v>
      </c>
      <c r="F37" t="s">
        <v>24</v>
      </c>
      <c r="G37" t="s">
        <v>25</v>
      </c>
      <c r="H37" t="s">
        <v>23</v>
      </c>
      <c r="I37" t="s">
        <v>26</v>
      </c>
      <c r="J37" t="s">
        <v>101</v>
      </c>
      <c r="K37">
        <v>-12.213126000000001</v>
      </c>
      <c r="L37">
        <v>-76.959450000000004</v>
      </c>
      <c r="M37" t="str">
        <f>HYPERLINK("https://www.google.com/maps/search/?api=1&amp;query=-12.213126,-76.95945","Avenida Villa del Mar, Villa El Salvador, Lima")</f>
        <v>Avenida Villa del Mar, Villa El Salvador, Lima</v>
      </c>
      <c r="N37">
        <v>5.4</v>
      </c>
      <c r="O37">
        <v>100</v>
      </c>
      <c r="P37">
        <v>2725.9</v>
      </c>
      <c r="Q37" t="s">
        <v>102</v>
      </c>
      <c r="R37" t="s">
        <v>23</v>
      </c>
      <c r="S37" t="s">
        <v>23</v>
      </c>
      <c r="T37" t="s">
        <v>23</v>
      </c>
      <c r="U37" t="s">
        <v>23</v>
      </c>
    </row>
    <row r="38" spans="1:21" x14ac:dyDescent="0.25">
      <c r="A38" t="s">
        <v>103</v>
      </c>
      <c r="B38" t="s">
        <v>21</v>
      </c>
      <c r="C38" t="s">
        <v>22</v>
      </c>
      <c r="D38" s="1" t="s">
        <v>22</v>
      </c>
      <c r="E38" t="s">
        <v>23</v>
      </c>
      <c r="F38" t="s">
        <v>24</v>
      </c>
      <c r="G38" t="s">
        <v>25</v>
      </c>
      <c r="H38" t="s">
        <v>23</v>
      </c>
      <c r="I38" t="s">
        <v>26</v>
      </c>
      <c r="J38" t="s">
        <v>104</v>
      </c>
      <c r="K38">
        <v>-12.213464999999999</v>
      </c>
      <c r="L38">
        <v>-76.960239999999999</v>
      </c>
      <c r="M38" t="str">
        <f>HYPERLINK("https://www.google.com/maps/search/?api=1&amp;query=-12.213465,-76.96024","Avenida Villa del Mar, Villa El Salvador, Lima")</f>
        <v>Avenida Villa del Mar, Villa El Salvador, Lima</v>
      </c>
      <c r="N38">
        <v>0</v>
      </c>
      <c r="O38">
        <v>100</v>
      </c>
      <c r="P38">
        <v>2725.9</v>
      </c>
      <c r="Q38" t="s">
        <v>102</v>
      </c>
      <c r="R38" t="s">
        <v>105</v>
      </c>
      <c r="S38" t="s">
        <v>81</v>
      </c>
      <c r="T38" t="s">
        <v>82</v>
      </c>
      <c r="U38" t="s">
        <v>23</v>
      </c>
    </row>
    <row r="39" spans="1:21" x14ac:dyDescent="0.25">
      <c r="A39" t="s">
        <v>106</v>
      </c>
      <c r="B39" t="s">
        <v>21</v>
      </c>
      <c r="C39" t="s">
        <v>22</v>
      </c>
      <c r="D39" s="1" t="s">
        <v>22</v>
      </c>
      <c r="E39" t="s">
        <v>23</v>
      </c>
      <c r="F39" t="s">
        <v>24</v>
      </c>
      <c r="G39" t="s">
        <v>25</v>
      </c>
      <c r="H39" t="s">
        <v>23</v>
      </c>
      <c r="I39" t="s">
        <v>26</v>
      </c>
      <c r="J39" t="s">
        <v>104</v>
      </c>
      <c r="K39">
        <v>-12.213464999999999</v>
      </c>
      <c r="L39">
        <v>-76.960239999999999</v>
      </c>
      <c r="M39" t="str">
        <f>HYPERLINK("https://www.google.com/maps/search/?api=1&amp;query=-12.213465,-76.96024","Avenida Villa del Mar, Villa El Salvador, Lima")</f>
        <v>Avenida Villa del Mar, Villa El Salvador, Lima</v>
      </c>
      <c r="N39">
        <v>0</v>
      </c>
      <c r="O39">
        <v>100</v>
      </c>
      <c r="P39">
        <v>2725.9</v>
      </c>
      <c r="Q39" t="s">
        <v>102</v>
      </c>
      <c r="R39" t="s">
        <v>23</v>
      </c>
      <c r="S39" t="s">
        <v>23</v>
      </c>
      <c r="T39" t="s">
        <v>23</v>
      </c>
      <c r="U39" t="s">
        <v>23</v>
      </c>
    </row>
    <row r="40" spans="1:21" x14ac:dyDescent="0.25">
      <c r="A40" t="s">
        <v>107</v>
      </c>
      <c r="B40" t="s">
        <v>21</v>
      </c>
      <c r="C40" t="s">
        <v>22</v>
      </c>
      <c r="D40" s="1" t="s">
        <v>22</v>
      </c>
      <c r="E40" t="s">
        <v>23</v>
      </c>
      <c r="F40" t="s">
        <v>24</v>
      </c>
      <c r="G40" t="s">
        <v>25</v>
      </c>
      <c r="H40" t="s">
        <v>23</v>
      </c>
      <c r="I40" t="s">
        <v>26</v>
      </c>
      <c r="J40" t="s">
        <v>108</v>
      </c>
      <c r="K40">
        <v>-12.213464999999999</v>
      </c>
      <c r="L40">
        <v>-76.960239999999999</v>
      </c>
      <c r="M40" t="str">
        <f>HYPERLINK("https://www.google.com/maps/search/?api=1&amp;query=-12.213465,-76.96024","Avenida Villa del Mar, Villa El Salvador, Lima")</f>
        <v>Avenida Villa del Mar, Villa El Salvador, Lima</v>
      </c>
      <c r="N40">
        <v>0</v>
      </c>
      <c r="O40">
        <v>100</v>
      </c>
      <c r="P40">
        <v>2725.9</v>
      </c>
      <c r="Q40" t="s">
        <v>102</v>
      </c>
      <c r="R40" t="s">
        <v>23</v>
      </c>
      <c r="S40" t="s">
        <v>23</v>
      </c>
      <c r="T40" t="s">
        <v>23</v>
      </c>
      <c r="U40" t="s">
        <v>23</v>
      </c>
    </row>
    <row r="41" spans="1:21" x14ac:dyDescent="0.25">
      <c r="A41" t="s">
        <v>109</v>
      </c>
      <c r="B41" t="s">
        <v>21</v>
      </c>
      <c r="C41" t="s">
        <v>22</v>
      </c>
      <c r="D41" s="1" t="s">
        <v>22</v>
      </c>
      <c r="E41" t="s">
        <v>23</v>
      </c>
      <c r="F41" t="s">
        <v>24</v>
      </c>
      <c r="G41" t="s">
        <v>25</v>
      </c>
      <c r="H41" t="s">
        <v>23</v>
      </c>
      <c r="I41" t="s">
        <v>26</v>
      </c>
      <c r="J41" t="s">
        <v>110</v>
      </c>
      <c r="K41">
        <v>-12.214149000000001</v>
      </c>
      <c r="L41">
        <v>-76.961410000000001</v>
      </c>
      <c r="M41" t="str">
        <f>HYPERLINK("https://www.google.com/maps/search/?api=1&amp;query=-12.214149,-76.96141","Avenida Villa del Mar, Villa El Salvador, Lima")</f>
        <v>Avenida Villa del Mar, Villa El Salvador, Lima</v>
      </c>
      <c r="N41">
        <v>9.1999999999999993</v>
      </c>
      <c r="O41">
        <v>100</v>
      </c>
      <c r="P41">
        <v>2726.1</v>
      </c>
      <c r="Q41" t="s">
        <v>111</v>
      </c>
      <c r="R41" t="s">
        <v>23</v>
      </c>
      <c r="S41" t="s">
        <v>23</v>
      </c>
      <c r="T41" t="s">
        <v>23</v>
      </c>
      <c r="U41" t="s">
        <v>23</v>
      </c>
    </row>
    <row r="42" spans="1:21" x14ac:dyDescent="0.25">
      <c r="A42" t="s">
        <v>112</v>
      </c>
      <c r="B42" t="s">
        <v>21</v>
      </c>
      <c r="C42" t="s">
        <v>22</v>
      </c>
      <c r="D42" s="1" t="s">
        <v>22</v>
      </c>
      <c r="E42" t="s">
        <v>23</v>
      </c>
      <c r="F42" t="s">
        <v>24</v>
      </c>
      <c r="G42" t="s">
        <v>25</v>
      </c>
      <c r="H42" t="s">
        <v>23</v>
      </c>
      <c r="I42" t="s">
        <v>26</v>
      </c>
      <c r="J42" t="s">
        <v>113</v>
      </c>
      <c r="K42">
        <v>-12.214407</v>
      </c>
      <c r="L42">
        <v>-76.9619</v>
      </c>
      <c r="M42" t="str">
        <f>HYPERLINK("https://www.google.com/maps/search/?api=1&amp;query=-12.214407,-76.9619","Avenida Villa del Mar, Villa El Salvador, Lima")</f>
        <v>Avenida Villa del Mar, Villa El Salvador, Lima</v>
      </c>
      <c r="N42">
        <v>0</v>
      </c>
      <c r="O42">
        <v>100</v>
      </c>
      <c r="P42">
        <v>2726.2</v>
      </c>
      <c r="Q42" t="s">
        <v>111</v>
      </c>
      <c r="R42" t="s">
        <v>23</v>
      </c>
      <c r="S42" t="s">
        <v>23</v>
      </c>
      <c r="T42" t="s">
        <v>23</v>
      </c>
      <c r="U42" t="s">
        <v>23</v>
      </c>
    </row>
    <row r="43" spans="1:21" x14ac:dyDescent="0.25">
      <c r="A43" t="s">
        <v>114</v>
      </c>
      <c r="B43" t="s">
        <v>21</v>
      </c>
      <c r="C43" t="s">
        <v>22</v>
      </c>
      <c r="D43" s="1" t="s">
        <v>22</v>
      </c>
      <c r="E43" t="s">
        <v>23</v>
      </c>
      <c r="F43" t="s">
        <v>24</v>
      </c>
      <c r="G43" t="s">
        <v>25</v>
      </c>
      <c r="H43" t="s">
        <v>23</v>
      </c>
      <c r="I43" t="s">
        <v>26</v>
      </c>
      <c r="J43" t="s">
        <v>115</v>
      </c>
      <c r="K43">
        <v>-12.214407</v>
      </c>
      <c r="L43">
        <v>-76.9619</v>
      </c>
      <c r="M43" t="str">
        <f>HYPERLINK("https://www.google.com/maps/search/?api=1&amp;query=-12.214407,-76.9619","Avenida Villa del Mar, Villa El Salvador, Lima")</f>
        <v>Avenida Villa del Mar, Villa El Salvador, Lima</v>
      </c>
      <c r="N43">
        <v>0</v>
      </c>
      <c r="O43">
        <v>100</v>
      </c>
      <c r="P43">
        <v>2726.2</v>
      </c>
      <c r="Q43" t="s">
        <v>116</v>
      </c>
      <c r="R43" t="s">
        <v>23</v>
      </c>
      <c r="S43" t="s">
        <v>23</v>
      </c>
      <c r="T43" t="s">
        <v>23</v>
      </c>
      <c r="U43" t="s">
        <v>23</v>
      </c>
    </row>
    <row r="44" spans="1:21" x14ac:dyDescent="0.25">
      <c r="A44" t="s">
        <v>117</v>
      </c>
      <c r="B44" t="s">
        <v>21</v>
      </c>
      <c r="C44" t="s">
        <v>22</v>
      </c>
      <c r="D44" s="1" t="s">
        <v>22</v>
      </c>
      <c r="E44" t="s">
        <v>23</v>
      </c>
      <c r="F44" t="s">
        <v>24</v>
      </c>
      <c r="G44" t="s">
        <v>25</v>
      </c>
      <c r="H44" t="s">
        <v>23</v>
      </c>
      <c r="I44" t="s">
        <v>26</v>
      </c>
      <c r="J44" t="s">
        <v>118</v>
      </c>
      <c r="K44">
        <v>-12.215336000000001</v>
      </c>
      <c r="L44">
        <v>-76.963399999999993</v>
      </c>
      <c r="M44" t="str">
        <f>HYPERLINK("https://www.google.com/maps/search/?api=1&amp;query=-12.215336,-76.9634","Avenida Villa del Mar, Villa El Salvador, Lima")</f>
        <v>Avenida Villa del Mar, Villa El Salvador, Lima</v>
      </c>
      <c r="N44">
        <v>13</v>
      </c>
      <c r="O44">
        <v>100</v>
      </c>
      <c r="P44">
        <v>2726.4</v>
      </c>
      <c r="Q44" t="s">
        <v>119</v>
      </c>
      <c r="R44" t="s">
        <v>23</v>
      </c>
      <c r="S44" t="s">
        <v>23</v>
      </c>
      <c r="T44" t="s">
        <v>23</v>
      </c>
      <c r="U44" t="s">
        <v>23</v>
      </c>
    </row>
    <row r="45" spans="1:21" x14ac:dyDescent="0.25">
      <c r="A45" t="s">
        <v>120</v>
      </c>
      <c r="B45" t="s">
        <v>21</v>
      </c>
      <c r="C45" t="s">
        <v>22</v>
      </c>
      <c r="D45" s="1" t="s">
        <v>22</v>
      </c>
      <c r="E45" t="s">
        <v>23</v>
      </c>
      <c r="F45" t="s">
        <v>24</v>
      </c>
      <c r="G45" t="s">
        <v>25</v>
      </c>
      <c r="H45" t="s">
        <v>23</v>
      </c>
      <c r="I45" t="s">
        <v>26</v>
      </c>
      <c r="J45" t="s">
        <v>118</v>
      </c>
      <c r="K45">
        <v>-12.215507000000001</v>
      </c>
      <c r="L45">
        <v>-76.963775999999996</v>
      </c>
      <c r="M45" t="str">
        <f>HYPERLINK("https://www.google.com/maps/search/?api=1&amp;query=-12.215507,-76.963776","Avenida Villa del Mar, Villa El Salvador, Lima")</f>
        <v>Avenida Villa del Mar, Villa El Salvador, Lima</v>
      </c>
      <c r="N45">
        <v>7.4</v>
      </c>
      <c r="O45">
        <v>100</v>
      </c>
      <c r="P45">
        <v>2726.4</v>
      </c>
      <c r="Q45" t="s">
        <v>119</v>
      </c>
      <c r="R45" t="s">
        <v>23</v>
      </c>
      <c r="S45" t="s">
        <v>23</v>
      </c>
      <c r="T45" t="s">
        <v>23</v>
      </c>
      <c r="U45" t="s">
        <v>23</v>
      </c>
    </row>
    <row r="46" spans="1:21" x14ac:dyDescent="0.25">
      <c r="A46" t="s">
        <v>121</v>
      </c>
      <c r="B46" t="s">
        <v>21</v>
      </c>
      <c r="C46" t="s">
        <v>22</v>
      </c>
      <c r="D46" s="1" t="s">
        <v>22</v>
      </c>
      <c r="E46" t="s">
        <v>23</v>
      </c>
      <c r="F46" t="s">
        <v>24</v>
      </c>
      <c r="G46" t="s">
        <v>25</v>
      </c>
      <c r="H46" t="s">
        <v>23</v>
      </c>
      <c r="I46" t="s">
        <v>26</v>
      </c>
      <c r="J46" t="s">
        <v>122</v>
      </c>
      <c r="K46">
        <v>-12.215446</v>
      </c>
      <c r="L46">
        <v>-76.963840000000005</v>
      </c>
      <c r="M46" t="str">
        <f>HYPERLINK("https://www.google.com/maps/search/?api=1&amp;query=-12.215446,-76.96384","Avenida Los Forestales, Villa El Salvador, Lima")</f>
        <v>Avenida Los Forestales, Villa El Salvador, Lima</v>
      </c>
      <c r="N46">
        <v>15.4</v>
      </c>
      <c r="O46">
        <v>100</v>
      </c>
      <c r="P46">
        <v>2726.4</v>
      </c>
      <c r="Q46" t="s">
        <v>119</v>
      </c>
      <c r="R46" t="s">
        <v>23</v>
      </c>
      <c r="S46" t="s">
        <v>23</v>
      </c>
      <c r="T46" t="s">
        <v>23</v>
      </c>
      <c r="U46" t="s">
        <v>23</v>
      </c>
    </row>
    <row r="47" spans="1:21" x14ac:dyDescent="0.25">
      <c r="A47" t="s">
        <v>123</v>
      </c>
      <c r="B47" t="s">
        <v>21</v>
      </c>
      <c r="C47" t="s">
        <v>22</v>
      </c>
      <c r="D47" s="1" t="s">
        <v>22</v>
      </c>
      <c r="E47" t="s">
        <v>23</v>
      </c>
      <c r="F47" t="s">
        <v>24</v>
      </c>
      <c r="G47" t="s">
        <v>25</v>
      </c>
      <c r="H47" t="s">
        <v>23</v>
      </c>
      <c r="I47" t="s">
        <v>26</v>
      </c>
      <c r="J47" t="s">
        <v>124</v>
      </c>
      <c r="K47">
        <v>-12.213452999999999</v>
      </c>
      <c r="L47">
        <v>-76.96369</v>
      </c>
      <c r="M47" t="str">
        <f>HYPERLINK("https://www.google.com/maps/search/?api=1&amp;query=-12.213453,-76.96369","Avenida Los Forestales, Villa El Salvador, Lima")</f>
        <v>Avenida Los Forestales, Villa El Salvador, Lima</v>
      </c>
      <c r="N47">
        <v>18.899999999999999</v>
      </c>
      <c r="O47">
        <v>100</v>
      </c>
      <c r="P47">
        <v>2726.6</v>
      </c>
      <c r="Q47" t="s">
        <v>119</v>
      </c>
      <c r="R47" t="s">
        <v>23</v>
      </c>
      <c r="S47" t="s">
        <v>23</v>
      </c>
      <c r="T47" t="s">
        <v>23</v>
      </c>
      <c r="U47" t="s">
        <v>23</v>
      </c>
    </row>
    <row r="48" spans="1:21" x14ac:dyDescent="0.25">
      <c r="A48" t="s">
        <v>125</v>
      </c>
      <c r="B48" t="s">
        <v>21</v>
      </c>
      <c r="C48" t="s">
        <v>22</v>
      </c>
      <c r="D48" s="1" t="s">
        <v>22</v>
      </c>
      <c r="E48" t="s">
        <v>23</v>
      </c>
      <c r="F48" t="s">
        <v>24</v>
      </c>
      <c r="G48" t="s">
        <v>25</v>
      </c>
      <c r="H48" t="s">
        <v>23</v>
      </c>
      <c r="I48" t="s">
        <v>26</v>
      </c>
      <c r="J48" t="s">
        <v>126</v>
      </c>
      <c r="K48">
        <v>-12.212087</v>
      </c>
      <c r="L48">
        <v>-76.963714999999993</v>
      </c>
      <c r="M48" t="str">
        <f>HYPERLINK("https://www.google.com/maps/search/?api=1&amp;query=-12.212087,-76.963715","Avenida Los Forestales, Villa El Salvador, Lima")</f>
        <v>Avenida Los Forestales, Villa El Salvador, Lima</v>
      </c>
      <c r="N48">
        <v>17.3</v>
      </c>
      <c r="O48">
        <v>100</v>
      </c>
      <c r="P48">
        <v>2726.6</v>
      </c>
      <c r="Q48" t="s">
        <v>119</v>
      </c>
      <c r="R48" t="s">
        <v>23</v>
      </c>
      <c r="S48" t="s">
        <v>23</v>
      </c>
      <c r="T48" t="s">
        <v>23</v>
      </c>
      <c r="U48" t="s">
        <v>23</v>
      </c>
    </row>
    <row r="49" spans="1:21" x14ac:dyDescent="0.25">
      <c r="A49" t="s">
        <v>127</v>
      </c>
      <c r="B49" t="s">
        <v>21</v>
      </c>
      <c r="C49" t="s">
        <v>22</v>
      </c>
      <c r="D49" s="1" t="s">
        <v>22</v>
      </c>
      <c r="E49" t="s">
        <v>23</v>
      </c>
      <c r="F49" t="s">
        <v>24</v>
      </c>
      <c r="G49" t="s">
        <v>25</v>
      </c>
      <c r="H49" t="s">
        <v>23</v>
      </c>
      <c r="I49" t="s">
        <v>26</v>
      </c>
      <c r="J49" t="s">
        <v>128</v>
      </c>
      <c r="K49">
        <v>-12.213123</v>
      </c>
      <c r="L49">
        <v>-76.965459999999993</v>
      </c>
      <c r="M49" t="str">
        <f>HYPERLINK("https://www.google.com/maps/search/?api=1&amp;query=-12.213123,-76.96546","Avenida El Sol, Villa El Salvador, Lima")</f>
        <v>Avenida El Sol, Villa El Salvador, Lima</v>
      </c>
      <c r="N49">
        <v>50.6</v>
      </c>
      <c r="O49">
        <v>100</v>
      </c>
      <c r="P49">
        <v>2726.6</v>
      </c>
      <c r="Q49" t="s">
        <v>119</v>
      </c>
      <c r="R49" t="s">
        <v>23</v>
      </c>
      <c r="S49" t="s">
        <v>23</v>
      </c>
      <c r="T49" t="s">
        <v>23</v>
      </c>
      <c r="U49" t="s">
        <v>23</v>
      </c>
    </row>
    <row r="50" spans="1:21" x14ac:dyDescent="0.25">
      <c r="A50" t="s">
        <v>129</v>
      </c>
      <c r="B50" t="s">
        <v>21</v>
      </c>
      <c r="C50" t="s">
        <v>22</v>
      </c>
      <c r="D50" s="1" t="s">
        <v>22</v>
      </c>
      <c r="E50" t="s">
        <v>23</v>
      </c>
      <c r="F50" t="s">
        <v>24</v>
      </c>
      <c r="G50" t="s">
        <v>25</v>
      </c>
      <c r="H50" t="s">
        <v>23</v>
      </c>
      <c r="I50" t="s">
        <v>26</v>
      </c>
      <c r="J50" t="s">
        <v>130</v>
      </c>
      <c r="K50">
        <v>-12.213715000000001</v>
      </c>
      <c r="L50">
        <v>-76.966059999999999</v>
      </c>
      <c r="M50" t="str">
        <f>HYPERLINK("https://www.google.com/maps/search/?api=1&amp;query=-12.213715,-76.96606","Avenida El Sol, Villa El Salvador, Lima")</f>
        <v>Avenida El Sol, Villa El Salvador, Lima</v>
      </c>
      <c r="N50">
        <v>57.9</v>
      </c>
      <c r="O50">
        <v>100</v>
      </c>
      <c r="P50">
        <v>2726.6</v>
      </c>
      <c r="Q50" t="s">
        <v>119</v>
      </c>
      <c r="R50" t="s">
        <v>23</v>
      </c>
      <c r="S50" t="s">
        <v>23</v>
      </c>
      <c r="T50" t="s">
        <v>23</v>
      </c>
      <c r="U50" t="s">
        <v>23</v>
      </c>
    </row>
    <row r="51" spans="1:21" x14ac:dyDescent="0.25">
      <c r="A51" t="s">
        <v>131</v>
      </c>
      <c r="B51" t="s">
        <v>21</v>
      </c>
      <c r="C51" t="s">
        <v>22</v>
      </c>
      <c r="D51" s="1" t="s">
        <v>22</v>
      </c>
      <c r="E51" t="s">
        <v>23</v>
      </c>
      <c r="F51" t="s">
        <v>24</v>
      </c>
      <c r="G51" t="s">
        <v>25</v>
      </c>
      <c r="H51" t="s">
        <v>23</v>
      </c>
      <c r="I51" t="s">
        <v>26</v>
      </c>
      <c r="J51" t="s">
        <v>132</v>
      </c>
      <c r="K51">
        <v>-12.217826000000001</v>
      </c>
      <c r="L51">
        <v>-76.969909999999999</v>
      </c>
      <c r="M51" t="str">
        <f>HYPERLINK("https://www.google.com/maps/search/?api=1&amp;query=-12.217826,-76.96991","Avenida El Sol, Villa El Salvador, Lima")</f>
        <v>Avenida El Sol, Villa El Salvador, Lima</v>
      </c>
      <c r="N51">
        <v>24.1</v>
      </c>
      <c r="O51">
        <v>100</v>
      </c>
      <c r="P51">
        <v>2727.1</v>
      </c>
      <c r="Q51" t="s">
        <v>133</v>
      </c>
      <c r="R51" t="s">
        <v>23</v>
      </c>
      <c r="S51" t="s">
        <v>23</v>
      </c>
      <c r="T51" t="s">
        <v>23</v>
      </c>
      <c r="U51" t="s">
        <v>23</v>
      </c>
    </row>
    <row r="52" spans="1:21" x14ac:dyDescent="0.25">
      <c r="A52" t="s">
        <v>134</v>
      </c>
      <c r="B52" t="s">
        <v>21</v>
      </c>
      <c r="C52" t="s">
        <v>22</v>
      </c>
      <c r="D52" s="1" t="s">
        <v>22</v>
      </c>
      <c r="E52" t="s">
        <v>23</v>
      </c>
      <c r="F52" t="s">
        <v>24</v>
      </c>
      <c r="G52" t="s">
        <v>25</v>
      </c>
      <c r="H52" t="s">
        <v>23</v>
      </c>
      <c r="I52" t="s">
        <v>26</v>
      </c>
      <c r="J52" t="s">
        <v>135</v>
      </c>
      <c r="K52">
        <v>-12.221602000000001</v>
      </c>
      <c r="L52">
        <v>-76.973854000000003</v>
      </c>
      <c r="M52" t="str">
        <f>HYPERLINK("https://www.google.com/maps/search/?api=1&amp;query=-12.221602,-76.973854","Avenida El Sol, Villa El Salvador, Lima")</f>
        <v>Avenida El Sol, Villa El Salvador, Lima</v>
      </c>
      <c r="N52">
        <v>29.4</v>
      </c>
      <c r="O52">
        <v>100</v>
      </c>
      <c r="P52">
        <v>2727.7</v>
      </c>
      <c r="Q52" t="s">
        <v>136</v>
      </c>
      <c r="R52" t="s">
        <v>23</v>
      </c>
      <c r="S52" t="s">
        <v>23</v>
      </c>
      <c r="T52" t="s">
        <v>23</v>
      </c>
      <c r="U52" t="s">
        <v>23</v>
      </c>
    </row>
    <row r="53" spans="1:21" x14ac:dyDescent="0.25">
      <c r="A53" t="s">
        <v>137</v>
      </c>
      <c r="B53" t="s">
        <v>21</v>
      </c>
      <c r="C53" t="s">
        <v>22</v>
      </c>
      <c r="D53" s="1" t="s">
        <v>22</v>
      </c>
      <c r="E53" t="s">
        <v>23</v>
      </c>
      <c r="F53" t="s">
        <v>24</v>
      </c>
      <c r="G53" t="s">
        <v>25</v>
      </c>
      <c r="H53" t="s">
        <v>23</v>
      </c>
      <c r="I53" t="s">
        <v>26</v>
      </c>
      <c r="J53" t="s">
        <v>138</v>
      </c>
      <c r="K53">
        <v>-12.222084000000001</v>
      </c>
      <c r="L53">
        <v>-76.974419999999995</v>
      </c>
      <c r="M53" t="str">
        <f>HYPERLINK("https://www.google.com/maps/search/?api=1&amp;query=-12.222084,-76.97442","Avenida El Sol, Villa El Salvador, Lima")</f>
        <v>Avenida El Sol, Villa El Salvador, Lima</v>
      </c>
      <c r="N53">
        <v>5.8</v>
      </c>
      <c r="O53">
        <v>100</v>
      </c>
      <c r="P53">
        <v>2727.7</v>
      </c>
      <c r="Q53" t="s">
        <v>136</v>
      </c>
      <c r="R53" t="s">
        <v>23</v>
      </c>
      <c r="S53" t="s">
        <v>23</v>
      </c>
      <c r="T53" t="s">
        <v>23</v>
      </c>
      <c r="U53" t="s">
        <v>23</v>
      </c>
    </row>
    <row r="54" spans="1:21" x14ac:dyDescent="0.25">
      <c r="A54" t="s">
        <v>139</v>
      </c>
      <c r="B54" t="s">
        <v>21</v>
      </c>
      <c r="C54" t="s">
        <v>22</v>
      </c>
      <c r="D54" s="1" t="s">
        <v>22</v>
      </c>
      <c r="E54" t="s">
        <v>23</v>
      </c>
      <c r="F54" t="s">
        <v>24</v>
      </c>
      <c r="G54" t="s">
        <v>25</v>
      </c>
      <c r="H54" t="s">
        <v>23</v>
      </c>
      <c r="I54" t="s">
        <v>26</v>
      </c>
      <c r="J54" t="s">
        <v>140</v>
      </c>
      <c r="K54">
        <v>-12.221997999999999</v>
      </c>
      <c r="L54">
        <v>-76.974559999999997</v>
      </c>
      <c r="M54" t="str">
        <f>HYPERLINK("https://www.google.com/maps/search/?api=1&amp;query=-12.221998,-76.97456","Antigua Panamericana Sur, Villa El Salvador, Lima")</f>
        <v>Antigua Panamericana Sur, Villa El Salvador, Lima</v>
      </c>
      <c r="N54">
        <v>13.6</v>
      </c>
      <c r="O54">
        <v>100</v>
      </c>
      <c r="P54">
        <v>2728.4</v>
      </c>
      <c r="Q54" t="s">
        <v>136</v>
      </c>
      <c r="R54" t="s">
        <v>23</v>
      </c>
      <c r="S54" t="s">
        <v>23</v>
      </c>
      <c r="T54" t="s">
        <v>23</v>
      </c>
      <c r="U54" t="s">
        <v>23</v>
      </c>
    </row>
    <row r="55" spans="1:21" x14ac:dyDescent="0.25">
      <c r="A55" t="s">
        <v>141</v>
      </c>
      <c r="B55" t="s">
        <v>21</v>
      </c>
      <c r="C55" t="s">
        <v>22</v>
      </c>
      <c r="D55" s="1" t="s">
        <v>22</v>
      </c>
      <c r="E55" t="s">
        <v>23</v>
      </c>
      <c r="F55" t="s">
        <v>24</v>
      </c>
      <c r="G55" t="s">
        <v>25</v>
      </c>
      <c r="H55" t="s">
        <v>23</v>
      </c>
      <c r="I55" t="s">
        <v>26</v>
      </c>
      <c r="J55" t="s">
        <v>142</v>
      </c>
      <c r="K55">
        <v>-12.220435</v>
      </c>
      <c r="L55">
        <v>-76.975716000000006</v>
      </c>
      <c r="M55" t="str">
        <f>HYPERLINK("https://www.google.com/maps/search/?api=1&amp;query=-12.220435,-76.975716","Antigua Panamericana Sur, Villa El Salvador, Lima")</f>
        <v>Antigua Panamericana Sur, Villa El Salvador, Lima</v>
      </c>
      <c r="N55">
        <v>22.6</v>
      </c>
      <c r="O55">
        <v>100</v>
      </c>
      <c r="P55">
        <v>2728.4</v>
      </c>
      <c r="Q55" t="s">
        <v>136</v>
      </c>
      <c r="R55" t="s">
        <v>23</v>
      </c>
      <c r="S55" t="s">
        <v>23</v>
      </c>
      <c r="T55" t="s">
        <v>23</v>
      </c>
      <c r="U55" t="s">
        <v>23</v>
      </c>
    </row>
    <row r="56" spans="1:21" x14ac:dyDescent="0.25">
      <c r="A56" t="s">
        <v>143</v>
      </c>
      <c r="B56" t="s">
        <v>21</v>
      </c>
      <c r="C56" t="s">
        <v>22</v>
      </c>
      <c r="D56" s="1" t="s">
        <v>22</v>
      </c>
      <c r="E56" t="s">
        <v>23</v>
      </c>
      <c r="F56" t="s">
        <v>24</v>
      </c>
      <c r="G56" t="s">
        <v>25</v>
      </c>
      <c r="H56" t="s">
        <v>23</v>
      </c>
      <c r="I56" t="s">
        <v>26</v>
      </c>
      <c r="J56" t="s">
        <v>144</v>
      </c>
      <c r="K56">
        <v>-12.220274</v>
      </c>
      <c r="L56">
        <v>-76.97569</v>
      </c>
      <c r="M56" t="str">
        <f>HYPERLINK("https://www.google.com/maps/search/?api=1&amp;query=-12.220274,-76.97569","Antigua Panamericana Sur, Villa El Salvador, Lima")</f>
        <v>Antigua Panamericana Sur, Villa El Salvador, Lima</v>
      </c>
      <c r="N56">
        <v>20.8</v>
      </c>
      <c r="O56">
        <v>100</v>
      </c>
      <c r="P56">
        <v>2728.4</v>
      </c>
      <c r="Q56" t="s">
        <v>136</v>
      </c>
      <c r="R56" t="s">
        <v>23</v>
      </c>
      <c r="S56" t="s">
        <v>23</v>
      </c>
      <c r="T56" t="s">
        <v>23</v>
      </c>
      <c r="U56" t="s">
        <v>23</v>
      </c>
    </row>
    <row r="57" spans="1:21" x14ac:dyDescent="0.25">
      <c r="A57" t="s">
        <v>145</v>
      </c>
      <c r="B57" t="s">
        <v>21</v>
      </c>
      <c r="C57" t="s">
        <v>22</v>
      </c>
      <c r="D57" s="1" t="s">
        <v>22</v>
      </c>
      <c r="E57" t="s">
        <v>23</v>
      </c>
      <c r="F57" t="s">
        <v>24</v>
      </c>
      <c r="G57" t="s">
        <v>25</v>
      </c>
      <c r="H57" t="s">
        <v>23</v>
      </c>
      <c r="I57" t="s">
        <v>26</v>
      </c>
      <c r="J57" t="s">
        <v>146</v>
      </c>
      <c r="K57">
        <v>-12.218521000000001</v>
      </c>
      <c r="L57">
        <v>-76.975859999999997</v>
      </c>
      <c r="M57" t="str">
        <f>HYPERLINK("https://www.google.com/maps/search/?api=1&amp;query=-12.218521,-76.97586","Villa El Salvador, Lima")</f>
        <v>Villa El Salvador, Lima</v>
      </c>
      <c r="N57">
        <v>40.9</v>
      </c>
      <c r="O57">
        <v>100</v>
      </c>
      <c r="P57">
        <v>2728.4</v>
      </c>
      <c r="Q57" t="s">
        <v>136</v>
      </c>
      <c r="R57" t="s">
        <v>23</v>
      </c>
      <c r="S57" t="s">
        <v>23</v>
      </c>
      <c r="T57" t="s">
        <v>23</v>
      </c>
      <c r="U57" t="s">
        <v>23</v>
      </c>
    </row>
    <row r="58" spans="1:21" x14ac:dyDescent="0.25">
      <c r="A58" t="s">
        <v>147</v>
      </c>
      <c r="B58" t="s">
        <v>21</v>
      </c>
      <c r="C58" t="s">
        <v>22</v>
      </c>
      <c r="D58" s="1" t="s">
        <v>22</v>
      </c>
      <c r="E58" t="s">
        <v>23</v>
      </c>
      <c r="F58" t="s">
        <v>24</v>
      </c>
      <c r="G58" t="s">
        <v>25</v>
      </c>
      <c r="H58" t="s">
        <v>23</v>
      </c>
      <c r="I58" t="s">
        <v>26</v>
      </c>
      <c r="J58" t="s">
        <v>148</v>
      </c>
      <c r="K58">
        <v>-12.21801</v>
      </c>
      <c r="L58">
        <v>-76.976609999999994</v>
      </c>
      <c r="M58" t="str">
        <f>HYPERLINK("https://www.google.com/maps/search/?api=1&amp;query=-12.21801,-76.97661","Avenida Caminos del Inca, Villa El Salvador, Lima")</f>
        <v>Avenida Caminos del Inca, Villa El Salvador, Lima</v>
      </c>
      <c r="N58">
        <v>39.6</v>
      </c>
      <c r="O58">
        <v>100</v>
      </c>
      <c r="P58">
        <v>2728.4</v>
      </c>
      <c r="Q58" t="s">
        <v>136</v>
      </c>
      <c r="R58" t="s">
        <v>23</v>
      </c>
      <c r="S58" t="s">
        <v>23</v>
      </c>
      <c r="T58" t="s">
        <v>23</v>
      </c>
      <c r="U58" t="s">
        <v>23</v>
      </c>
    </row>
    <row r="59" spans="1:21" x14ac:dyDescent="0.25">
      <c r="A59" t="s">
        <v>149</v>
      </c>
      <c r="B59" t="s">
        <v>21</v>
      </c>
      <c r="C59" t="s">
        <v>22</v>
      </c>
      <c r="D59" s="1" t="s">
        <v>22</v>
      </c>
      <c r="E59" t="s">
        <v>23</v>
      </c>
      <c r="F59" t="s">
        <v>24</v>
      </c>
      <c r="G59" t="s">
        <v>25</v>
      </c>
      <c r="H59" t="s">
        <v>23</v>
      </c>
      <c r="I59" t="s">
        <v>26</v>
      </c>
      <c r="J59" t="s">
        <v>150</v>
      </c>
      <c r="K59">
        <v>-12.217912</v>
      </c>
      <c r="L59">
        <v>-76.978219999999993</v>
      </c>
      <c r="M59" t="str">
        <f>HYPERLINK("https://www.google.com/maps/search/?api=1&amp;query=-12.217912,-76.97822","Avenida Caminos del Inca, Chorrillos, Lima")</f>
        <v>Avenida Caminos del Inca, Chorrillos, Lima</v>
      </c>
      <c r="N59">
        <v>25.9</v>
      </c>
      <c r="O59">
        <v>100</v>
      </c>
      <c r="P59">
        <v>2728.7</v>
      </c>
      <c r="Q59" t="s">
        <v>151</v>
      </c>
      <c r="R59" t="s">
        <v>23</v>
      </c>
      <c r="S59" t="s">
        <v>23</v>
      </c>
      <c r="T59" t="s">
        <v>23</v>
      </c>
      <c r="U59" t="s">
        <v>23</v>
      </c>
    </row>
    <row r="60" spans="1:21" x14ac:dyDescent="0.25">
      <c r="A60" t="s">
        <v>152</v>
      </c>
      <c r="B60" t="s">
        <v>21</v>
      </c>
      <c r="C60" t="s">
        <v>22</v>
      </c>
      <c r="D60" s="1" t="s">
        <v>22</v>
      </c>
      <c r="E60" t="s">
        <v>23</v>
      </c>
      <c r="F60" t="s">
        <v>24</v>
      </c>
      <c r="G60" t="s">
        <v>25</v>
      </c>
      <c r="H60" t="s">
        <v>23</v>
      </c>
      <c r="I60" t="s">
        <v>26</v>
      </c>
      <c r="J60" t="s">
        <v>153</v>
      </c>
      <c r="K60">
        <v>-12.217321</v>
      </c>
      <c r="L60">
        <v>-76.979484999999997</v>
      </c>
      <c r="M60" t="str">
        <f>HYPERLINK("https://www.google.com/maps/search/?api=1&amp;query=-12.217321,-76.979485","Avenida Caminos del Inca, Chorrillos, Lima")</f>
        <v>Avenida Caminos del Inca, Chorrillos, Lima</v>
      </c>
      <c r="N60">
        <v>36.200000000000003</v>
      </c>
      <c r="O60">
        <v>100</v>
      </c>
      <c r="P60">
        <v>2728.7</v>
      </c>
      <c r="Q60" t="s">
        <v>151</v>
      </c>
      <c r="R60" t="s">
        <v>23</v>
      </c>
      <c r="S60" t="s">
        <v>23</v>
      </c>
      <c r="T60" t="s">
        <v>23</v>
      </c>
      <c r="U60" t="s">
        <v>23</v>
      </c>
    </row>
    <row r="61" spans="1:21" x14ac:dyDescent="0.25">
      <c r="A61" t="s">
        <v>154</v>
      </c>
      <c r="B61" t="s">
        <v>21</v>
      </c>
      <c r="C61" t="s">
        <v>22</v>
      </c>
      <c r="D61" s="1" t="s">
        <v>22</v>
      </c>
      <c r="E61" t="s">
        <v>23</v>
      </c>
      <c r="F61" t="s">
        <v>24</v>
      </c>
      <c r="G61" t="s">
        <v>25</v>
      </c>
      <c r="H61" t="s">
        <v>23</v>
      </c>
      <c r="I61" t="s">
        <v>26</v>
      </c>
      <c r="J61" t="s">
        <v>155</v>
      </c>
      <c r="K61">
        <v>-12.215693</v>
      </c>
      <c r="L61">
        <v>-76.981059999999999</v>
      </c>
      <c r="M61" t="str">
        <f>HYPERLINK("https://www.google.com/maps/search/?api=1&amp;query=-12.215693,-76.98106","Avenida Caminos del Inca, Chorrillos, Lima")</f>
        <v>Avenida Caminos del Inca, Chorrillos, Lima</v>
      </c>
      <c r="N61">
        <v>19.399999999999999</v>
      </c>
      <c r="O61">
        <v>100</v>
      </c>
      <c r="P61">
        <v>2728.7</v>
      </c>
      <c r="Q61" t="s">
        <v>151</v>
      </c>
      <c r="R61" t="s">
        <v>23</v>
      </c>
      <c r="S61" t="s">
        <v>23</v>
      </c>
      <c r="T61" t="s">
        <v>23</v>
      </c>
      <c r="U61" t="s">
        <v>23</v>
      </c>
    </row>
    <row r="62" spans="1:21" x14ac:dyDescent="0.25">
      <c r="A62" t="s">
        <v>156</v>
      </c>
      <c r="B62" t="s">
        <v>21</v>
      </c>
      <c r="C62" t="s">
        <v>22</v>
      </c>
      <c r="D62" s="1" t="s">
        <v>22</v>
      </c>
      <c r="E62" t="s">
        <v>23</v>
      </c>
      <c r="F62" t="s">
        <v>24</v>
      </c>
      <c r="G62" t="s">
        <v>25</v>
      </c>
      <c r="H62" t="s">
        <v>23</v>
      </c>
      <c r="I62" t="s">
        <v>26</v>
      </c>
      <c r="J62" t="s">
        <v>157</v>
      </c>
      <c r="K62">
        <v>-12.215775000000001</v>
      </c>
      <c r="L62">
        <v>-76.981160000000003</v>
      </c>
      <c r="M62" t="str">
        <f>HYPERLINK("https://www.google.com/maps/search/?api=1&amp;query=-12.215775,-76.98116","Avenida Caminos del Inca, Chorrillos, Lima")</f>
        <v>Avenida Caminos del Inca, Chorrillos, Lima</v>
      </c>
      <c r="N62">
        <v>13.9</v>
      </c>
      <c r="O62">
        <v>100</v>
      </c>
      <c r="P62">
        <v>2728.7</v>
      </c>
      <c r="Q62" t="s">
        <v>151</v>
      </c>
      <c r="R62" t="s">
        <v>23</v>
      </c>
      <c r="S62" t="s">
        <v>23</v>
      </c>
      <c r="T62" t="s">
        <v>23</v>
      </c>
      <c r="U62" t="s">
        <v>23</v>
      </c>
    </row>
    <row r="63" spans="1:21" x14ac:dyDescent="0.25">
      <c r="A63" t="s">
        <v>158</v>
      </c>
      <c r="B63" t="s">
        <v>21</v>
      </c>
      <c r="C63" t="s">
        <v>22</v>
      </c>
      <c r="D63" s="1" t="s">
        <v>22</v>
      </c>
      <c r="E63" t="s">
        <v>23</v>
      </c>
      <c r="F63" t="s">
        <v>24</v>
      </c>
      <c r="G63" t="s">
        <v>25</v>
      </c>
      <c r="H63" t="s">
        <v>23</v>
      </c>
      <c r="I63" t="s">
        <v>26</v>
      </c>
      <c r="J63" t="s">
        <v>157</v>
      </c>
      <c r="K63">
        <v>-12.2159</v>
      </c>
      <c r="L63">
        <v>-76.981170000000006</v>
      </c>
      <c r="M63" t="str">
        <f>HYPERLINK("https://www.google.com/maps/search/?api=1&amp;query=-12.2159,-76.98117","Prolongación Huaylas, Chorrillos, Lima")</f>
        <v>Prolongación Huaylas, Chorrillos, Lima</v>
      </c>
      <c r="N63">
        <v>20.7</v>
      </c>
      <c r="O63">
        <v>100</v>
      </c>
      <c r="P63">
        <v>2728.7</v>
      </c>
      <c r="Q63" t="s">
        <v>151</v>
      </c>
      <c r="R63" t="s">
        <v>23</v>
      </c>
      <c r="S63" t="s">
        <v>23</v>
      </c>
      <c r="T63" t="s">
        <v>23</v>
      </c>
      <c r="U63" t="s">
        <v>23</v>
      </c>
    </row>
    <row r="64" spans="1:21" x14ac:dyDescent="0.25">
      <c r="A64" t="s">
        <v>159</v>
      </c>
      <c r="B64" t="s">
        <v>21</v>
      </c>
      <c r="C64" t="s">
        <v>22</v>
      </c>
      <c r="D64" s="1" t="s">
        <v>22</v>
      </c>
      <c r="E64" t="s">
        <v>23</v>
      </c>
      <c r="F64" t="s">
        <v>24</v>
      </c>
      <c r="G64" t="s">
        <v>25</v>
      </c>
      <c r="H64" t="s">
        <v>23</v>
      </c>
      <c r="I64" t="s">
        <v>26</v>
      </c>
      <c r="J64" t="s">
        <v>160</v>
      </c>
      <c r="K64">
        <v>-12.21603</v>
      </c>
      <c r="L64">
        <v>-76.981049999999996</v>
      </c>
      <c r="M64" t="str">
        <f>HYPERLINK("https://www.google.com/maps/search/?api=1&amp;query=-12.21603,-76.98105","Prolongación Huaylas, Chorrillos, Lima")</f>
        <v>Prolongación Huaylas, Chorrillos, Lima</v>
      </c>
      <c r="N64">
        <v>26.8</v>
      </c>
      <c r="O64">
        <v>100</v>
      </c>
      <c r="P64">
        <v>2728.7</v>
      </c>
      <c r="Q64" t="s">
        <v>151</v>
      </c>
      <c r="R64" t="s">
        <v>23</v>
      </c>
      <c r="S64" t="s">
        <v>23</v>
      </c>
      <c r="T64" t="s">
        <v>23</v>
      </c>
      <c r="U64" t="s">
        <v>23</v>
      </c>
    </row>
    <row r="65" spans="1:21" x14ac:dyDescent="0.25">
      <c r="A65" t="s">
        <v>161</v>
      </c>
      <c r="B65" t="s">
        <v>21</v>
      </c>
      <c r="C65" t="s">
        <v>22</v>
      </c>
      <c r="D65" s="1" t="s">
        <v>22</v>
      </c>
      <c r="E65" t="s">
        <v>23</v>
      </c>
      <c r="F65" t="s">
        <v>24</v>
      </c>
      <c r="G65" t="s">
        <v>25</v>
      </c>
      <c r="H65" t="s">
        <v>23</v>
      </c>
      <c r="I65" t="s">
        <v>26</v>
      </c>
      <c r="J65" t="s">
        <v>162</v>
      </c>
      <c r="K65">
        <v>-12.21603</v>
      </c>
      <c r="L65">
        <v>-76.981049999999996</v>
      </c>
      <c r="M65" t="str">
        <f>HYPERLINK("https://www.google.com/maps/search/?api=1&amp;query=-12.21603,-76.98105","Prolongación Huaylas, Chorrillos, Lima")</f>
        <v>Prolongación Huaylas, Chorrillos, Lima</v>
      </c>
      <c r="N65">
        <v>26.8</v>
      </c>
      <c r="O65">
        <v>100</v>
      </c>
      <c r="P65">
        <v>2730.3</v>
      </c>
      <c r="Q65" t="s">
        <v>163</v>
      </c>
      <c r="R65" t="s">
        <v>23</v>
      </c>
      <c r="S65" t="s">
        <v>23</v>
      </c>
      <c r="T65" t="s">
        <v>23</v>
      </c>
      <c r="U65" t="s">
        <v>23</v>
      </c>
    </row>
    <row r="66" spans="1:21" x14ac:dyDescent="0.25">
      <c r="A66" t="s">
        <v>164</v>
      </c>
      <c r="B66" t="s">
        <v>21</v>
      </c>
      <c r="C66" t="s">
        <v>22</v>
      </c>
      <c r="D66" s="1" t="s">
        <v>22</v>
      </c>
      <c r="E66" t="s">
        <v>23</v>
      </c>
      <c r="F66" t="s">
        <v>24</v>
      </c>
      <c r="G66" t="s">
        <v>25</v>
      </c>
      <c r="H66" t="s">
        <v>23</v>
      </c>
      <c r="I66" t="s">
        <v>26</v>
      </c>
      <c r="J66" t="s">
        <v>165</v>
      </c>
      <c r="K66">
        <v>-12.220181999999999</v>
      </c>
      <c r="L66">
        <v>-76.976875000000007</v>
      </c>
      <c r="M66" t="str">
        <f>HYPERLINK("https://www.google.com/maps/search/?api=1&amp;query=-12.220182,-76.976875","Carretera Panamericana Sur, Chorrillos, Lima")</f>
        <v>Carretera Panamericana Sur, Chorrillos, Lima</v>
      </c>
      <c r="N66">
        <v>74.2</v>
      </c>
      <c r="O66">
        <v>100</v>
      </c>
      <c r="P66">
        <v>2730.3</v>
      </c>
      <c r="Q66" t="s">
        <v>163</v>
      </c>
      <c r="R66" t="s">
        <v>23</v>
      </c>
      <c r="S66" t="s">
        <v>23</v>
      </c>
      <c r="T66" t="s">
        <v>23</v>
      </c>
      <c r="U66" t="s">
        <v>23</v>
      </c>
    </row>
    <row r="67" spans="1:21" x14ac:dyDescent="0.25">
      <c r="A67" t="s">
        <v>166</v>
      </c>
      <c r="B67" t="s">
        <v>21</v>
      </c>
      <c r="C67" t="s">
        <v>22</v>
      </c>
      <c r="D67" s="1" t="s">
        <v>22</v>
      </c>
      <c r="E67" t="s">
        <v>23</v>
      </c>
      <c r="F67" t="s">
        <v>24</v>
      </c>
      <c r="G67" t="s">
        <v>25</v>
      </c>
      <c r="H67" t="s">
        <v>23</v>
      </c>
      <c r="I67" t="s">
        <v>26</v>
      </c>
      <c r="J67" t="s">
        <v>167</v>
      </c>
      <c r="K67">
        <v>-12.226986</v>
      </c>
      <c r="L67">
        <v>-76.970600000000005</v>
      </c>
      <c r="M67" t="str">
        <f>HYPERLINK("https://www.google.com/maps/search/?api=1&amp;query=-12.226986,-76.9706","Carretera Panamericana Sur, Villa El Salvador, Lima")</f>
        <v>Carretera Panamericana Sur, Villa El Salvador, Lima</v>
      </c>
      <c r="N67">
        <v>45.3</v>
      </c>
      <c r="O67">
        <v>100</v>
      </c>
      <c r="P67">
        <v>2731.3</v>
      </c>
      <c r="Q67" t="s">
        <v>168</v>
      </c>
      <c r="R67" t="s">
        <v>23</v>
      </c>
      <c r="S67" t="s">
        <v>23</v>
      </c>
      <c r="T67" t="s">
        <v>23</v>
      </c>
      <c r="U67" t="s">
        <v>23</v>
      </c>
    </row>
    <row r="68" spans="1:21" x14ac:dyDescent="0.25">
      <c r="A68" t="s">
        <v>169</v>
      </c>
      <c r="B68" t="s">
        <v>21</v>
      </c>
      <c r="C68" t="s">
        <v>22</v>
      </c>
      <c r="D68" s="1" t="s">
        <v>22</v>
      </c>
      <c r="E68" t="s">
        <v>23</v>
      </c>
      <c r="F68" t="s">
        <v>24</v>
      </c>
      <c r="G68" t="s">
        <v>25</v>
      </c>
      <c r="H68" t="s">
        <v>23</v>
      </c>
      <c r="I68" t="s">
        <v>26</v>
      </c>
      <c r="J68" t="s">
        <v>170</v>
      </c>
      <c r="K68">
        <v>-12.2332</v>
      </c>
      <c r="L68">
        <v>-76.961876000000004</v>
      </c>
      <c r="M68" t="str">
        <f>HYPERLINK("https://www.google.com/maps/search/?api=1&amp;query=-12.2332,-76.961876","Carretera Panamericana Sur, Villa El Salvador, Lima")</f>
        <v>Carretera Panamericana Sur, Villa El Salvador, Lima</v>
      </c>
      <c r="N68">
        <v>70.7</v>
      </c>
      <c r="O68">
        <v>100</v>
      </c>
      <c r="P68">
        <v>2732.5</v>
      </c>
      <c r="Q68" t="s">
        <v>168</v>
      </c>
      <c r="R68" t="s">
        <v>23</v>
      </c>
      <c r="S68" t="s">
        <v>23</v>
      </c>
      <c r="T68" t="s">
        <v>23</v>
      </c>
      <c r="U68" t="s">
        <v>23</v>
      </c>
    </row>
    <row r="69" spans="1:21" x14ac:dyDescent="0.25">
      <c r="A69" t="s">
        <v>171</v>
      </c>
      <c r="B69" t="s">
        <v>21</v>
      </c>
      <c r="C69" t="s">
        <v>22</v>
      </c>
      <c r="D69" s="1" t="s">
        <v>22</v>
      </c>
      <c r="E69" t="s">
        <v>23</v>
      </c>
      <c r="F69" t="s">
        <v>24</v>
      </c>
      <c r="G69" t="s">
        <v>25</v>
      </c>
      <c r="H69" t="s">
        <v>23</v>
      </c>
      <c r="I69" t="s">
        <v>26</v>
      </c>
      <c r="J69" t="s">
        <v>172</v>
      </c>
      <c r="K69">
        <v>-12.238168999999999</v>
      </c>
      <c r="L69">
        <v>-76.952286000000001</v>
      </c>
      <c r="M69" t="str">
        <f>HYPERLINK("https://www.google.com/maps/search/?api=1&amp;query=-12.238169,-76.952286","Carretera Panamericana Sur, Villa El Salvador, Lima")</f>
        <v>Carretera Panamericana Sur, Villa El Salvador, Lima</v>
      </c>
      <c r="N69">
        <v>75.3</v>
      </c>
      <c r="O69">
        <v>100</v>
      </c>
      <c r="P69">
        <v>2733.7</v>
      </c>
      <c r="Q69" t="s">
        <v>173</v>
      </c>
      <c r="R69" t="s">
        <v>23</v>
      </c>
      <c r="S69" t="s">
        <v>23</v>
      </c>
      <c r="T69" t="s">
        <v>23</v>
      </c>
      <c r="U69" t="s">
        <v>23</v>
      </c>
    </row>
    <row r="70" spans="1:21" x14ac:dyDescent="0.25">
      <c r="A70" t="s">
        <v>174</v>
      </c>
      <c r="B70" t="s">
        <v>21</v>
      </c>
      <c r="C70" t="s">
        <v>22</v>
      </c>
      <c r="D70" s="1" t="s">
        <v>22</v>
      </c>
      <c r="E70" t="s">
        <v>23</v>
      </c>
      <c r="F70" t="s">
        <v>24</v>
      </c>
      <c r="G70" t="s">
        <v>25</v>
      </c>
      <c r="H70" t="s">
        <v>23</v>
      </c>
      <c r="I70" t="s">
        <v>26</v>
      </c>
      <c r="J70" t="s">
        <v>175</v>
      </c>
      <c r="K70">
        <v>-12.243017999999999</v>
      </c>
      <c r="L70">
        <v>-76.942980000000006</v>
      </c>
      <c r="M70" t="str">
        <f>HYPERLINK("https://www.google.com/maps/search/?api=1&amp;query=-12.243018,-76.94298","Carretera Panamericana Sur, Villa El Salvador, Lima")</f>
        <v>Carretera Panamericana Sur, Villa El Salvador, Lima</v>
      </c>
      <c r="N70">
        <v>81.099999999999994</v>
      </c>
      <c r="O70">
        <v>100</v>
      </c>
      <c r="P70">
        <v>2734.9</v>
      </c>
      <c r="Q70" t="s">
        <v>176</v>
      </c>
      <c r="R70" t="s">
        <v>23</v>
      </c>
      <c r="S70" t="s">
        <v>23</v>
      </c>
      <c r="T70" t="s">
        <v>23</v>
      </c>
      <c r="U70" t="s">
        <v>23</v>
      </c>
    </row>
    <row r="71" spans="1:21" x14ac:dyDescent="0.25">
      <c r="A71" t="s">
        <v>177</v>
      </c>
      <c r="B71" t="s">
        <v>21</v>
      </c>
      <c r="C71" t="s">
        <v>22</v>
      </c>
      <c r="D71" s="1" t="s">
        <v>22</v>
      </c>
      <c r="E71" t="s">
        <v>23</v>
      </c>
      <c r="F71" t="s">
        <v>24</v>
      </c>
      <c r="G71" t="s">
        <v>25</v>
      </c>
      <c r="H71" t="s">
        <v>23</v>
      </c>
      <c r="I71" t="s">
        <v>26</v>
      </c>
      <c r="J71" t="s">
        <v>178</v>
      </c>
      <c r="K71">
        <v>-12.249307999999999</v>
      </c>
      <c r="L71">
        <v>-76.932040000000001</v>
      </c>
      <c r="M71" t="str">
        <f>HYPERLINK("https://www.google.com/maps/search/?api=1&amp;query=-12.249308,-76.93204","Carretera Panamericana Sur, Lurín, Lima")</f>
        <v>Carretera Panamericana Sur, Lurín, Lima</v>
      </c>
      <c r="N71">
        <v>69.599999999999994</v>
      </c>
      <c r="O71">
        <v>100</v>
      </c>
      <c r="P71">
        <v>2736.2</v>
      </c>
      <c r="Q71" t="s">
        <v>176</v>
      </c>
      <c r="R71" t="s">
        <v>23</v>
      </c>
      <c r="S71" t="s">
        <v>23</v>
      </c>
      <c r="T71" t="s">
        <v>23</v>
      </c>
      <c r="U71" t="s">
        <v>23</v>
      </c>
    </row>
    <row r="72" spans="1:21" x14ac:dyDescent="0.25">
      <c r="A72" t="s">
        <v>179</v>
      </c>
      <c r="B72" t="s">
        <v>21</v>
      </c>
      <c r="C72" t="s">
        <v>22</v>
      </c>
      <c r="D72" s="1" t="s">
        <v>22</v>
      </c>
      <c r="E72" t="s">
        <v>23</v>
      </c>
      <c r="F72" t="s">
        <v>24</v>
      </c>
      <c r="G72" t="s">
        <v>25</v>
      </c>
      <c r="H72" t="s">
        <v>23</v>
      </c>
      <c r="I72" t="s">
        <v>26</v>
      </c>
      <c r="J72" t="s">
        <v>180</v>
      </c>
      <c r="K72">
        <v>-12.254517</v>
      </c>
      <c r="L72">
        <v>-76.924509999999998</v>
      </c>
      <c r="M72" t="str">
        <f>HYPERLINK("https://www.google.com/maps/search/?api=1&amp;query=-12.254517,-76.92451","Carretera Panamericana Sur, Lurín, Lima")</f>
        <v>Carretera Panamericana Sur, Lurín, Lima</v>
      </c>
      <c r="N72">
        <v>70</v>
      </c>
      <c r="O72">
        <v>100</v>
      </c>
      <c r="P72">
        <v>2737.2</v>
      </c>
      <c r="Q72" t="s">
        <v>181</v>
      </c>
      <c r="R72" t="s">
        <v>23</v>
      </c>
      <c r="S72" t="s">
        <v>23</v>
      </c>
      <c r="T72" t="s">
        <v>23</v>
      </c>
      <c r="U72" t="s">
        <v>23</v>
      </c>
    </row>
    <row r="73" spans="1:21" x14ac:dyDescent="0.25">
      <c r="A73" t="s">
        <v>182</v>
      </c>
      <c r="B73" t="s">
        <v>21</v>
      </c>
      <c r="C73" t="s">
        <v>22</v>
      </c>
      <c r="D73" s="1" t="s">
        <v>22</v>
      </c>
      <c r="E73" t="s">
        <v>23</v>
      </c>
      <c r="F73" t="s">
        <v>24</v>
      </c>
      <c r="G73" t="s">
        <v>25</v>
      </c>
      <c r="H73" t="s">
        <v>23</v>
      </c>
      <c r="I73" t="s">
        <v>26</v>
      </c>
      <c r="J73" t="s">
        <v>183</v>
      </c>
      <c r="K73">
        <v>-12.260567999999999</v>
      </c>
      <c r="L73">
        <v>-76.914635000000004</v>
      </c>
      <c r="M73" t="str">
        <f>HYPERLINK("https://www.google.com/maps/search/?api=1&amp;query=-12.260568,-76.914635","Carretera Panamericana Sur, Lurín, Lima")</f>
        <v>Carretera Panamericana Sur, Lurín, Lima</v>
      </c>
      <c r="N73">
        <v>78.8</v>
      </c>
      <c r="O73">
        <v>100</v>
      </c>
      <c r="P73">
        <v>2738.5</v>
      </c>
      <c r="Q73" t="s">
        <v>184</v>
      </c>
      <c r="R73" t="s">
        <v>23</v>
      </c>
      <c r="S73" t="s">
        <v>23</v>
      </c>
      <c r="T73" t="s">
        <v>23</v>
      </c>
      <c r="U73" t="s">
        <v>23</v>
      </c>
    </row>
    <row r="74" spans="1:21" x14ac:dyDescent="0.25">
      <c r="A74" t="s">
        <v>185</v>
      </c>
      <c r="B74" t="s">
        <v>21</v>
      </c>
      <c r="C74" t="s">
        <v>22</v>
      </c>
      <c r="D74" s="1" t="s">
        <v>22</v>
      </c>
      <c r="E74" t="s">
        <v>23</v>
      </c>
      <c r="F74" t="s">
        <v>24</v>
      </c>
      <c r="G74" t="s">
        <v>25</v>
      </c>
      <c r="H74" t="s">
        <v>23</v>
      </c>
      <c r="I74" t="s">
        <v>26</v>
      </c>
      <c r="J74" t="s">
        <v>186</v>
      </c>
      <c r="K74">
        <v>-12.267846</v>
      </c>
      <c r="L74">
        <v>-76.903014999999996</v>
      </c>
      <c r="M74" t="str">
        <f>HYPERLINK("https://www.google.com/maps/search/?api=1&amp;query=-12.267846,-76.903015","Carretera Panamericana Sur, Lurín, Lima")</f>
        <v>Carretera Panamericana Sur, Lurín, Lima</v>
      </c>
      <c r="N74">
        <v>86.9</v>
      </c>
      <c r="O74">
        <v>100</v>
      </c>
      <c r="P74">
        <v>2739.8</v>
      </c>
      <c r="Q74" t="s">
        <v>184</v>
      </c>
      <c r="R74" t="s">
        <v>187</v>
      </c>
      <c r="S74" t="s">
        <v>23</v>
      </c>
      <c r="T74" t="s">
        <v>23</v>
      </c>
      <c r="U74" t="s">
        <v>23</v>
      </c>
    </row>
    <row r="75" spans="1:21" x14ac:dyDescent="0.25">
      <c r="A75" t="s">
        <v>188</v>
      </c>
      <c r="B75" t="s">
        <v>21</v>
      </c>
      <c r="C75" t="s">
        <v>22</v>
      </c>
      <c r="D75" s="1" t="s">
        <v>22</v>
      </c>
      <c r="E75" t="s">
        <v>23</v>
      </c>
      <c r="F75" t="s">
        <v>24</v>
      </c>
      <c r="G75" t="s">
        <v>25</v>
      </c>
      <c r="H75" t="s">
        <v>23</v>
      </c>
      <c r="I75" t="s">
        <v>26</v>
      </c>
      <c r="J75" t="s">
        <v>189</v>
      </c>
      <c r="K75">
        <v>-12.266874</v>
      </c>
      <c r="L75">
        <v>-76.904624999999996</v>
      </c>
      <c r="M75" t="str">
        <f>HYPERLINK("https://www.google.com/maps/search/?api=1&amp;query=-12.266874,-76.904625","Carretera Panamericana Sur, Lurín, Lima")</f>
        <v>Carretera Panamericana Sur, Lurín, Lima</v>
      </c>
      <c r="N75">
        <v>78.8</v>
      </c>
      <c r="O75">
        <v>100</v>
      </c>
      <c r="P75">
        <v>2739.8</v>
      </c>
      <c r="Q75" t="s">
        <v>184</v>
      </c>
      <c r="R75" t="s">
        <v>23</v>
      </c>
      <c r="S75" t="s">
        <v>23</v>
      </c>
      <c r="T75" t="s">
        <v>23</v>
      </c>
      <c r="U75" t="s">
        <v>23</v>
      </c>
    </row>
    <row r="76" spans="1:21" x14ac:dyDescent="0.25">
      <c r="A76" t="s">
        <v>190</v>
      </c>
      <c r="B76" t="s">
        <v>21</v>
      </c>
      <c r="C76" t="s">
        <v>22</v>
      </c>
      <c r="D76" s="1" t="s">
        <v>22</v>
      </c>
      <c r="E76" t="s">
        <v>23</v>
      </c>
      <c r="F76" t="s">
        <v>24</v>
      </c>
      <c r="G76" t="s">
        <v>25</v>
      </c>
      <c r="H76" t="s">
        <v>23</v>
      </c>
      <c r="I76" t="s">
        <v>26</v>
      </c>
      <c r="J76" t="s">
        <v>191</v>
      </c>
      <c r="K76">
        <v>-12.276082000000001</v>
      </c>
      <c r="L76">
        <v>-76.890020000000007</v>
      </c>
      <c r="M76" t="str">
        <f>HYPERLINK("https://www.google.com/maps/search/?api=1&amp;query=-12.276082,-76.89002","Carretera Panamericana Sur, Lurín, Lima")</f>
        <v>Carretera Panamericana Sur, Lurín, Lima</v>
      </c>
      <c r="N76">
        <v>83.7</v>
      </c>
      <c r="O76">
        <v>100</v>
      </c>
      <c r="P76">
        <v>2741.3</v>
      </c>
      <c r="Q76" t="s">
        <v>192</v>
      </c>
      <c r="R76" t="s">
        <v>187</v>
      </c>
      <c r="S76" t="s">
        <v>23</v>
      </c>
      <c r="T76" t="s">
        <v>23</v>
      </c>
      <c r="U76" t="s">
        <v>23</v>
      </c>
    </row>
    <row r="77" spans="1:21" x14ac:dyDescent="0.25">
      <c r="A77" t="s">
        <v>193</v>
      </c>
      <c r="B77" t="s">
        <v>21</v>
      </c>
      <c r="C77" t="s">
        <v>22</v>
      </c>
      <c r="D77" s="1" t="s">
        <v>22</v>
      </c>
      <c r="E77" t="s">
        <v>23</v>
      </c>
      <c r="F77" t="s">
        <v>24</v>
      </c>
      <c r="G77" t="s">
        <v>25</v>
      </c>
      <c r="H77" t="s">
        <v>23</v>
      </c>
      <c r="I77" t="s">
        <v>26</v>
      </c>
      <c r="J77" t="s">
        <v>194</v>
      </c>
      <c r="K77">
        <v>-12.273858000000001</v>
      </c>
      <c r="L77">
        <v>-76.893439999999998</v>
      </c>
      <c r="M77" t="str">
        <f>HYPERLINK("https://www.google.com/maps/search/?api=1&amp;query=-12.273858,-76.89344","Carretera Panamericana Sur, Lurín, Lima")</f>
        <v>Carretera Panamericana Sur, Lurín, Lima</v>
      </c>
      <c r="N77">
        <v>70.7</v>
      </c>
      <c r="O77">
        <v>100</v>
      </c>
      <c r="P77">
        <v>2741.3</v>
      </c>
      <c r="Q77" t="s">
        <v>192</v>
      </c>
      <c r="R77" t="s">
        <v>23</v>
      </c>
      <c r="S77" t="s">
        <v>23</v>
      </c>
      <c r="T77" t="s">
        <v>23</v>
      </c>
      <c r="U77" t="s">
        <v>23</v>
      </c>
    </row>
    <row r="78" spans="1:21" x14ac:dyDescent="0.25">
      <c r="A78" t="s">
        <v>195</v>
      </c>
      <c r="B78" t="s">
        <v>21</v>
      </c>
      <c r="C78" t="s">
        <v>22</v>
      </c>
      <c r="D78" s="1" t="s">
        <v>22</v>
      </c>
      <c r="E78" t="s">
        <v>23</v>
      </c>
      <c r="F78" t="s">
        <v>24</v>
      </c>
      <c r="G78" t="s">
        <v>25</v>
      </c>
      <c r="H78" t="s">
        <v>23</v>
      </c>
      <c r="I78" t="s">
        <v>26</v>
      </c>
      <c r="J78" t="s">
        <v>196</v>
      </c>
      <c r="K78">
        <v>-12.280720000000001</v>
      </c>
      <c r="L78">
        <v>-76.882559999999998</v>
      </c>
      <c r="M78" t="str">
        <f>HYPERLINK("https://www.google.com/maps/search/?api=1&amp;query=-12.28072,-76.88256","Carretera Panamericana Sur, Lurín, Lima")</f>
        <v>Carretera Panamericana Sur, Lurín, Lima</v>
      </c>
      <c r="N78">
        <v>88.8</v>
      </c>
      <c r="O78">
        <v>100</v>
      </c>
      <c r="P78">
        <v>2742.6</v>
      </c>
      <c r="Q78" t="s">
        <v>197</v>
      </c>
      <c r="R78" t="s">
        <v>23</v>
      </c>
      <c r="S78" t="s">
        <v>23</v>
      </c>
      <c r="T78" t="s">
        <v>23</v>
      </c>
      <c r="U78" t="s">
        <v>23</v>
      </c>
    </row>
    <row r="79" spans="1:21" x14ac:dyDescent="0.25">
      <c r="A79" t="s">
        <v>198</v>
      </c>
      <c r="B79" t="s">
        <v>21</v>
      </c>
      <c r="C79" t="s">
        <v>22</v>
      </c>
      <c r="D79" s="1" t="s">
        <v>22</v>
      </c>
      <c r="E79" t="s">
        <v>23</v>
      </c>
      <c r="F79" t="s">
        <v>24</v>
      </c>
      <c r="G79" t="s">
        <v>25</v>
      </c>
      <c r="H79" t="s">
        <v>23</v>
      </c>
      <c r="I79" t="s">
        <v>26</v>
      </c>
      <c r="J79" t="s">
        <v>199</v>
      </c>
      <c r="K79">
        <v>-12.287908</v>
      </c>
      <c r="L79">
        <v>-76.871086000000005</v>
      </c>
      <c r="M79" t="str">
        <f>HYPERLINK("https://www.google.com/maps/search/?api=1&amp;query=-12.287908,-76.871086","Carretera Panamericana Sur, Lurín, Lima")</f>
        <v>Carretera Panamericana Sur, Lurín, Lima</v>
      </c>
      <c r="N79">
        <v>87.1</v>
      </c>
      <c r="O79">
        <v>100</v>
      </c>
      <c r="P79">
        <v>2742.6</v>
      </c>
      <c r="Q79" t="s">
        <v>197</v>
      </c>
      <c r="R79" t="s">
        <v>187</v>
      </c>
      <c r="S79" t="s">
        <v>23</v>
      </c>
      <c r="T79" t="s">
        <v>23</v>
      </c>
      <c r="U79" t="s">
        <v>23</v>
      </c>
    </row>
    <row r="80" spans="1:21" x14ac:dyDescent="0.25">
      <c r="A80" t="s">
        <v>200</v>
      </c>
      <c r="B80" t="s">
        <v>21</v>
      </c>
      <c r="C80" t="s">
        <v>22</v>
      </c>
      <c r="D80" s="1" t="s">
        <v>22</v>
      </c>
      <c r="E80" t="s">
        <v>23</v>
      </c>
      <c r="F80" t="s">
        <v>24</v>
      </c>
      <c r="G80" t="s">
        <v>25</v>
      </c>
      <c r="H80" t="s">
        <v>23</v>
      </c>
      <c r="I80" t="s">
        <v>26</v>
      </c>
      <c r="J80" t="s">
        <v>201</v>
      </c>
      <c r="K80">
        <v>-12.293044</v>
      </c>
      <c r="L80">
        <v>-76.862840000000006</v>
      </c>
      <c r="M80" t="str">
        <f>HYPERLINK("https://www.google.com/maps/search/?api=1&amp;query=-12.293044,-76.86284","Carretera Panamericana Sur, Lurín, Lima")</f>
        <v>Carretera Panamericana Sur, Lurín, Lima</v>
      </c>
      <c r="N80">
        <v>85.8</v>
      </c>
      <c r="O80">
        <v>100</v>
      </c>
      <c r="P80">
        <v>2744.1</v>
      </c>
      <c r="Q80" t="s">
        <v>197</v>
      </c>
      <c r="R80" t="s">
        <v>187</v>
      </c>
      <c r="S80" t="s">
        <v>23</v>
      </c>
      <c r="T80" t="s">
        <v>23</v>
      </c>
      <c r="U80" t="s">
        <v>23</v>
      </c>
    </row>
    <row r="81" spans="1:21" x14ac:dyDescent="0.25">
      <c r="A81" t="s">
        <v>202</v>
      </c>
      <c r="B81" t="s">
        <v>21</v>
      </c>
      <c r="C81" t="s">
        <v>22</v>
      </c>
      <c r="D81" s="1" t="s">
        <v>22</v>
      </c>
      <c r="E81" t="s">
        <v>23</v>
      </c>
      <c r="F81" t="s">
        <v>24</v>
      </c>
      <c r="G81" t="s">
        <v>25</v>
      </c>
      <c r="H81" t="s">
        <v>23</v>
      </c>
      <c r="I81" t="s">
        <v>26</v>
      </c>
      <c r="J81" t="s">
        <v>203</v>
      </c>
      <c r="K81">
        <v>-12.287558000000001</v>
      </c>
      <c r="L81">
        <v>-76.871639999999999</v>
      </c>
      <c r="M81" t="str">
        <f>HYPERLINK("https://www.google.com/maps/search/?api=1&amp;query=-12.287558,-76.87164","Carretera Panamericana Sur, Lurín, Lima")</f>
        <v>Carretera Panamericana Sur, Lurín, Lima</v>
      </c>
      <c r="N81">
        <v>86</v>
      </c>
      <c r="O81">
        <v>100</v>
      </c>
      <c r="P81">
        <v>2744.1</v>
      </c>
      <c r="Q81" t="s">
        <v>197</v>
      </c>
      <c r="R81" t="s">
        <v>23</v>
      </c>
      <c r="S81" t="s">
        <v>23</v>
      </c>
      <c r="T81" t="s">
        <v>23</v>
      </c>
      <c r="U81" t="s">
        <v>23</v>
      </c>
    </row>
    <row r="82" spans="1:21" x14ac:dyDescent="0.25">
      <c r="A82" t="s">
        <v>204</v>
      </c>
      <c r="B82" t="s">
        <v>21</v>
      </c>
      <c r="C82" t="s">
        <v>22</v>
      </c>
      <c r="D82" s="1" t="s">
        <v>22</v>
      </c>
      <c r="E82" t="s">
        <v>23</v>
      </c>
      <c r="F82" t="s">
        <v>24</v>
      </c>
      <c r="G82" t="s">
        <v>25</v>
      </c>
      <c r="H82" t="s">
        <v>23</v>
      </c>
      <c r="I82" t="s">
        <v>26</v>
      </c>
      <c r="J82" t="s">
        <v>205</v>
      </c>
      <c r="K82">
        <v>-12.294466</v>
      </c>
      <c r="L82">
        <v>-76.860569999999996</v>
      </c>
      <c r="M82" t="str">
        <f>HYPERLINK("https://www.google.com/maps/search/?api=1&amp;query=-12.294466,-76.86057","Carretera Panamericana Sur, Lurín, Lima")</f>
        <v>Carretera Panamericana Sur, Lurín, Lima</v>
      </c>
      <c r="N82">
        <v>86.6</v>
      </c>
      <c r="O82">
        <v>100</v>
      </c>
      <c r="P82">
        <v>2745.6</v>
      </c>
      <c r="Q82" t="s">
        <v>206</v>
      </c>
      <c r="R82" t="s">
        <v>23</v>
      </c>
      <c r="S82" t="s">
        <v>23</v>
      </c>
      <c r="T82" t="s">
        <v>23</v>
      </c>
      <c r="U82" t="s">
        <v>23</v>
      </c>
    </row>
    <row r="83" spans="1:21" x14ac:dyDescent="0.25">
      <c r="A83" t="s">
        <v>207</v>
      </c>
      <c r="B83" t="s">
        <v>21</v>
      </c>
      <c r="C83" t="s">
        <v>22</v>
      </c>
      <c r="D83" s="1" t="s">
        <v>22</v>
      </c>
      <c r="E83" t="s">
        <v>23</v>
      </c>
      <c r="F83" t="s">
        <v>24</v>
      </c>
      <c r="G83" t="s">
        <v>25</v>
      </c>
      <c r="H83" t="s">
        <v>23</v>
      </c>
      <c r="I83" t="s">
        <v>26</v>
      </c>
      <c r="J83" t="s">
        <v>208</v>
      </c>
      <c r="K83">
        <v>-12.299685999999999</v>
      </c>
      <c r="L83">
        <v>-76.849819999999994</v>
      </c>
      <c r="M83" t="str">
        <f>HYPERLINK("https://www.google.com/maps/search/?api=1&amp;query=-12.299686,-76.84982","Carretera Panamericana Sur, Lurín, Lima")</f>
        <v>Carretera Panamericana Sur, Lurín, Lima</v>
      </c>
      <c r="N83">
        <v>71.7</v>
      </c>
      <c r="O83">
        <v>100</v>
      </c>
      <c r="P83">
        <v>2746.8</v>
      </c>
      <c r="Q83" t="s">
        <v>209</v>
      </c>
      <c r="R83" t="s">
        <v>23</v>
      </c>
      <c r="S83" t="s">
        <v>23</v>
      </c>
      <c r="T83" t="s">
        <v>23</v>
      </c>
      <c r="U83" t="s">
        <v>23</v>
      </c>
    </row>
    <row r="84" spans="1:21" x14ac:dyDescent="0.25">
      <c r="A84" t="s">
        <v>210</v>
      </c>
      <c r="B84" t="s">
        <v>21</v>
      </c>
      <c r="C84" t="s">
        <v>22</v>
      </c>
      <c r="D84" s="1" t="s">
        <v>22</v>
      </c>
      <c r="E84" t="s">
        <v>23</v>
      </c>
      <c r="F84" t="s">
        <v>24</v>
      </c>
      <c r="G84" t="s">
        <v>25</v>
      </c>
      <c r="H84" t="s">
        <v>23</v>
      </c>
      <c r="I84" t="s">
        <v>26</v>
      </c>
      <c r="J84" t="s">
        <v>211</v>
      </c>
      <c r="K84">
        <v>-12.304508</v>
      </c>
      <c r="L84">
        <v>-76.840360000000004</v>
      </c>
      <c r="M84" t="str">
        <f>HYPERLINK("https://www.google.com/maps/search/?api=1&amp;query=-12.304508,-76.84036","Carretera Panamericana Sur, Lurín, Lima")</f>
        <v>Carretera Panamericana Sur, Lurín, Lima</v>
      </c>
      <c r="N84">
        <v>71.400000000000006</v>
      </c>
      <c r="O84">
        <v>100</v>
      </c>
      <c r="P84">
        <v>2748</v>
      </c>
      <c r="Q84" t="s">
        <v>209</v>
      </c>
      <c r="R84" t="s">
        <v>23</v>
      </c>
      <c r="S84" t="s">
        <v>23</v>
      </c>
      <c r="T84" t="s">
        <v>23</v>
      </c>
      <c r="U84" t="s">
        <v>23</v>
      </c>
    </row>
    <row r="85" spans="1:21" x14ac:dyDescent="0.25">
      <c r="A85" t="s">
        <v>212</v>
      </c>
      <c r="B85" t="s">
        <v>21</v>
      </c>
      <c r="C85" t="s">
        <v>22</v>
      </c>
      <c r="D85" s="1" t="s">
        <v>22</v>
      </c>
      <c r="E85" t="s">
        <v>23</v>
      </c>
      <c r="F85" t="s">
        <v>24</v>
      </c>
      <c r="G85" t="s">
        <v>25</v>
      </c>
      <c r="H85" t="s">
        <v>23</v>
      </c>
      <c r="I85" t="s">
        <v>26</v>
      </c>
      <c r="J85" t="s">
        <v>213</v>
      </c>
      <c r="K85">
        <v>-12.314997999999999</v>
      </c>
      <c r="L85">
        <v>-76.832274999999996</v>
      </c>
      <c r="M85" t="str">
        <f>HYPERLINK("https://www.google.com/maps/search/?api=1&amp;query=-12.314998,-76.832275","Carretera Panamericana Sur, Punta Hermosa, Lima")</f>
        <v>Carretera Panamericana Sur, Punta Hermosa, Lima</v>
      </c>
      <c r="N85">
        <v>82.7</v>
      </c>
      <c r="O85">
        <v>100</v>
      </c>
      <c r="P85">
        <v>2749.3</v>
      </c>
      <c r="Q85" t="s">
        <v>214</v>
      </c>
      <c r="R85" t="s">
        <v>187</v>
      </c>
      <c r="S85" t="s">
        <v>23</v>
      </c>
      <c r="T85" t="s">
        <v>23</v>
      </c>
      <c r="U85" t="s">
        <v>23</v>
      </c>
    </row>
    <row r="86" spans="1:21" x14ac:dyDescent="0.25">
      <c r="A86" t="s">
        <v>215</v>
      </c>
      <c r="B86" t="s">
        <v>21</v>
      </c>
      <c r="C86" t="s">
        <v>22</v>
      </c>
      <c r="D86" s="1" t="s">
        <v>22</v>
      </c>
      <c r="E86" t="s">
        <v>23</v>
      </c>
      <c r="F86" t="s">
        <v>24</v>
      </c>
      <c r="G86" t="s">
        <v>25</v>
      </c>
      <c r="H86" t="s">
        <v>23</v>
      </c>
      <c r="I86" t="s">
        <v>26</v>
      </c>
      <c r="J86" t="s">
        <v>216</v>
      </c>
      <c r="K86">
        <v>-12.319678</v>
      </c>
      <c r="L86">
        <v>-76.829139999999995</v>
      </c>
      <c r="M86" t="str">
        <f>HYPERLINK("https://www.google.com/maps/search/?api=1&amp;query=-12.319678,-76.82914","Carretera Panamericana Sur, Punta Hermosa, Lima")</f>
        <v>Carretera Panamericana Sur, Punta Hermosa, Lima</v>
      </c>
      <c r="N86">
        <v>82.6</v>
      </c>
      <c r="O86">
        <v>100</v>
      </c>
      <c r="P86">
        <v>2749.3</v>
      </c>
      <c r="Q86" t="s">
        <v>214</v>
      </c>
      <c r="R86" t="s">
        <v>187</v>
      </c>
      <c r="S86" t="s">
        <v>23</v>
      </c>
      <c r="T86" t="s">
        <v>23</v>
      </c>
      <c r="U86" t="s">
        <v>23</v>
      </c>
    </row>
    <row r="87" spans="1:21" x14ac:dyDescent="0.25">
      <c r="A87" t="s">
        <v>217</v>
      </c>
      <c r="B87" t="s">
        <v>21</v>
      </c>
      <c r="C87" t="s">
        <v>22</v>
      </c>
      <c r="D87" s="1" t="s">
        <v>22</v>
      </c>
      <c r="E87" t="s">
        <v>23</v>
      </c>
      <c r="F87" t="s">
        <v>24</v>
      </c>
      <c r="G87" t="s">
        <v>25</v>
      </c>
      <c r="H87" t="s">
        <v>23</v>
      </c>
      <c r="I87" t="s">
        <v>26</v>
      </c>
      <c r="J87" t="s">
        <v>218</v>
      </c>
      <c r="K87">
        <v>-12.313461999999999</v>
      </c>
      <c r="L87">
        <v>-76.833299999999994</v>
      </c>
      <c r="M87" t="str">
        <f>HYPERLINK("https://www.google.com/maps/search/?api=1&amp;query=-12.313462,-76.8333","Carretera Panamericana Sur, Punta Hermosa, Lima")</f>
        <v>Carretera Panamericana Sur, Punta Hermosa, Lima</v>
      </c>
      <c r="N87">
        <v>80</v>
      </c>
      <c r="O87">
        <v>100</v>
      </c>
      <c r="P87">
        <v>2749.3</v>
      </c>
      <c r="Q87" t="s">
        <v>214</v>
      </c>
      <c r="R87" t="s">
        <v>23</v>
      </c>
      <c r="S87" t="s">
        <v>23</v>
      </c>
      <c r="T87" t="s">
        <v>23</v>
      </c>
      <c r="U87" t="s">
        <v>23</v>
      </c>
    </row>
    <row r="88" spans="1:21" x14ac:dyDescent="0.25">
      <c r="A88" t="s">
        <v>219</v>
      </c>
      <c r="B88" t="s">
        <v>21</v>
      </c>
      <c r="C88" t="s">
        <v>22</v>
      </c>
      <c r="D88" s="1" t="s">
        <v>22</v>
      </c>
      <c r="E88" t="s">
        <v>23</v>
      </c>
      <c r="F88" t="s">
        <v>24</v>
      </c>
      <c r="G88" t="s">
        <v>25</v>
      </c>
      <c r="H88" t="s">
        <v>23</v>
      </c>
      <c r="I88" t="s">
        <v>26</v>
      </c>
      <c r="J88" t="s">
        <v>220</v>
      </c>
      <c r="K88">
        <v>-12.323966</v>
      </c>
      <c r="L88">
        <v>-76.826279999999997</v>
      </c>
      <c r="M88" t="str">
        <f>HYPERLINK("https://www.google.com/maps/search/?api=1&amp;query=-12.323966,-76.82628","Carretera Panamericana Sur, Punta Hermosa, Lima")</f>
        <v>Carretera Panamericana Sur, Punta Hermosa, Lima</v>
      </c>
      <c r="N88">
        <v>86.7</v>
      </c>
      <c r="O88">
        <v>100</v>
      </c>
      <c r="P88">
        <v>2750.7</v>
      </c>
      <c r="Q88" t="s">
        <v>221</v>
      </c>
      <c r="R88" t="s">
        <v>222</v>
      </c>
      <c r="S88" t="s">
        <v>23</v>
      </c>
      <c r="T88" t="s">
        <v>23</v>
      </c>
      <c r="U88" t="s">
        <v>23</v>
      </c>
    </row>
    <row r="89" spans="1:21" x14ac:dyDescent="0.25">
      <c r="A89" t="s">
        <v>223</v>
      </c>
      <c r="B89" t="s">
        <v>21</v>
      </c>
      <c r="C89" t="s">
        <v>22</v>
      </c>
      <c r="D89" s="1" t="s">
        <v>22</v>
      </c>
      <c r="E89" t="s">
        <v>23</v>
      </c>
      <c r="F89" t="s">
        <v>24</v>
      </c>
      <c r="G89" t="s">
        <v>25</v>
      </c>
      <c r="H89" t="s">
        <v>23</v>
      </c>
      <c r="I89" t="s">
        <v>26</v>
      </c>
      <c r="J89" t="s">
        <v>224</v>
      </c>
      <c r="K89">
        <v>-12.334444</v>
      </c>
      <c r="L89">
        <v>-76.819370000000006</v>
      </c>
      <c r="M89" t="str">
        <f>HYPERLINK("https://www.google.com/maps/search/?api=1&amp;query=-12.334444,-76.81937","Carretera Panamericana Sur, Punta Hermosa, Lima")</f>
        <v>Carretera Panamericana Sur, Punta Hermosa, Lima</v>
      </c>
      <c r="N89">
        <v>53.7</v>
      </c>
      <c r="O89">
        <v>100</v>
      </c>
      <c r="P89">
        <v>2752.1</v>
      </c>
      <c r="Q89" t="s">
        <v>221</v>
      </c>
      <c r="R89" t="s">
        <v>23</v>
      </c>
      <c r="S89" t="s">
        <v>23</v>
      </c>
      <c r="T89" t="s">
        <v>23</v>
      </c>
      <c r="U89" t="s">
        <v>23</v>
      </c>
    </row>
    <row r="90" spans="1:21" x14ac:dyDescent="0.25">
      <c r="A90" t="s">
        <v>225</v>
      </c>
      <c r="B90" t="s">
        <v>21</v>
      </c>
      <c r="C90" t="s">
        <v>22</v>
      </c>
      <c r="D90" s="1" t="s">
        <v>22</v>
      </c>
      <c r="E90" t="s">
        <v>23</v>
      </c>
      <c r="F90" t="s">
        <v>24</v>
      </c>
      <c r="G90" t="s">
        <v>25</v>
      </c>
      <c r="H90" t="s">
        <v>23</v>
      </c>
      <c r="I90" t="s">
        <v>26</v>
      </c>
      <c r="J90" t="s">
        <v>224</v>
      </c>
      <c r="K90">
        <v>-12.33555</v>
      </c>
      <c r="L90">
        <v>-76.818799999999996</v>
      </c>
      <c r="M90" t="str">
        <f>HYPERLINK("https://www.google.com/maps/search/?api=1&amp;query=-12.33555,-76.8188","Carretera Panamericana Sur, Punta Hermosa, Lima")</f>
        <v>Carretera Panamericana Sur, Punta Hermosa, Lima</v>
      </c>
      <c r="N90">
        <v>27.4</v>
      </c>
      <c r="O90">
        <v>100</v>
      </c>
      <c r="P90">
        <v>2752.1</v>
      </c>
      <c r="Q90" t="s">
        <v>221</v>
      </c>
      <c r="R90" t="s">
        <v>23</v>
      </c>
      <c r="S90" t="s">
        <v>23</v>
      </c>
      <c r="T90" t="s">
        <v>23</v>
      </c>
      <c r="U90" t="s">
        <v>23</v>
      </c>
    </row>
    <row r="91" spans="1:21" x14ac:dyDescent="0.25">
      <c r="A91" t="s">
        <v>226</v>
      </c>
      <c r="B91" t="s">
        <v>21</v>
      </c>
      <c r="C91" t="s">
        <v>22</v>
      </c>
      <c r="D91" s="1" t="s">
        <v>22</v>
      </c>
      <c r="E91" t="s">
        <v>23</v>
      </c>
      <c r="F91" t="s">
        <v>24</v>
      </c>
      <c r="G91" t="s">
        <v>25</v>
      </c>
      <c r="H91" t="s">
        <v>23</v>
      </c>
      <c r="I91" t="s">
        <v>26</v>
      </c>
      <c r="J91" t="s">
        <v>227</v>
      </c>
      <c r="K91">
        <v>-12.335849</v>
      </c>
      <c r="L91">
        <v>-76.818969999999993</v>
      </c>
      <c r="M91" t="str">
        <f>HYPERLINK("https://www.google.com/maps/search/?api=1&amp;query=-12.335849,-76.81897","Antigua Panamericana Sur, Punta Hermosa, Lima")</f>
        <v>Antigua Panamericana Sur, Punta Hermosa, Lima</v>
      </c>
      <c r="N91">
        <v>17.399999999999999</v>
      </c>
      <c r="O91">
        <v>100</v>
      </c>
      <c r="P91">
        <v>2752.1</v>
      </c>
      <c r="Q91" t="s">
        <v>221</v>
      </c>
      <c r="R91" t="s">
        <v>23</v>
      </c>
      <c r="S91" t="s">
        <v>23</v>
      </c>
      <c r="T91" t="s">
        <v>23</v>
      </c>
      <c r="U91" t="s">
        <v>23</v>
      </c>
    </row>
    <row r="92" spans="1:21" x14ac:dyDescent="0.25">
      <c r="A92" t="s">
        <v>228</v>
      </c>
      <c r="B92" t="s">
        <v>21</v>
      </c>
      <c r="C92" t="s">
        <v>22</v>
      </c>
      <c r="D92" s="1" t="s">
        <v>22</v>
      </c>
      <c r="E92" t="s">
        <v>23</v>
      </c>
      <c r="F92" t="s">
        <v>24</v>
      </c>
      <c r="G92" t="s">
        <v>25</v>
      </c>
      <c r="H92" t="s">
        <v>23</v>
      </c>
      <c r="I92" t="s">
        <v>26</v>
      </c>
      <c r="J92" t="s">
        <v>229</v>
      </c>
      <c r="K92">
        <v>-12.335803</v>
      </c>
      <c r="L92">
        <v>-76.819180000000003</v>
      </c>
      <c r="M92" t="str">
        <f>HYPERLINK("https://www.google.com/maps/search/?api=1&amp;query=-12.335803,-76.81918","Antigua Panamericana Sur, Punta Hermosa, Lima")</f>
        <v>Antigua Panamericana Sur, Punta Hermosa, Lima</v>
      </c>
      <c r="N92">
        <v>17.7</v>
      </c>
      <c r="O92">
        <v>100</v>
      </c>
      <c r="P92">
        <v>2752.1</v>
      </c>
      <c r="Q92" t="s">
        <v>221</v>
      </c>
      <c r="R92" t="s">
        <v>23</v>
      </c>
      <c r="S92" t="s">
        <v>23</v>
      </c>
      <c r="T92" t="s">
        <v>23</v>
      </c>
      <c r="U92" t="s">
        <v>23</v>
      </c>
    </row>
    <row r="93" spans="1:21" x14ac:dyDescent="0.25">
      <c r="A93" t="s">
        <v>230</v>
      </c>
      <c r="B93" t="s">
        <v>21</v>
      </c>
      <c r="C93" t="s">
        <v>22</v>
      </c>
      <c r="D93" s="1" t="s">
        <v>22</v>
      </c>
      <c r="E93" t="s">
        <v>23</v>
      </c>
      <c r="F93" t="s">
        <v>24</v>
      </c>
      <c r="G93" t="s">
        <v>25</v>
      </c>
      <c r="H93" t="s">
        <v>23</v>
      </c>
      <c r="I93" t="s">
        <v>26</v>
      </c>
      <c r="J93" t="s">
        <v>231</v>
      </c>
      <c r="K93">
        <v>-12.334095</v>
      </c>
      <c r="L93">
        <v>-76.820335</v>
      </c>
      <c r="M93" t="str">
        <f>HYPERLINK("https://www.google.com/maps/search/?api=1&amp;query=-12.334095,-76.820335","Antigua Panamericana Sur, Punta Hermosa, Lima")</f>
        <v>Antigua Panamericana Sur, Punta Hermosa, Lima</v>
      </c>
      <c r="N93">
        <v>23.6</v>
      </c>
      <c r="O93">
        <v>100</v>
      </c>
      <c r="P93">
        <v>2752.1</v>
      </c>
      <c r="Q93" t="s">
        <v>221</v>
      </c>
      <c r="R93" t="s">
        <v>23</v>
      </c>
      <c r="S93" t="s">
        <v>23</v>
      </c>
      <c r="T93" t="s">
        <v>23</v>
      </c>
      <c r="U93" t="s">
        <v>23</v>
      </c>
    </row>
    <row r="94" spans="1:21" x14ac:dyDescent="0.25">
      <c r="A94" t="s">
        <v>232</v>
      </c>
      <c r="B94" t="s">
        <v>21</v>
      </c>
      <c r="C94" t="s">
        <v>22</v>
      </c>
      <c r="D94" s="1" t="s">
        <v>22</v>
      </c>
      <c r="E94" t="s">
        <v>23</v>
      </c>
      <c r="F94" t="s">
        <v>24</v>
      </c>
      <c r="G94" t="s">
        <v>25</v>
      </c>
      <c r="H94" t="s">
        <v>23</v>
      </c>
      <c r="I94" t="s">
        <v>26</v>
      </c>
      <c r="J94" t="s">
        <v>231</v>
      </c>
      <c r="K94">
        <v>-12.333740000000001</v>
      </c>
      <c r="L94">
        <v>-76.820499999999996</v>
      </c>
      <c r="M94" t="str">
        <f>HYPERLINK("https://www.google.com/maps/search/?api=1&amp;query=-12.33374,-76.8205","Antigua Panamericana Sur, Punta Hermosa, Lima")</f>
        <v>Antigua Panamericana Sur, Punta Hermosa, Lima</v>
      </c>
      <c r="N94">
        <v>13.4</v>
      </c>
      <c r="O94">
        <v>100</v>
      </c>
      <c r="P94">
        <v>2752.1</v>
      </c>
      <c r="Q94" t="s">
        <v>221</v>
      </c>
      <c r="R94" t="s">
        <v>23</v>
      </c>
      <c r="S94" t="s">
        <v>23</v>
      </c>
      <c r="T94" t="s">
        <v>23</v>
      </c>
      <c r="U94" t="s">
        <v>23</v>
      </c>
    </row>
    <row r="95" spans="1:21" x14ac:dyDescent="0.25">
      <c r="A95" t="s">
        <v>233</v>
      </c>
      <c r="B95" t="s">
        <v>21</v>
      </c>
      <c r="C95" t="s">
        <v>22</v>
      </c>
      <c r="D95" s="1" t="s">
        <v>22</v>
      </c>
      <c r="E95" t="s">
        <v>23</v>
      </c>
      <c r="F95" t="s">
        <v>24</v>
      </c>
      <c r="G95" t="s">
        <v>25</v>
      </c>
      <c r="H95" t="s">
        <v>23</v>
      </c>
      <c r="I95" t="s">
        <v>26</v>
      </c>
      <c r="J95" t="s">
        <v>234</v>
      </c>
      <c r="K95">
        <v>-12.333701</v>
      </c>
      <c r="L95">
        <v>-76.820369999999997</v>
      </c>
      <c r="M95" t="str">
        <f>HYPERLINK("https://www.google.com/maps/search/?api=1&amp;query=-12.333701,-76.82037","Antigua Panamericana Sur, Punta Hermosa, Lima")</f>
        <v>Antigua Panamericana Sur, Punta Hermosa, Lima</v>
      </c>
      <c r="N95">
        <v>19.3</v>
      </c>
      <c r="O95">
        <v>100</v>
      </c>
      <c r="P95">
        <v>2752.1</v>
      </c>
      <c r="Q95" t="s">
        <v>221</v>
      </c>
      <c r="R95" t="s">
        <v>23</v>
      </c>
      <c r="S95" t="s">
        <v>23</v>
      </c>
      <c r="T95" t="s">
        <v>23</v>
      </c>
      <c r="U95" t="s">
        <v>23</v>
      </c>
    </row>
    <row r="96" spans="1:21" x14ac:dyDescent="0.25">
      <c r="A96" t="s">
        <v>235</v>
      </c>
      <c r="B96" t="s">
        <v>21</v>
      </c>
      <c r="C96" t="s">
        <v>22</v>
      </c>
      <c r="D96" s="1" t="s">
        <v>22</v>
      </c>
      <c r="E96" t="s">
        <v>23</v>
      </c>
      <c r="F96" t="s">
        <v>24</v>
      </c>
      <c r="G96" t="s">
        <v>25</v>
      </c>
      <c r="H96" t="s">
        <v>23</v>
      </c>
      <c r="I96" t="s">
        <v>26</v>
      </c>
      <c r="J96" t="s">
        <v>236</v>
      </c>
      <c r="K96">
        <v>-12.333632</v>
      </c>
      <c r="L96">
        <v>-76.819800000000001</v>
      </c>
      <c r="M96" t="str">
        <f>HYPERLINK("https://www.google.com/maps/search/?api=1&amp;query=-12.333632,-76.8198","Carretera Panamericana Sur, Punta Hermosa, Lima")</f>
        <v>Carretera Panamericana Sur, Punta Hermosa, Lima</v>
      </c>
      <c r="N96">
        <v>28.1</v>
      </c>
      <c r="O96">
        <v>100</v>
      </c>
      <c r="P96">
        <v>2752.5</v>
      </c>
      <c r="Q96" t="s">
        <v>221</v>
      </c>
      <c r="R96" t="s">
        <v>23</v>
      </c>
      <c r="S96" t="s">
        <v>23</v>
      </c>
      <c r="T96" t="s">
        <v>23</v>
      </c>
      <c r="U96" t="s">
        <v>23</v>
      </c>
    </row>
    <row r="97" spans="1:21" x14ac:dyDescent="0.25">
      <c r="A97" t="s">
        <v>237</v>
      </c>
      <c r="B97" t="s">
        <v>21</v>
      </c>
      <c r="C97" t="s">
        <v>22</v>
      </c>
      <c r="D97" s="1" t="s">
        <v>22</v>
      </c>
      <c r="E97" t="s">
        <v>23</v>
      </c>
      <c r="F97" t="s">
        <v>24</v>
      </c>
      <c r="G97" t="s">
        <v>25</v>
      </c>
      <c r="H97" t="s">
        <v>23</v>
      </c>
      <c r="I97" t="s">
        <v>26</v>
      </c>
      <c r="J97" t="s">
        <v>238</v>
      </c>
      <c r="K97">
        <v>-12.333280999999999</v>
      </c>
      <c r="L97">
        <v>-76.819599999999994</v>
      </c>
      <c r="M97" t="str">
        <f>HYPERLINK("https://www.google.com/maps/search/?api=1&amp;query=-12.333281,-76.8196","Carretera Panamericana Sur, Punta Hermosa, Lima")</f>
        <v>Carretera Panamericana Sur, Punta Hermosa, Lima</v>
      </c>
      <c r="N97">
        <v>28.7</v>
      </c>
      <c r="O97">
        <v>100</v>
      </c>
      <c r="P97">
        <v>2752.5</v>
      </c>
      <c r="Q97" t="s">
        <v>221</v>
      </c>
      <c r="R97" t="s">
        <v>23</v>
      </c>
      <c r="S97" t="s">
        <v>23</v>
      </c>
      <c r="T97" t="s">
        <v>23</v>
      </c>
      <c r="U97" t="s">
        <v>23</v>
      </c>
    </row>
    <row r="98" spans="1:21" x14ac:dyDescent="0.25">
      <c r="A98" t="s">
        <v>239</v>
      </c>
      <c r="B98" t="s">
        <v>21</v>
      </c>
      <c r="C98" t="s">
        <v>22</v>
      </c>
      <c r="D98" s="1" t="s">
        <v>22</v>
      </c>
      <c r="E98" t="s">
        <v>23</v>
      </c>
      <c r="F98" t="s">
        <v>24</v>
      </c>
      <c r="G98" t="s">
        <v>25</v>
      </c>
      <c r="H98" t="s">
        <v>23</v>
      </c>
      <c r="I98" t="s">
        <v>26</v>
      </c>
      <c r="J98" t="s">
        <v>240</v>
      </c>
      <c r="K98">
        <v>-12.332935000000001</v>
      </c>
      <c r="L98">
        <v>-76.819860000000006</v>
      </c>
      <c r="M98" t="str">
        <f>HYPERLINK("https://www.google.com/maps/search/?api=1&amp;query=-12.332935,-76.81986","Carretera Panamericana Sur, Punta Hermosa, Lima")</f>
        <v>Carretera Panamericana Sur, Punta Hermosa, Lima</v>
      </c>
      <c r="N98">
        <v>32.200000000000003</v>
      </c>
      <c r="O98">
        <v>100</v>
      </c>
      <c r="P98">
        <v>2752.5</v>
      </c>
      <c r="Q98" t="s">
        <v>221</v>
      </c>
      <c r="R98" t="s">
        <v>23</v>
      </c>
      <c r="S98" t="s">
        <v>23</v>
      </c>
      <c r="T98" t="s">
        <v>23</v>
      </c>
      <c r="U98" t="s">
        <v>23</v>
      </c>
    </row>
    <row r="99" spans="1:21" x14ac:dyDescent="0.25">
      <c r="A99" t="s">
        <v>241</v>
      </c>
      <c r="B99" t="s">
        <v>21</v>
      </c>
      <c r="C99" t="s">
        <v>22</v>
      </c>
      <c r="D99" s="1" t="s">
        <v>22</v>
      </c>
      <c r="E99" t="s">
        <v>23</v>
      </c>
      <c r="F99" t="s">
        <v>24</v>
      </c>
      <c r="G99" t="s">
        <v>25</v>
      </c>
      <c r="H99" t="s">
        <v>23</v>
      </c>
      <c r="I99" t="s">
        <v>26</v>
      </c>
      <c r="J99" t="s">
        <v>242</v>
      </c>
      <c r="K99">
        <v>-12.33065</v>
      </c>
      <c r="L99">
        <v>-76.821655000000007</v>
      </c>
      <c r="M99" t="str">
        <f>HYPERLINK("https://www.google.com/maps/search/?api=1&amp;query=-12.33065,-76.821655","Carretera Panamericana Sur, Punta Hermosa, Lima")</f>
        <v>Carretera Panamericana Sur, Punta Hermosa, Lima</v>
      </c>
      <c r="N99">
        <v>50</v>
      </c>
      <c r="O99">
        <v>100</v>
      </c>
      <c r="P99">
        <v>2753.1</v>
      </c>
      <c r="Q99" t="s">
        <v>243</v>
      </c>
      <c r="R99" t="s">
        <v>23</v>
      </c>
      <c r="S99" t="s">
        <v>23</v>
      </c>
      <c r="T99" t="s">
        <v>23</v>
      </c>
      <c r="U99" t="s">
        <v>23</v>
      </c>
    </row>
    <row r="100" spans="1:21" x14ac:dyDescent="0.25">
      <c r="A100" t="s">
        <v>244</v>
      </c>
      <c r="B100" t="s">
        <v>21</v>
      </c>
      <c r="C100" t="s">
        <v>22</v>
      </c>
      <c r="D100" s="1" t="s">
        <v>22</v>
      </c>
      <c r="E100" t="s">
        <v>23</v>
      </c>
      <c r="F100" t="s">
        <v>24</v>
      </c>
      <c r="G100" t="s">
        <v>25</v>
      </c>
      <c r="H100" t="s">
        <v>23</v>
      </c>
      <c r="I100" t="s">
        <v>26</v>
      </c>
      <c r="J100" t="s">
        <v>245</v>
      </c>
      <c r="K100">
        <v>-12.322948</v>
      </c>
      <c r="L100">
        <v>-76.826836</v>
      </c>
      <c r="M100" t="str">
        <f>HYPERLINK("https://www.google.com/maps/search/?api=1&amp;query=-12.322948,-76.826836","Carretera Panamericana Sur, Punta Hermosa, Lima")</f>
        <v>Carretera Panamericana Sur, Punta Hermosa, Lima</v>
      </c>
      <c r="N100">
        <v>69.5</v>
      </c>
      <c r="O100">
        <v>100</v>
      </c>
      <c r="P100">
        <v>2753.1</v>
      </c>
      <c r="Q100" t="s">
        <v>243</v>
      </c>
      <c r="R100" t="s">
        <v>23</v>
      </c>
      <c r="S100" t="s">
        <v>23</v>
      </c>
      <c r="T100" t="s">
        <v>23</v>
      </c>
      <c r="U100" t="s">
        <v>23</v>
      </c>
    </row>
    <row r="101" spans="1:21" x14ac:dyDescent="0.25">
      <c r="A101" t="s">
        <v>246</v>
      </c>
      <c r="B101" t="s">
        <v>21</v>
      </c>
      <c r="C101" t="s">
        <v>22</v>
      </c>
      <c r="D101" s="1" t="s">
        <v>22</v>
      </c>
      <c r="E101" t="s">
        <v>23</v>
      </c>
      <c r="F101" t="s">
        <v>24</v>
      </c>
      <c r="G101" t="s">
        <v>25</v>
      </c>
      <c r="H101" t="s">
        <v>23</v>
      </c>
      <c r="I101" t="s">
        <v>26</v>
      </c>
      <c r="J101" t="s">
        <v>247</v>
      </c>
      <c r="K101">
        <v>-12.31799</v>
      </c>
      <c r="L101">
        <v>-76.829796000000002</v>
      </c>
      <c r="M101" t="str">
        <f>HYPERLINK("https://www.google.com/maps/search/?api=1&amp;query=-12.31799,-76.829796","Punta Hermosa, Lima")</f>
        <v>Punta Hermosa, Lima</v>
      </c>
      <c r="N101">
        <v>12.6</v>
      </c>
      <c r="O101">
        <v>100</v>
      </c>
      <c r="P101">
        <v>2754.1</v>
      </c>
      <c r="Q101" t="s">
        <v>243</v>
      </c>
      <c r="R101" t="s">
        <v>23</v>
      </c>
      <c r="S101" t="s">
        <v>23</v>
      </c>
      <c r="T101" t="s">
        <v>23</v>
      </c>
      <c r="U101" t="s">
        <v>23</v>
      </c>
    </row>
    <row r="102" spans="1:21" x14ac:dyDescent="0.25">
      <c r="A102" t="s">
        <v>248</v>
      </c>
      <c r="B102" t="s">
        <v>21</v>
      </c>
      <c r="C102" t="s">
        <v>22</v>
      </c>
      <c r="D102" s="1" t="s">
        <v>22</v>
      </c>
      <c r="E102" t="s">
        <v>23</v>
      </c>
      <c r="F102" t="s">
        <v>24</v>
      </c>
      <c r="G102" t="s">
        <v>25</v>
      </c>
      <c r="H102" t="s">
        <v>23</v>
      </c>
      <c r="I102" t="s">
        <v>26</v>
      </c>
      <c r="J102" t="s">
        <v>249</v>
      </c>
      <c r="K102">
        <v>-12.317608999999999</v>
      </c>
      <c r="L102">
        <v>-76.829620000000006</v>
      </c>
      <c r="M102" t="str">
        <f>HYPERLINK("https://www.google.com/maps/search/?api=1&amp;query=-12.317609,-76.82962","Punta Hermosa, Lima")</f>
        <v>Punta Hermosa, Lima</v>
      </c>
      <c r="N102">
        <v>15.1</v>
      </c>
      <c r="O102">
        <v>100</v>
      </c>
      <c r="P102">
        <v>2754.1</v>
      </c>
      <c r="Q102" t="s">
        <v>243</v>
      </c>
      <c r="R102" t="s">
        <v>23</v>
      </c>
      <c r="S102" t="s">
        <v>23</v>
      </c>
      <c r="T102" t="s">
        <v>23</v>
      </c>
      <c r="U102" t="s">
        <v>23</v>
      </c>
    </row>
    <row r="103" spans="1:21" x14ac:dyDescent="0.25">
      <c r="A103" t="s">
        <v>250</v>
      </c>
      <c r="B103" t="s">
        <v>21</v>
      </c>
      <c r="C103" t="s">
        <v>22</v>
      </c>
      <c r="D103" s="1" t="s">
        <v>22</v>
      </c>
      <c r="E103" t="s">
        <v>23</v>
      </c>
      <c r="F103" t="s">
        <v>24</v>
      </c>
      <c r="G103" t="s">
        <v>25</v>
      </c>
      <c r="H103" t="s">
        <v>23</v>
      </c>
      <c r="I103" t="s">
        <v>26</v>
      </c>
      <c r="J103" t="s">
        <v>249</v>
      </c>
      <c r="K103">
        <v>-12.317608999999999</v>
      </c>
      <c r="L103">
        <v>-76.829620000000006</v>
      </c>
      <c r="M103" t="str">
        <f>HYPERLINK("https://www.google.com/maps/search/?api=1&amp;query=-12.317609,-76.82962","Punta Hermosa, Lima")</f>
        <v>Punta Hermosa, Lima</v>
      </c>
      <c r="N103">
        <v>15.1</v>
      </c>
      <c r="O103">
        <v>100</v>
      </c>
      <c r="P103">
        <v>2754.1</v>
      </c>
      <c r="Q103" t="s">
        <v>243</v>
      </c>
      <c r="R103" t="s">
        <v>80</v>
      </c>
      <c r="S103" t="s">
        <v>251</v>
      </c>
      <c r="T103" t="s">
        <v>82</v>
      </c>
      <c r="U103" t="s">
        <v>23</v>
      </c>
    </row>
    <row r="104" spans="1:21" x14ac:dyDescent="0.25">
      <c r="A104" t="s">
        <v>252</v>
      </c>
      <c r="B104" t="s">
        <v>21</v>
      </c>
      <c r="C104" t="s">
        <v>22</v>
      </c>
      <c r="D104" s="1" t="s">
        <v>22</v>
      </c>
      <c r="E104" t="s">
        <v>23</v>
      </c>
      <c r="F104" t="s">
        <v>24</v>
      </c>
      <c r="G104" t="s">
        <v>25</v>
      </c>
      <c r="H104" t="s">
        <v>23</v>
      </c>
      <c r="I104" t="s">
        <v>26</v>
      </c>
      <c r="J104" t="s">
        <v>253</v>
      </c>
      <c r="K104">
        <v>-12.316801</v>
      </c>
      <c r="L104">
        <v>-76.828379999999996</v>
      </c>
      <c r="M104" t="str">
        <f>HYPERLINK("https://www.google.com/maps/search/?api=1&amp;query=-12.316801,-76.82838","Punta Hermosa, Lima")</f>
        <v>Punta Hermosa, Lima</v>
      </c>
      <c r="N104">
        <v>15.8</v>
      </c>
      <c r="O104">
        <v>100</v>
      </c>
      <c r="P104">
        <v>2754.8</v>
      </c>
      <c r="Q104" t="s">
        <v>254</v>
      </c>
      <c r="R104" t="s">
        <v>23</v>
      </c>
      <c r="S104" t="s">
        <v>23</v>
      </c>
      <c r="T104" t="s">
        <v>23</v>
      </c>
      <c r="U104" t="s">
        <v>23</v>
      </c>
    </row>
    <row r="105" spans="1:21" x14ac:dyDescent="0.25">
      <c r="A105" t="s">
        <v>255</v>
      </c>
      <c r="B105" t="s">
        <v>21</v>
      </c>
      <c r="C105" t="s">
        <v>22</v>
      </c>
      <c r="D105" s="1" t="s">
        <v>22</v>
      </c>
      <c r="E105" t="s">
        <v>23</v>
      </c>
      <c r="F105" t="s">
        <v>24</v>
      </c>
      <c r="G105" t="s">
        <v>25</v>
      </c>
      <c r="H105" t="s">
        <v>23</v>
      </c>
      <c r="I105" t="s">
        <v>26</v>
      </c>
      <c r="J105" t="s">
        <v>256</v>
      </c>
      <c r="K105">
        <v>-12.316188</v>
      </c>
      <c r="L105">
        <v>-76.827200000000005</v>
      </c>
      <c r="M105" t="str">
        <f>HYPERLINK("https://www.google.com/maps/search/?api=1&amp;query=-12.316188,-76.8272","Punta Hermosa, Lima")</f>
        <v>Punta Hermosa, Lima</v>
      </c>
      <c r="N105">
        <v>14</v>
      </c>
      <c r="O105">
        <v>100</v>
      </c>
      <c r="P105">
        <v>2755</v>
      </c>
      <c r="Q105" t="s">
        <v>257</v>
      </c>
      <c r="R105" t="s">
        <v>23</v>
      </c>
      <c r="S105" t="s">
        <v>23</v>
      </c>
      <c r="T105" t="s">
        <v>23</v>
      </c>
      <c r="U105" t="s">
        <v>23</v>
      </c>
    </row>
    <row r="106" spans="1:21" x14ac:dyDescent="0.25">
      <c r="A106" t="s">
        <v>258</v>
      </c>
      <c r="B106" t="s">
        <v>21</v>
      </c>
      <c r="C106" t="s">
        <v>22</v>
      </c>
      <c r="D106" s="1" t="s">
        <v>22</v>
      </c>
      <c r="E106" t="s">
        <v>23</v>
      </c>
      <c r="F106" t="s">
        <v>24</v>
      </c>
      <c r="G106" t="s">
        <v>25</v>
      </c>
      <c r="H106" t="s">
        <v>23</v>
      </c>
      <c r="I106" t="s">
        <v>26</v>
      </c>
      <c r="J106" t="s">
        <v>259</v>
      </c>
      <c r="K106">
        <v>-12.316407</v>
      </c>
      <c r="L106">
        <v>-76.827029999999993</v>
      </c>
      <c r="M106" t="str">
        <f>HYPERLINK("https://www.google.com/maps/search/?api=1&amp;query=-12.316407,-76.82703","Punta Hermosa, Lima")</f>
        <v>Punta Hermosa, Lima</v>
      </c>
      <c r="N106">
        <v>22.4</v>
      </c>
      <c r="O106">
        <v>100</v>
      </c>
      <c r="P106">
        <v>2755</v>
      </c>
      <c r="Q106" t="s">
        <v>257</v>
      </c>
      <c r="R106" t="s">
        <v>23</v>
      </c>
      <c r="S106" t="s">
        <v>23</v>
      </c>
      <c r="T106" t="s">
        <v>23</v>
      </c>
      <c r="U106" t="s">
        <v>23</v>
      </c>
    </row>
    <row r="107" spans="1:21" x14ac:dyDescent="0.25">
      <c r="A107" t="s">
        <v>260</v>
      </c>
      <c r="B107" t="s">
        <v>21</v>
      </c>
      <c r="C107" t="s">
        <v>22</v>
      </c>
      <c r="D107" s="1" t="s">
        <v>22</v>
      </c>
      <c r="E107" t="s">
        <v>23</v>
      </c>
      <c r="F107" t="s">
        <v>24</v>
      </c>
      <c r="G107" t="s">
        <v>25</v>
      </c>
      <c r="H107" t="s">
        <v>23</v>
      </c>
      <c r="I107" t="s">
        <v>26</v>
      </c>
      <c r="J107" t="s">
        <v>261</v>
      </c>
      <c r="K107">
        <v>-12.317356999999999</v>
      </c>
      <c r="L107">
        <v>-76.826269999999994</v>
      </c>
      <c r="M107" t="str">
        <f>HYPERLINK("https://www.google.com/maps/search/?api=1&amp;query=-12.317357,-76.82627","Punta Hermosa, Lima")</f>
        <v>Punta Hermosa, Lima</v>
      </c>
      <c r="N107">
        <v>20</v>
      </c>
      <c r="O107">
        <v>100</v>
      </c>
      <c r="P107">
        <v>2755</v>
      </c>
      <c r="Q107" t="s">
        <v>257</v>
      </c>
      <c r="R107" t="s">
        <v>23</v>
      </c>
      <c r="S107" t="s">
        <v>23</v>
      </c>
      <c r="T107" t="s">
        <v>23</v>
      </c>
      <c r="U107" t="s">
        <v>23</v>
      </c>
    </row>
    <row r="108" spans="1:21" x14ac:dyDescent="0.25">
      <c r="A108" t="s">
        <v>262</v>
      </c>
      <c r="B108" t="s">
        <v>21</v>
      </c>
      <c r="C108" t="s">
        <v>22</v>
      </c>
      <c r="D108" s="1" t="s">
        <v>22</v>
      </c>
      <c r="E108" t="s">
        <v>23</v>
      </c>
      <c r="F108" t="s">
        <v>24</v>
      </c>
      <c r="G108" t="s">
        <v>25</v>
      </c>
      <c r="H108" t="s">
        <v>23</v>
      </c>
      <c r="I108" t="s">
        <v>26</v>
      </c>
      <c r="J108" t="s">
        <v>263</v>
      </c>
      <c r="K108">
        <v>-12.317308000000001</v>
      </c>
      <c r="L108">
        <v>-76.82611</v>
      </c>
      <c r="M108" t="str">
        <f>HYPERLINK("https://www.google.com/maps/search/?api=1&amp;query=-12.317308,-76.82611","Punta Hermosa, Lima")</f>
        <v>Punta Hermosa, Lima</v>
      </c>
      <c r="N108">
        <v>23.9</v>
      </c>
      <c r="O108">
        <v>100</v>
      </c>
      <c r="P108">
        <v>2755.3</v>
      </c>
      <c r="Q108" t="s">
        <v>257</v>
      </c>
      <c r="R108" t="s">
        <v>23</v>
      </c>
      <c r="S108" t="s">
        <v>23</v>
      </c>
      <c r="T108" t="s">
        <v>23</v>
      </c>
      <c r="U108" t="s">
        <v>23</v>
      </c>
    </row>
    <row r="109" spans="1:21" x14ac:dyDescent="0.25">
      <c r="A109" t="s">
        <v>264</v>
      </c>
      <c r="B109" t="s">
        <v>21</v>
      </c>
      <c r="C109" t="s">
        <v>22</v>
      </c>
      <c r="D109" s="1" t="s">
        <v>22</v>
      </c>
      <c r="E109" t="s">
        <v>23</v>
      </c>
      <c r="F109" t="s">
        <v>24</v>
      </c>
      <c r="G109" t="s">
        <v>25</v>
      </c>
      <c r="H109" t="s">
        <v>23</v>
      </c>
      <c r="I109" t="s">
        <v>26</v>
      </c>
      <c r="J109" t="s">
        <v>265</v>
      </c>
      <c r="K109">
        <v>-12.316834</v>
      </c>
      <c r="L109">
        <v>-76.825040000000001</v>
      </c>
      <c r="M109" t="str">
        <f>HYPERLINK("https://www.google.com/maps/search/?api=1&amp;query=-12.316834,-76.82504","Punta Hermosa, Lima")</f>
        <v>Punta Hermosa, Lima</v>
      </c>
      <c r="N109">
        <v>17.7</v>
      </c>
      <c r="O109">
        <v>100</v>
      </c>
      <c r="P109">
        <v>2755.3</v>
      </c>
      <c r="Q109" t="s">
        <v>257</v>
      </c>
      <c r="R109" t="s">
        <v>23</v>
      </c>
      <c r="S109" t="s">
        <v>23</v>
      </c>
      <c r="T109" t="s">
        <v>23</v>
      </c>
      <c r="U109" t="s">
        <v>23</v>
      </c>
    </row>
    <row r="110" spans="1:21" x14ac:dyDescent="0.25">
      <c r="A110" t="s">
        <v>266</v>
      </c>
      <c r="B110" t="s">
        <v>21</v>
      </c>
      <c r="C110" t="s">
        <v>22</v>
      </c>
      <c r="D110" s="1" t="s">
        <v>22</v>
      </c>
      <c r="E110" t="s">
        <v>23</v>
      </c>
      <c r="F110" t="s">
        <v>24</v>
      </c>
      <c r="G110" t="s">
        <v>25</v>
      </c>
      <c r="H110" t="s">
        <v>23</v>
      </c>
      <c r="I110" t="s">
        <v>26</v>
      </c>
      <c r="J110" t="s">
        <v>267</v>
      </c>
      <c r="K110">
        <v>-12.31804</v>
      </c>
      <c r="L110">
        <v>-76.824259999999995</v>
      </c>
      <c r="M110" t="str">
        <f>HYPERLINK("https://www.google.com/maps/search/?api=1&amp;query=-12.31804,-76.82426","Punta Hermosa, Lima")</f>
        <v>Punta Hermosa, Lima</v>
      </c>
      <c r="N110">
        <v>0</v>
      </c>
      <c r="O110">
        <v>100</v>
      </c>
      <c r="P110">
        <v>2755.6</v>
      </c>
      <c r="Q110" t="s">
        <v>268</v>
      </c>
      <c r="R110" t="s">
        <v>23</v>
      </c>
      <c r="S110" t="s">
        <v>23</v>
      </c>
      <c r="T110" t="s">
        <v>23</v>
      </c>
      <c r="U110" t="s">
        <v>23</v>
      </c>
    </row>
    <row r="111" spans="1:21" x14ac:dyDescent="0.25">
      <c r="A111" t="s">
        <v>269</v>
      </c>
      <c r="B111" t="s">
        <v>21</v>
      </c>
      <c r="C111" t="s">
        <v>22</v>
      </c>
      <c r="D111" s="1" t="s">
        <v>22</v>
      </c>
      <c r="E111" t="s">
        <v>23</v>
      </c>
      <c r="F111" t="s">
        <v>24</v>
      </c>
      <c r="G111" t="s">
        <v>25</v>
      </c>
      <c r="H111" t="s">
        <v>23</v>
      </c>
      <c r="I111" t="s">
        <v>26</v>
      </c>
      <c r="J111" t="s">
        <v>270</v>
      </c>
      <c r="K111">
        <v>-12.31804</v>
      </c>
      <c r="L111">
        <v>-76.824259999999995</v>
      </c>
      <c r="M111" t="str">
        <f>HYPERLINK("https://www.google.com/maps/search/?api=1&amp;query=-12.31804,-76.82426","Punta Hermosa, Lima")</f>
        <v>Punta Hermosa, Lima</v>
      </c>
      <c r="N111">
        <v>0</v>
      </c>
      <c r="O111">
        <v>100</v>
      </c>
      <c r="P111">
        <v>2755.6</v>
      </c>
      <c r="Q111" t="s">
        <v>268</v>
      </c>
      <c r="R111" t="s">
        <v>23</v>
      </c>
      <c r="S111" t="s">
        <v>23</v>
      </c>
      <c r="T111" t="s">
        <v>23</v>
      </c>
      <c r="U111" t="s">
        <v>23</v>
      </c>
    </row>
    <row r="112" spans="1:21" x14ac:dyDescent="0.25">
      <c r="A112" t="s">
        <v>271</v>
      </c>
      <c r="B112" t="s">
        <v>21</v>
      </c>
      <c r="C112" t="s">
        <v>22</v>
      </c>
      <c r="D112" s="1" t="s">
        <v>22</v>
      </c>
      <c r="E112" t="s">
        <v>23</v>
      </c>
      <c r="F112" t="s">
        <v>24</v>
      </c>
      <c r="G112" t="s">
        <v>25</v>
      </c>
      <c r="H112" t="s">
        <v>23</v>
      </c>
      <c r="I112" t="s">
        <v>26</v>
      </c>
      <c r="J112" t="s">
        <v>272</v>
      </c>
      <c r="K112">
        <v>-12.31804</v>
      </c>
      <c r="L112">
        <v>-76.824259999999995</v>
      </c>
      <c r="M112" t="str">
        <f>HYPERLINK("https://www.google.com/maps/search/?api=1&amp;query=-12.31804,-76.82426","Punta Hermosa, Lima")</f>
        <v>Punta Hermosa, Lima</v>
      </c>
      <c r="N112">
        <v>0</v>
      </c>
      <c r="O112">
        <v>100</v>
      </c>
      <c r="P112">
        <v>2755.6</v>
      </c>
      <c r="Q112" t="s">
        <v>273</v>
      </c>
      <c r="R112" t="s">
        <v>23</v>
      </c>
      <c r="S112" t="s">
        <v>23</v>
      </c>
      <c r="T112" t="s">
        <v>23</v>
      </c>
      <c r="U112" t="s">
        <v>23</v>
      </c>
    </row>
    <row r="113" spans="1:21" x14ac:dyDescent="0.25">
      <c r="A113" t="s">
        <v>274</v>
      </c>
      <c r="B113" t="s">
        <v>21</v>
      </c>
      <c r="C113" t="s">
        <v>22</v>
      </c>
      <c r="D113" s="1" t="s">
        <v>22</v>
      </c>
      <c r="E113" t="s">
        <v>23</v>
      </c>
      <c r="F113" t="s">
        <v>24</v>
      </c>
      <c r="G113" t="s">
        <v>25</v>
      </c>
      <c r="H113" t="s">
        <v>23</v>
      </c>
      <c r="I113" t="s">
        <v>26</v>
      </c>
      <c r="J113" t="s">
        <v>275</v>
      </c>
      <c r="K113">
        <v>-12.318536</v>
      </c>
      <c r="L113">
        <v>-76.823790000000002</v>
      </c>
      <c r="M113" t="str">
        <f>HYPERLINK("https://www.google.com/maps/search/?api=1&amp;query=-12.318536,-76.82379","Punta Hermosa, Lima")</f>
        <v>Punta Hermosa, Lima</v>
      </c>
      <c r="N113">
        <v>15</v>
      </c>
      <c r="O113">
        <v>100</v>
      </c>
      <c r="P113">
        <v>2755.6</v>
      </c>
      <c r="Q113" t="s">
        <v>273</v>
      </c>
      <c r="R113" t="s">
        <v>23</v>
      </c>
      <c r="S113" t="s">
        <v>23</v>
      </c>
      <c r="T113" t="s">
        <v>23</v>
      </c>
      <c r="U113" t="s">
        <v>23</v>
      </c>
    </row>
    <row r="114" spans="1:21" x14ac:dyDescent="0.25">
      <c r="A114" t="s">
        <v>276</v>
      </c>
      <c r="B114" t="s">
        <v>21</v>
      </c>
      <c r="C114" t="s">
        <v>22</v>
      </c>
      <c r="D114" s="1" t="s">
        <v>22</v>
      </c>
      <c r="E114" t="s">
        <v>23</v>
      </c>
      <c r="F114" t="s">
        <v>24</v>
      </c>
      <c r="G114" t="s">
        <v>25</v>
      </c>
      <c r="H114" t="s">
        <v>23</v>
      </c>
      <c r="I114" t="s">
        <v>26</v>
      </c>
      <c r="J114" t="s">
        <v>277</v>
      </c>
      <c r="K114">
        <v>-12.318065000000001</v>
      </c>
      <c r="L114">
        <v>-76.823006000000007</v>
      </c>
      <c r="M114" t="str">
        <f>HYPERLINK("https://www.google.com/maps/search/?api=1&amp;query=-12.318065,-76.823006","Punta Hermosa, Lima")</f>
        <v>Punta Hermosa, Lima</v>
      </c>
      <c r="N114">
        <v>11.7</v>
      </c>
      <c r="O114">
        <v>100</v>
      </c>
      <c r="P114">
        <v>2755.6</v>
      </c>
      <c r="Q114" t="s">
        <v>273</v>
      </c>
      <c r="R114" t="s">
        <v>23</v>
      </c>
      <c r="S114" t="s">
        <v>23</v>
      </c>
      <c r="T114" t="s">
        <v>23</v>
      </c>
      <c r="U114" t="s">
        <v>23</v>
      </c>
    </row>
    <row r="115" spans="1:21" x14ac:dyDescent="0.25">
      <c r="A115" t="s">
        <v>278</v>
      </c>
      <c r="B115" t="s">
        <v>21</v>
      </c>
      <c r="C115" t="s">
        <v>22</v>
      </c>
      <c r="D115" s="1" t="s">
        <v>22</v>
      </c>
      <c r="E115" t="s">
        <v>23</v>
      </c>
      <c r="F115" t="s">
        <v>24</v>
      </c>
      <c r="G115" t="s">
        <v>25</v>
      </c>
      <c r="H115" t="s">
        <v>23</v>
      </c>
      <c r="I115" t="s">
        <v>26</v>
      </c>
      <c r="J115" t="s">
        <v>279</v>
      </c>
      <c r="K115">
        <v>-12.317913000000001</v>
      </c>
      <c r="L115">
        <v>-76.822929999999999</v>
      </c>
      <c r="M115" t="str">
        <f>HYPERLINK("https://www.google.com/maps/search/?api=1&amp;query=-12.317913,-76.82293","Punta Hermosa, Lima")</f>
        <v>Punta Hermosa, Lima</v>
      </c>
      <c r="N115">
        <v>11.5</v>
      </c>
      <c r="O115">
        <v>100</v>
      </c>
      <c r="P115">
        <v>2755.6</v>
      </c>
      <c r="Q115" t="s">
        <v>273</v>
      </c>
      <c r="R115" t="s">
        <v>23</v>
      </c>
      <c r="S115" t="s">
        <v>23</v>
      </c>
      <c r="T115" t="s">
        <v>23</v>
      </c>
      <c r="U115" t="s">
        <v>23</v>
      </c>
    </row>
    <row r="116" spans="1:21" x14ac:dyDescent="0.25">
      <c r="A116" t="s">
        <v>280</v>
      </c>
      <c r="B116" t="s">
        <v>21</v>
      </c>
      <c r="C116" t="s">
        <v>22</v>
      </c>
      <c r="D116" s="1" t="s">
        <v>22</v>
      </c>
      <c r="E116" t="s">
        <v>23</v>
      </c>
      <c r="F116" t="s">
        <v>24</v>
      </c>
      <c r="G116" t="s">
        <v>25</v>
      </c>
      <c r="H116" t="s">
        <v>23</v>
      </c>
      <c r="I116" t="s">
        <v>26</v>
      </c>
      <c r="J116" t="s">
        <v>281</v>
      </c>
      <c r="K116">
        <v>-12.317748</v>
      </c>
      <c r="L116">
        <v>-76.822879999999998</v>
      </c>
      <c r="M116" t="str">
        <f>HYPERLINK("https://www.google.com/maps/search/?api=1&amp;query=-12.317748,-76.82288","Punta Hermosa, Lima")</f>
        <v>Punta Hermosa, Lima</v>
      </c>
      <c r="N116">
        <v>11.1</v>
      </c>
      <c r="O116">
        <v>100</v>
      </c>
      <c r="P116">
        <v>2755.8</v>
      </c>
      <c r="Q116" t="s">
        <v>273</v>
      </c>
      <c r="R116" t="s">
        <v>23</v>
      </c>
      <c r="S116" t="s">
        <v>23</v>
      </c>
      <c r="T116" t="s">
        <v>23</v>
      </c>
      <c r="U116" t="s">
        <v>23</v>
      </c>
    </row>
    <row r="117" spans="1:21" x14ac:dyDescent="0.25">
      <c r="A117" t="s">
        <v>282</v>
      </c>
      <c r="B117" t="s">
        <v>21</v>
      </c>
      <c r="C117" t="s">
        <v>22</v>
      </c>
      <c r="D117" s="1" t="s">
        <v>22</v>
      </c>
      <c r="E117" t="s">
        <v>23</v>
      </c>
      <c r="F117" t="s">
        <v>24</v>
      </c>
      <c r="G117" t="s">
        <v>25</v>
      </c>
      <c r="H117" t="s">
        <v>23</v>
      </c>
      <c r="I117" t="s">
        <v>26</v>
      </c>
      <c r="J117" t="s">
        <v>283</v>
      </c>
      <c r="K117">
        <v>-12.317291000000001</v>
      </c>
      <c r="L117">
        <v>-76.822890000000001</v>
      </c>
      <c r="M117" t="str">
        <f>HYPERLINK("https://www.google.com/maps/search/?api=1&amp;query=-12.317291,-76.82289","Punta Hermosa, Lima")</f>
        <v>Punta Hermosa, Lima</v>
      </c>
      <c r="N117">
        <v>6.9</v>
      </c>
      <c r="O117">
        <v>100</v>
      </c>
      <c r="P117">
        <v>2755.8</v>
      </c>
      <c r="Q117" t="s">
        <v>284</v>
      </c>
      <c r="R117" t="s">
        <v>23</v>
      </c>
      <c r="S117" t="s">
        <v>23</v>
      </c>
      <c r="T117" t="s">
        <v>23</v>
      </c>
      <c r="U117" t="s">
        <v>23</v>
      </c>
    </row>
    <row r="118" spans="1:21" x14ac:dyDescent="0.25">
      <c r="A118" t="s">
        <v>285</v>
      </c>
      <c r="B118" t="s">
        <v>21</v>
      </c>
      <c r="C118" t="s">
        <v>22</v>
      </c>
      <c r="D118" s="1" t="s">
        <v>22</v>
      </c>
      <c r="E118" t="s">
        <v>23</v>
      </c>
      <c r="F118" t="s">
        <v>24</v>
      </c>
      <c r="G118" t="s">
        <v>25</v>
      </c>
      <c r="H118" t="s">
        <v>23</v>
      </c>
      <c r="I118" t="s">
        <v>26</v>
      </c>
      <c r="J118" t="s">
        <v>286</v>
      </c>
      <c r="K118">
        <v>-12.317302</v>
      </c>
      <c r="L118">
        <v>-76.822869999999995</v>
      </c>
      <c r="M118" t="str">
        <f>HYPERLINK("https://www.google.com/maps/search/?api=1&amp;query=-12.317302,-76.82287","Punta Hermosa, Lima")</f>
        <v>Punta Hermosa, Lima</v>
      </c>
      <c r="N118">
        <v>0</v>
      </c>
      <c r="O118">
        <v>100</v>
      </c>
      <c r="P118">
        <v>2755.8</v>
      </c>
      <c r="Q118" t="s">
        <v>284</v>
      </c>
      <c r="R118" t="s">
        <v>23</v>
      </c>
      <c r="S118" t="s">
        <v>23</v>
      </c>
      <c r="T118" t="s">
        <v>23</v>
      </c>
      <c r="U118" t="s">
        <v>23</v>
      </c>
    </row>
    <row r="119" spans="1:21" x14ac:dyDescent="0.25">
      <c r="A119" t="s">
        <v>287</v>
      </c>
      <c r="B119" t="s">
        <v>21</v>
      </c>
      <c r="C119" t="s">
        <v>22</v>
      </c>
      <c r="D119" s="1" t="s">
        <v>22</v>
      </c>
      <c r="E119" t="s">
        <v>23</v>
      </c>
      <c r="F119" t="s">
        <v>24</v>
      </c>
      <c r="G119" t="s">
        <v>25</v>
      </c>
      <c r="H119" t="s">
        <v>23</v>
      </c>
      <c r="I119" t="s">
        <v>26</v>
      </c>
      <c r="J119" t="s">
        <v>288</v>
      </c>
      <c r="K119">
        <v>-12.317302</v>
      </c>
      <c r="L119">
        <v>-76.822869999999995</v>
      </c>
      <c r="M119" t="str">
        <f>HYPERLINK("https://www.google.com/maps/search/?api=1&amp;query=-12.317302,-76.82287","Punta Hermosa, Lima")</f>
        <v>Punta Hermosa, Lima</v>
      </c>
      <c r="N119">
        <v>0</v>
      </c>
      <c r="O119">
        <v>100</v>
      </c>
      <c r="P119">
        <v>2755.8</v>
      </c>
      <c r="Q119" t="s">
        <v>284</v>
      </c>
      <c r="R119" t="s">
        <v>289</v>
      </c>
      <c r="S119" t="s">
        <v>23</v>
      </c>
      <c r="T119" t="s">
        <v>23</v>
      </c>
      <c r="U119" t="s">
        <v>23</v>
      </c>
    </row>
    <row r="120" spans="1:21" x14ac:dyDescent="0.25">
      <c r="A120" t="s">
        <v>290</v>
      </c>
      <c r="B120" t="s">
        <v>21</v>
      </c>
      <c r="C120" t="s">
        <v>22</v>
      </c>
      <c r="D120" s="1" t="s">
        <v>22</v>
      </c>
      <c r="E120" t="s">
        <v>23</v>
      </c>
      <c r="F120" t="s">
        <v>24</v>
      </c>
      <c r="G120" t="s">
        <v>25</v>
      </c>
      <c r="H120" t="s">
        <v>23</v>
      </c>
      <c r="I120" t="s">
        <v>26</v>
      </c>
      <c r="J120" t="s">
        <v>291</v>
      </c>
      <c r="K120">
        <v>-12.317302</v>
      </c>
      <c r="L120">
        <v>-76.822869999999995</v>
      </c>
      <c r="M120" t="str">
        <f>HYPERLINK("https://www.google.com/maps/search/?api=1&amp;query=-12.317302,-76.82287","Punta Hermosa, Lima")</f>
        <v>Punta Hermosa, Lima</v>
      </c>
      <c r="N120">
        <v>0</v>
      </c>
      <c r="O120">
        <v>100</v>
      </c>
      <c r="P120">
        <v>2755.9</v>
      </c>
      <c r="Q120" t="s">
        <v>284</v>
      </c>
      <c r="R120" t="s">
        <v>23</v>
      </c>
      <c r="S120" t="s">
        <v>23</v>
      </c>
      <c r="T120" t="s">
        <v>23</v>
      </c>
      <c r="U120" t="s">
        <v>23</v>
      </c>
    </row>
    <row r="121" spans="1:21" x14ac:dyDescent="0.25">
      <c r="A121" t="s">
        <v>292</v>
      </c>
      <c r="B121" t="s">
        <v>21</v>
      </c>
      <c r="C121" t="s">
        <v>22</v>
      </c>
      <c r="D121" s="1" t="s">
        <v>22</v>
      </c>
      <c r="E121" t="s">
        <v>23</v>
      </c>
      <c r="F121" t="s">
        <v>24</v>
      </c>
      <c r="G121" t="s">
        <v>25</v>
      </c>
      <c r="H121" t="s">
        <v>23</v>
      </c>
      <c r="I121" t="s">
        <v>26</v>
      </c>
      <c r="J121" t="s">
        <v>293</v>
      </c>
      <c r="K121">
        <v>-12.317302</v>
      </c>
      <c r="L121">
        <v>-76.822869999999995</v>
      </c>
      <c r="M121" t="str">
        <f>HYPERLINK("https://www.google.com/maps/search/?api=1&amp;query=-12.317302,-76.82287","Punta Hermosa, Lima")</f>
        <v>Punta Hermosa, Lima</v>
      </c>
      <c r="N121">
        <v>0</v>
      </c>
      <c r="O121">
        <v>100</v>
      </c>
      <c r="P121">
        <v>2755.9</v>
      </c>
      <c r="Q121" t="s">
        <v>284</v>
      </c>
      <c r="R121" t="s">
        <v>87</v>
      </c>
      <c r="S121" t="s">
        <v>23</v>
      </c>
      <c r="T121" t="s">
        <v>23</v>
      </c>
      <c r="U121" t="s">
        <v>23</v>
      </c>
    </row>
    <row r="122" spans="1:21" x14ac:dyDescent="0.25">
      <c r="A122" t="s">
        <v>294</v>
      </c>
      <c r="B122" t="s">
        <v>21</v>
      </c>
      <c r="C122" t="s">
        <v>22</v>
      </c>
      <c r="D122" s="1" t="s">
        <v>22</v>
      </c>
      <c r="E122" t="s">
        <v>23</v>
      </c>
      <c r="F122" t="s">
        <v>24</v>
      </c>
      <c r="G122" t="s">
        <v>25</v>
      </c>
      <c r="H122" t="s">
        <v>23</v>
      </c>
      <c r="I122" t="s">
        <v>26</v>
      </c>
      <c r="J122" t="s">
        <v>295</v>
      </c>
      <c r="K122">
        <v>-12.317373</v>
      </c>
      <c r="L122">
        <v>-76.822980000000001</v>
      </c>
      <c r="M122" t="str">
        <f>HYPERLINK("https://www.google.com/maps/search/?api=1&amp;query=-12.317373,-76.82298","Punta Hermosa, Lima")</f>
        <v>Punta Hermosa, Lima</v>
      </c>
      <c r="N122">
        <v>0</v>
      </c>
      <c r="O122">
        <v>100</v>
      </c>
      <c r="P122">
        <v>2755.9</v>
      </c>
      <c r="Q122" t="s">
        <v>284</v>
      </c>
      <c r="R122" t="s">
        <v>23</v>
      </c>
      <c r="S122" t="s">
        <v>23</v>
      </c>
      <c r="T122" t="s">
        <v>23</v>
      </c>
      <c r="U122" t="s">
        <v>23</v>
      </c>
    </row>
    <row r="123" spans="1:21" x14ac:dyDescent="0.25">
      <c r="A123" t="s">
        <v>296</v>
      </c>
      <c r="B123" t="s">
        <v>21</v>
      </c>
      <c r="C123" t="s">
        <v>22</v>
      </c>
      <c r="D123" s="1" t="s">
        <v>22</v>
      </c>
      <c r="E123" t="s">
        <v>23</v>
      </c>
      <c r="F123" t="s">
        <v>24</v>
      </c>
      <c r="G123" t="s">
        <v>25</v>
      </c>
      <c r="H123" t="s">
        <v>23</v>
      </c>
      <c r="I123" t="s">
        <v>26</v>
      </c>
      <c r="J123" t="s">
        <v>297</v>
      </c>
      <c r="K123">
        <v>-12.317501</v>
      </c>
      <c r="L123">
        <v>-76.822845000000001</v>
      </c>
      <c r="M123" t="str">
        <f>HYPERLINK("https://www.google.com/maps/search/?api=1&amp;query=-12.317501,-76.822845","Punta Hermosa, Lima")</f>
        <v>Punta Hermosa, Lima</v>
      </c>
      <c r="N123">
        <v>11.1</v>
      </c>
      <c r="O123">
        <v>100</v>
      </c>
      <c r="P123">
        <v>2755.9</v>
      </c>
      <c r="Q123" t="s">
        <v>284</v>
      </c>
      <c r="R123" t="s">
        <v>23</v>
      </c>
      <c r="S123" t="s">
        <v>23</v>
      </c>
      <c r="T123" t="s">
        <v>23</v>
      </c>
      <c r="U123" t="s">
        <v>23</v>
      </c>
    </row>
    <row r="124" spans="1:21" x14ac:dyDescent="0.25">
      <c r="A124" t="s">
        <v>298</v>
      </c>
      <c r="B124" t="s">
        <v>21</v>
      </c>
      <c r="C124" t="s">
        <v>22</v>
      </c>
      <c r="D124" s="1" t="s">
        <v>22</v>
      </c>
      <c r="E124" t="s">
        <v>23</v>
      </c>
      <c r="F124" t="s">
        <v>24</v>
      </c>
      <c r="G124" t="s">
        <v>25</v>
      </c>
      <c r="H124" t="s">
        <v>23</v>
      </c>
      <c r="I124" t="s">
        <v>26</v>
      </c>
      <c r="J124" t="s">
        <v>299</v>
      </c>
      <c r="K124">
        <v>-12.317973</v>
      </c>
      <c r="L124">
        <v>-76.822950000000006</v>
      </c>
      <c r="M124" t="str">
        <f>HYPERLINK("https://www.google.com/maps/search/?api=1&amp;query=-12.317973,-76.82295","Punta Hermosa, Lima")</f>
        <v>Punta Hermosa, Lima</v>
      </c>
      <c r="N124">
        <v>8.1</v>
      </c>
      <c r="O124">
        <v>100</v>
      </c>
      <c r="P124">
        <v>2755.9</v>
      </c>
      <c r="Q124" t="s">
        <v>284</v>
      </c>
      <c r="R124" t="s">
        <v>23</v>
      </c>
      <c r="S124" t="s">
        <v>23</v>
      </c>
      <c r="T124" t="s">
        <v>23</v>
      </c>
      <c r="U124" t="s">
        <v>23</v>
      </c>
    </row>
    <row r="125" spans="1:21" x14ac:dyDescent="0.25">
      <c r="A125" t="s">
        <v>300</v>
      </c>
      <c r="B125" t="s">
        <v>21</v>
      </c>
      <c r="C125" t="s">
        <v>22</v>
      </c>
      <c r="D125" s="1" t="s">
        <v>22</v>
      </c>
      <c r="E125" t="s">
        <v>23</v>
      </c>
      <c r="F125" t="s">
        <v>24</v>
      </c>
      <c r="G125" t="s">
        <v>25</v>
      </c>
      <c r="H125" t="s">
        <v>23</v>
      </c>
      <c r="I125" t="s">
        <v>26</v>
      </c>
      <c r="J125" t="s">
        <v>299</v>
      </c>
      <c r="K125">
        <v>-12.318031</v>
      </c>
      <c r="L125">
        <v>-76.822990000000004</v>
      </c>
      <c r="M125" t="str">
        <f>HYPERLINK("https://www.google.com/maps/search/?api=1&amp;query=-12.318031,-76.82299","Punta Hermosa, Lima")</f>
        <v>Punta Hermosa, Lima</v>
      </c>
      <c r="N125">
        <v>9.1</v>
      </c>
      <c r="O125">
        <v>100</v>
      </c>
      <c r="P125">
        <v>2755.9</v>
      </c>
      <c r="Q125" t="s">
        <v>284</v>
      </c>
      <c r="R125" t="s">
        <v>23</v>
      </c>
      <c r="S125" t="s">
        <v>23</v>
      </c>
      <c r="T125" t="s">
        <v>23</v>
      </c>
      <c r="U125" t="s">
        <v>23</v>
      </c>
    </row>
    <row r="126" spans="1:21" x14ac:dyDescent="0.25">
      <c r="A126" t="s">
        <v>301</v>
      </c>
      <c r="B126" t="s">
        <v>21</v>
      </c>
      <c r="C126" t="s">
        <v>22</v>
      </c>
      <c r="D126" s="1" t="s">
        <v>22</v>
      </c>
      <c r="E126" t="s">
        <v>23</v>
      </c>
      <c r="F126" t="s">
        <v>24</v>
      </c>
      <c r="G126" t="s">
        <v>25</v>
      </c>
      <c r="H126" t="s">
        <v>23</v>
      </c>
      <c r="I126" t="s">
        <v>26</v>
      </c>
      <c r="J126" t="s">
        <v>302</v>
      </c>
      <c r="K126">
        <v>-12.318447000000001</v>
      </c>
      <c r="L126">
        <v>-76.823750000000004</v>
      </c>
      <c r="M126" t="str">
        <f>HYPERLINK("https://www.google.com/maps/search/?api=1&amp;query=-12.318447,-76.82375","Punta Hermosa, Lima")</f>
        <v>Punta Hermosa, Lima</v>
      </c>
      <c r="N126">
        <v>11</v>
      </c>
      <c r="O126">
        <v>100</v>
      </c>
      <c r="P126">
        <v>2756</v>
      </c>
      <c r="Q126" t="s">
        <v>284</v>
      </c>
      <c r="R126" t="s">
        <v>23</v>
      </c>
      <c r="S126" t="s">
        <v>23</v>
      </c>
      <c r="T126" t="s">
        <v>23</v>
      </c>
      <c r="U126" t="s">
        <v>23</v>
      </c>
    </row>
    <row r="127" spans="1:21" x14ac:dyDescent="0.25">
      <c r="A127" t="s">
        <v>303</v>
      </c>
      <c r="B127" t="s">
        <v>21</v>
      </c>
      <c r="C127" t="s">
        <v>22</v>
      </c>
      <c r="D127" s="1" t="s">
        <v>22</v>
      </c>
      <c r="E127" t="s">
        <v>23</v>
      </c>
      <c r="F127" t="s">
        <v>24</v>
      </c>
      <c r="G127" t="s">
        <v>25</v>
      </c>
      <c r="H127" t="s">
        <v>23</v>
      </c>
      <c r="I127" t="s">
        <v>26</v>
      </c>
      <c r="J127" t="s">
        <v>304</v>
      </c>
      <c r="K127">
        <v>-12.318346</v>
      </c>
      <c r="L127">
        <v>-76.823970000000003</v>
      </c>
      <c r="M127" t="str">
        <f>HYPERLINK("https://www.google.com/maps/search/?api=1&amp;query=-12.318346,-76.82397","Punta Hermosa, Lima")</f>
        <v>Punta Hermosa, Lima</v>
      </c>
      <c r="N127">
        <v>10.9</v>
      </c>
      <c r="O127">
        <v>100</v>
      </c>
      <c r="P127">
        <v>2756</v>
      </c>
      <c r="Q127" t="s">
        <v>284</v>
      </c>
      <c r="R127" t="s">
        <v>23</v>
      </c>
      <c r="S127" t="s">
        <v>23</v>
      </c>
      <c r="T127" t="s">
        <v>23</v>
      </c>
      <c r="U127" t="s">
        <v>23</v>
      </c>
    </row>
    <row r="128" spans="1:21" x14ac:dyDescent="0.25">
      <c r="A128" t="s">
        <v>305</v>
      </c>
      <c r="B128" t="s">
        <v>21</v>
      </c>
      <c r="C128" t="s">
        <v>22</v>
      </c>
      <c r="D128" s="1" t="s">
        <v>22</v>
      </c>
      <c r="E128" t="s">
        <v>23</v>
      </c>
      <c r="F128" t="s">
        <v>24</v>
      </c>
      <c r="G128" t="s">
        <v>25</v>
      </c>
      <c r="H128" t="s">
        <v>23</v>
      </c>
      <c r="I128" t="s">
        <v>26</v>
      </c>
      <c r="J128" t="s">
        <v>306</v>
      </c>
      <c r="K128">
        <v>-12.318159</v>
      </c>
      <c r="L128">
        <v>-76.824110000000005</v>
      </c>
      <c r="M128" t="str">
        <f>HYPERLINK("https://www.google.com/maps/search/?api=1&amp;query=-12.318159,-76.82411","Punta Hermosa, Lima")</f>
        <v>Punta Hermosa, Lima</v>
      </c>
      <c r="N128">
        <v>10.3</v>
      </c>
      <c r="O128">
        <v>100</v>
      </c>
      <c r="P128">
        <v>2756.1</v>
      </c>
      <c r="Q128" t="s">
        <v>307</v>
      </c>
      <c r="R128" t="s">
        <v>23</v>
      </c>
      <c r="S128" t="s">
        <v>23</v>
      </c>
      <c r="T128" t="s">
        <v>23</v>
      </c>
      <c r="U128" t="s">
        <v>23</v>
      </c>
    </row>
    <row r="129" spans="1:21" x14ac:dyDescent="0.25">
      <c r="A129" t="s">
        <v>308</v>
      </c>
      <c r="B129" t="s">
        <v>21</v>
      </c>
      <c r="C129" t="s">
        <v>22</v>
      </c>
      <c r="D129" s="1" t="s">
        <v>22</v>
      </c>
      <c r="E129" t="s">
        <v>23</v>
      </c>
      <c r="F129" t="s">
        <v>24</v>
      </c>
      <c r="G129" t="s">
        <v>25</v>
      </c>
      <c r="H129" t="s">
        <v>23</v>
      </c>
      <c r="I129" t="s">
        <v>26</v>
      </c>
      <c r="J129" t="s">
        <v>309</v>
      </c>
      <c r="K129">
        <v>-12.318159</v>
      </c>
      <c r="L129">
        <v>-76.824110000000005</v>
      </c>
      <c r="M129" t="str">
        <f>HYPERLINK("https://www.google.com/maps/search/?api=1&amp;query=-12.318159,-76.82411","Punta Hermosa, Lima")</f>
        <v>Punta Hermosa, Lima</v>
      </c>
      <c r="N129">
        <v>10.3</v>
      </c>
      <c r="O129">
        <v>100</v>
      </c>
      <c r="P129">
        <v>2756.1</v>
      </c>
      <c r="Q129" t="s">
        <v>307</v>
      </c>
      <c r="R129" t="s">
        <v>289</v>
      </c>
      <c r="S129" t="s">
        <v>23</v>
      </c>
      <c r="T129" t="s">
        <v>23</v>
      </c>
      <c r="U129" t="s">
        <v>23</v>
      </c>
    </row>
    <row r="130" spans="1:21" x14ac:dyDescent="0.25">
      <c r="A130" t="s">
        <v>310</v>
      </c>
      <c r="B130" t="s">
        <v>21</v>
      </c>
      <c r="C130" t="s">
        <v>22</v>
      </c>
      <c r="D130" s="1" t="s">
        <v>22</v>
      </c>
      <c r="E130" t="s">
        <v>23</v>
      </c>
      <c r="F130" t="s">
        <v>24</v>
      </c>
      <c r="G130" t="s">
        <v>25</v>
      </c>
      <c r="H130" t="s">
        <v>23</v>
      </c>
      <c r="I130" t="s">
        <v>26</v>
      </c>
      <c r="J130" t="s">
        <v>311</v>
      </c>
      <c r="K130">
        <v>-12.317878</v>
      </c>
      <c r="L130">
        <v>-76.82441</v>
      </c>
      <c r="M130" t="str">
        <f>HYPERLINK("https://www.google.com/maps/search/?api=1&amp;query=-12.317878,-76.82441","Punta Hermosa, Lima")</f>
        <v>Punta Hermosa, Lima</v>
      </c>
      <c r="N130">
        <v>0</v>
      </c>
      <c r="O130">
        <v>100</v>
      </c>
      <c r="P130">
        <v>2756.1</v>
      </c>
      <c r="Q130" t="s">
        <v>307</v>
      </c>
      <c r="R130" t="s">
        <v>23</v>
      </c>
      <c r="S130" t="s">
        <v>23</v>
      </c>
      <c r="T130" t="s">
        <v>23</v>
      </c>
      <c r="U130" t="s">
        <v>23</v>
      </c>
    </row>
    <row r="131" spans="1:21" x14ac:dyDescent="0.25">
      <c r="A131" t="s">
        <v>312</v>
      </c>
      <c r="B131" t="s">
        <v>21</v>
      </c>
      <c r="C131" t="s">
        <v>22</v>
      </c>
      <c r="D131" s="1" t="s">
        <v>22</v>
      </c>
      <c r="E131" t="s">
        <v>23</v>
      </c>
      <c r="F131" t="s">
        <v>24</v>
      </c>
      <c r="G131" t="s">
        <v>25</v>
      </c>
      <c r="H131" t="s">
        <v>23</v>
      </c>
      <c r="I131" t="s">
        <v>26</v>
      </c>
      <c r="J131" t="s">
        <v>313</v>
      </c>
      <c r="K131">
        <v>-12.317878</v>
      </c>
      <c r="L131">
        <v>-76.82441</v>
      </c>
      <c r="M131" t="str">
        <f>HYPERLINK("https://www.google.com/maps/search/?api=1&amp;query=-12.317878,-76.82441","Punta Hermosa, Lima")</f>
        <v>Punta Hermosa, Lima</v>
      </c>
      <c r="N131">
        <v>0</v>
      </c>
      <c r="O131">
        <v>100</v>
      </c>
      <c r="P131">
        <v>2756.1</v>
      </c>
      <c r="Q131" t="s">
        <v>307</v>
      </c>
      <c r="R131" t="s">
        <v>87</v>
      </c>
      <c r="S131" t="s">
        <v>23</v>
      </c>
      <c r="T131" t="s">
        <v>23</v>
      </c>
      <c r="U131" t="s">
        <v>23</v>
      </c>
    </row>
    <row r="132" spans="1:21" x14ac:dyDescent="0.25">
      <c r="A132" t="s">
        <v>314</v>
      </c>
      <c r="B132" t="s">
        <v>21</v>
      </c>
      <c r="C132" t="s">
        <v>22</v>
      </c>
      <c r="D132" s="1" t="s">
        <v>22</v>
      </c>
      <c r="E132" t="s">
        <v>23</v>
      </c>
      <c r="F132" t="s">
        <v>24</v>
      </c>
      <c r="G132" t="s">
        <v>25</v>
      </c>
      <c r="H132" t="s">
        <v>23</v>
      </c>
      <c r="I132" t="s">
        <v>26</v>
      </c>
      <c r="J132" t="s">
        <v>315</v>
      </c>
      <c r="K132">
        <v>-12.317648</v>
      </c>
      <c r="L132">
        <v>-76.824179999999998</v>
      </c>
      <c r="M132" t="str">
        <f>HYPERLINK("https://www.google.com/maps/search/?api=1&amp;query=-12.317648,-76.82418","Punta Hermosa, Lima")</f>
        <v>Punta Hermosa, Lima</v>
      </c>
      <c r="N132">
        <v>0</v>
      </c>
      <c r="O132">
        <v>100</v>
      </c>
      <c r="P132">
        <v>2756.1</v>
      </c>
      <c r="Q132" t="s">
        <v>307</v>
      </c>
      <c r="R132" t="s">
        <v>23</v>
      </c>
      <c r="S132" t="s">
        <v>23</v>
      </c>
      <c r="T132" t="s">
        <v>23</v>
      </c>
      <c r="U132" t="s">
        <v>23</v>
      </c>
    </row>
    <row r="133" spans="1:21" x14ac:dyDescent="0.25">
      <c r="A133" t="s">
        <v>316</v>
      </c>
      <c r="B133" t="s">
        <v>21</v>
      </c>
      <c r="C133" t="s">
        <v>22</v>
      </c>
      <c r="D133" s="1" t="s">
        <v>22</v>
      </c>
      <c r="E133" t="s">
        <v>23</v>
      </c>
      <c r="F133" t="s">
        <v>24</v>
      </c>
      <c r="G133" t="s">
        <v>25</v>
      </c>
      <c r="H133" t="s">
        <v>23</v>
      </c>
      <c r="I133" t="s">
        <v>26</v>
      </c>
      <c r="J133" t="s">
        <v>317</v>
      </c>
      <c r="K133">
        <v>-12.317602000000001</v>
      </c>
      <c r="L133">
        <v>-76.824250000000006</v>
      </c>
      <c r="M133" t="str">
        <f>HYPERLINK("https://www.google.com/maps/search/?api=1&amp;query=-12.317602,-76.82425","Punta Hermosa, Lima")</f>
        <v>Punta Hermosa, Lima</v>
      </c>
      <c r="N133">
        <v>11.4</v>
      </c>
      <c r="O133">
        <v>100</v>
      </c>
      <c r="P133">
        <v>2756.1</v>
      </c>
      <c r="Q133" t="s">
        <v>307</v>
      </c>
      <c r="R133" t="s">
        <v>23</v>
      </c>
      <c r="S133" t="s">
        <v>23</v>
      </c>
      <c r="T133" t="s">
        <v>23</v>
      </c>
      <c r="U133" t="s">
        <v>23</v>
      </c>
    </row>
    <row r="134" spans="1:21" x14ac:dyDescent="0.25">
      <c r="A134" t="s">
        <v>318</v>
      </c>
      <c r="B134" t="s">
        <v>21</v>
      </c>
      <c r="C134" t="s">
        <v>22</v>
      </c>
      <c r="D134" s="1" t="s">
        <v>22</v>
      </c>
      <c r="E134" t="s">
        <v>23</v>
      </c>
      <c r="F134" t="s">
        <v>24</v>
      </c>
      <c r="G134" t="s">
        <v>25</v>
      </c>
      <c r="H134" t="s">
        <v>23</v>
      </c>
      <c r="I134" t="s">
        <v>26</v>
      </c>
      <c r="J134" t="s">
        <v>319</v>
      </c>
      <c r="K134">
        <v>-12.317624</v>
      </c>
      <c r="L134">
        <v>-76.824330000000003</v>
      </c>
      <c r="M134" t="str">
        <f>HYPERLINK("https://www.google.com/maps/search/?api=1&amp;query=-12.317624,-76.82433","Punta Hermosa, Lima")</f>
        <v>Punta Hermosa, Lima</v>
      </c>
      <c r="N134">
        <v>7.4</v>
      </c>
      <c r="O134">
        <v>100</v>
      </c>
      <c r="P134">
        <v>2756.1</v>
      </c>
      <c r="Q134" t="s">
        <v>307</v>
      </c>
      <c r="R134" t="s">
        <v>23</v>
      </c>
      <c r="S134" t="s">
        <v>23</v>
      </c>
      <c r="T134" t="s">
        <v>23</v>
      </c>
      <c r="U134" t="s">
        <v>23</v>
      </c>
    </row>
    <row r="135" spans="1:21" x14ac:dyDescent="0.25">
      <c r="A135" t="s">
        <v>320</v>
      </c>
      <c r="B135" t="s">
        <v>21</v>
      </c>
      <c r="C135" t="s">
        <v>22</v>
      </c>
      <c r="D135" s="1" t="s">
        <v>22</v>
      </c>
      <c r="E135" t="s">
        <v>23</v>
      </c>
      <c r="F135" t="s">
        <v>24</v>
      </c>
      <c r="G135" t="s">
        <v>25</v>
      </c>
      <c r="H135" t="s">
        <v>23</v>
      </c>
      <c r="I135" t="s">
        <v>26</v>
      </c>
      <c r="J135" t="s">
        <v>321</v>
      </c>
      <c r="K135">
        <v>-12.317684</v>
      </c>
      <c r="L135">
        <v>-76.824380000000005</v>
      </c>
      <c r="M135" t="str">
        <f>HYPERLINK("https://www.google.com/maps/search/?api=1&amp;query=-12.317684,-76.82438","Punta Hermosa, Lima")</f>
        <v>Punta Hermosa, Lima</v>
      </c>
      <c r="N135">
        <v>5.8</v>
      </c>
      <c r="O135">
        <v>100</v>
      </c>
      <c r="P135">
        <v>2756.1</v>
      </c>
      <c r="Q135" t="s">
        <v>307</v>
      </c>
      <c r="R135" t="s">
        <v>23</v>
      </c>
      <c r="S135" t="s">
        <v>23</v>
      </c>
      <c r="T135" t="s">
        <v>23</v>
      </c>
      <c r="U135" t="s">
        <v>23</v>
      </c>
    </row>
    <row r="136" spans="1:21" x14ac:dyDescent="0.25">
      <c r="A136" t="s">
        <v>322</v>
      </c>
      <c r="B136" t="s">
        <v>21</v>
      </c>
      <c r="C136" t="s">
        <v>22</v>
      </c>
      <c r="D136" s="1" t="s">
        <v>22</v>
      </c>
      <c r="E136" t="s">
        <v>23</v>
      </c>
      <c r="F136" t="s">
        <v>24</v>
      </c>
      <c r="G136" t="s">
        <v>25</v>
      </c>
      <c r="H136" t="s">
        <v>23</v>
      </c>
      <c r="I136" t="s">
        <v>26</v>
      </c>
      <c r="J136" t="s">
        <v>323</v>
      </c>
      <c r="K136">
        <v>-12.317707</v>
      </c>
      <c r="L136">
        <v>-76.824380000000005</v>
      </c>
      <c r="M136" t="str">
        <f>HYPERLINK("https://www.google.com/maps/search/?api=1&amp;query=-12.317707,-76.82438","Punta Hermosa, Lima")</f>
        <v>Punta Hermosa, Lima</v>
      </c>
      <c r="N136">
        <v>0</v>
      </c>
      <c r="O136">
        <v>100</v>
      </c>
      <c r="P136">
        <v>2756.1</v>
      </c>
      <c r="Q136" t="s">
        <v>307</v>
      </c>
      <c r="R136" t="s">
        <v>23</v>
      </c>
      <c r="S136" t="s">
        <v>23</v>
      </c>
      <c r="T136" t="s">
        <v>23</v>
      </c>
      <c r="U136" t="s">
        <v>23</v>
      </c>
    </row>
    <row r="137" spans="1:21" x14ac:dyDescent="0.25">
      <c r="A137" t="s">
        <v>324</v>
      </c>
      <c r="B137" t="s">
        <v>21</v>
      </c>
      <c r="C137" t="s">
        <v>22</v>
      </c>
      <c r="D137" s="1" t="s">
        <v>22</v>
      </c>
      <c r="E137" t="s">
        <v>23</v>
      </c>
      <c r="F137" t="s">
        <v>24</v>
      </c>
      <c r="G137" t="s">
        <v>25</v>
      </c>
      <c r="H137" t="s">
        <v>23</v>
      </c>
      <c r="I137" t="s">
        <v>26</v>
      </c>
      <c r="J137" t="s">
        <v>323</v>
      </c>
      <c r="K137">
        <v>-12.317743</v>
      </c>
      <c r="L137">
        <v>-76.824380000000005</v>
      </c>
      <c r="M137" t="str">
        <f>HYPERLINK("https://www.google.com/maps/search/?api=1&amp;query=-12.317743,-76.82438","Punta Hermosa, Lima")</f>
        <v>Punta Hermosa, Lima</v>
      </c>
      <c r="N137">
        <v>6</v>
      </c>
      <c r="O137">
        <v>100</v>
      </c>
      <c r="P137">
        <v>2756.1</v>
      </c>
      <c r="Q137" t="s">
        <v>307</v>
      </c>
      <c r="R137" t="s">
        <v>23</v>
      </c>
      <c r="S137" t="s">
        <v>23</v>
      </c>
      <c r="T137" t="s">
        <v>23</v>
      </c>
      <c r="U137" t="s">
        <v>23</v>
      </c>
    </row>
    <row r="138" spans="1:21" x14ac:dyDescent="0.25">
      <c r="A138" t="s">
        <v>325</v>
      </c>
      <c r="B138" t="s">
        <v>21</v>
      </c>
      <c r="C138" t="s">
        <v>22</v>
      </c>
      <c r="D138" s="1" t="s">
        <v>22</v>
      </c>
      <c r="E138" t="s">
        <v>23</v>
      </c>
      <c r="F138" t="s">
        <v>24</v>
      </c>
      <c r="G138" t="s">
        <v>25</v>
      </c>
      <c r="H138" t="s">
        <v>23</v>
      </c>
      <c r="I138" t="s">
        <v>26</v>
      </c>
      <c r="J138" t="s">
        <v>326</v>
      </c>
      <c r="K138">
        <v>-12.317707</v>
      </c>
      <c r="L138">
        <v>-76.824380000000005</v>
      </c>
      <c r="M138" t="str">
        <f>HYPERLINK("https://www.google.com/maps/search/?api=1&amp;query=-12.317707,-76.82438","Punta Hermosa, Lima")</f>
        <v>Punta Hermosa, Lima</v>
      </c>
      <c r="N138">
        <v>0</v>
      </c>
      <c r="O138">
        <v>100</v>
      </c>
      <c r="P138">
        <v>2756.1</v>
      </c>
      <c r="Q138" t="s">
        <v>307</v>
      </c>
      <c r="R138" t="s">
        <v>289</v>
      </c>
      <c r="S138" t="s">
        <v>23</v>
      </c>
      <c r="T138" t="s">
        <v>23</v>
      </c>
      <c r="U138" t="s">
        <v>23</v>
      </c>
    </row>
    <row r="139" spans="1:21" x14ac:dyDescent="0.25">
      <c r="A139" t="s">
        <v>327</v>
      </c>
      <c r="B139" t="s">
        <v>21</v>
      </c>
      <c r="C139" t="s">
        <v>22</v>
      </c>
      <c r="D139" s="1" t="s">
        <v>22</v>
      </c>
      <c r="E139" t="s">
        <v>23</v>
      </c>
      <c r="F139" t="s">
        <v>24</v>
      </c>
      <c r="G139" t="s">
        <v>25</v>
      </c>
      <c r="H139" t="s">
        <v>23</v>
      </c>
      <c r="I139" t="s">
        <v>26</v>
      </c>
      <c r="J139" t="s">
        <v>328</v>
      </c>
      <c r="K139">
        <v>-12.317876999999999</v>
      </c>
      <c r="L139">
        <v>-76.824330000000003</v>
      </c>
      <c r="M139" t="str">
        <f>HYPERLINK("https://www.google.com/maps/search/?api=1&amp;query=-12.317877,-76.82433","Punta Hermosa, Lima")</f>
        <v>Punta Hermosa, Lima</v>
      </c>
      <c r="N139">
        <v>0</v>
      </c>
      <c r="O139">
        <v>100</v>
      </c>
      <c r="P139">
        <v>2756.1</v>
      </c>
      <c r="Q139" t="s">
        <v>307</v>
      </c>
      <c r="R139" t="s">
        <v>23</v>
      </c>
      <c r="S139" t="s">
        <v>23</v>
      </c>
      <c r="T139" t="s">
        <v>23</v>
      </c>
      <c r="U139" t="s">
        <v>23</v>
      </c>
    </row>
    <row r="140" spans="1:21" x14ac:dyDescent="0.25">
      <c r="A140" t="s">
        <v>329</v>
      </c>
      <c r="B140" t="s">
        <v>21</v>
      </c>
      <c r="C140" t="s">
        <v>22</v>
      </c>
      <c r="D140" s="1" t="s">
        <v>22</v>
      </c>
      <c r="E140" t="s">
        <v>23</v>
      </c>
      <c r="F140" t="s">
        <v>24</v>
      </c>
      <c r="G140" t="s">
        <v>25</v>
      </c>
      <c r="H140" t="s">
        <v>23</v>
      </c>
      <c r="I140" t="s">
        <v>26</v>
      </c>
      <c r="J140" t="s">
        <v>330</v>
      </c>
      <c r="K140">
        <v>-12.317876999999999</v>
      </c>
      <c r="L140">
        <v>-76.824330000000003</v>
      </c>
      <c r="M140" t="str">
        <f>HYPERLINK("https://www.google.com/maps/search/?api=1&amp;query=-12.317877,-76.82433","Punta Hermosa, Lima")</f>
        <v>Punta Hermosa, Lima</v>
      </c>
      <c r="N140">
        <v>0</v>
      </c>
      <c r="O140">
        <v>100</v>
      </c>
      <c r="P140">
        <v>2756.2</v>
      </c>
      <c r="Q140" t="s">
        <v>307</v>
      </c>
      <c r="R140" t="s">
        <v>23</v>
      </c>
      <c r="S140" t="s">
        <v>23</v>
      </c>
      <c r="T140" t="s">
        <v>23</v>
      </c>
      <c r="U140" t="s">
        <v>23</v>
      </c>
    </row>
    <row r="141" spans="1:21" x14ac:dyDescent="0.25">
      <c r="A141" t="s">
        <v>331</v>
      </c>
      <c r="B141" t="s">
        <v>21</v>
      </c>
      <c r="C141" t="s">
        <v>22</v>
      </c>
      <c r="D141" s="1" t="s">
        <v>22</v>
      </c>
      <c r="E141" t="s">
        <v>23</v>
      </c>
      <c r="F141" t="s">
        <v>24</v>
      </c>
      <c r="G141" t="s">
        <v>25</v>
      </c>
      <c r="H141" t="s">
        <v>23</v>
      </c>
      <c r="I141" t="s">
        <v>26</v>
      </c>
      <c r="J141" t="s">
        <v>332</v>
      </c>
      <c r="K141">
        <v>-12.317876999999999</v>
      </c>
      <c r="L141">
        <v>-76.824330000000003</v>
      </c>
      <c r="M141" t="str">
        <f>HYPERLINK("https://www.google.com/maps/search/?api=1&amp;query=-12.317877,-76.82433","Punta Hermosa, Lima")</f>
        <v>Punta Hermosa, Lima</v>
      </c>
      <c r="N141">
        <v>0</v>
      </c>
      <c r="O141">
        <v>100</v>
      </c>
      <c r="P141">
        <v>2756.2</v>
      </c>
      <c r="Q141" t="s">
        <v>307</v>
      </c>
      <c r="R141" t="s">
        <v>23</v>
      </c>
      <c r="S141" t="s">
        <v>23</v>
      </c>
      <c r="T141" t="s">
        <v>23</v>
      </c>
      <c r="U141" t="s">
        <v>23</v>
      </c>
    </row>
    <row r="142" spans="1:21" x14ac:dyDescent="0.25">
      <c r="A142" t="s">
        <v>333</v>
      </c>
      <c r="B142" t="s">
        <v>21</v>
      </c>
      <c r="C142" t="s">
        <v>22</v>
      </c>
      <c r="D142" s="1" t="s">
        <v>22</v>
      </c>
      <c r="E142" t="s">
        <v>23</v>
      </c>
      <c r="F142" t="s">
        <v>24</v>
      </c>
      <c r="G142" t="s">
        <v>25</v>
      </c>
      <c r="H142" t="s">
        <v>23</v>
      </c>
      <c r="I142" t="s">
        <v>26</v>
      </c>
      <c r="J142" t="s">
        <v>334</v>
      </c>
      <c r="K142">
        <v>-12.317876999999999</v>
      </c>
      <c r="L142">
        <v>-76.824330000000003</v>
      </c>
      <c r="M142" t="str">
        <f>HYPERLINK("https://www.google.com/maps/search/?api=1&amp;query=-12.317877,-76.82433","Punta Hermosa, Lima")</f>
        <v>Punta Hermosa, Lima</v>
      </c>
      <c r="N142">
        <v>0</v>
      </c>
      <c r="O142">
        <v>100</v>
      </c>
      <c r="P142">
        <v>2756.2</v>
      </c>
      <c r="Q142" t="s">
        <v>307</v>
      </c>
      <c r="R142" t="s">
        <v>87</v>
      </c>
      <c r="S142" t="s">
        <v>23</v>
      </c>
      <c r="T142" t="s">
        <v>23</v>
      </c>
      <c r="U142" t="s">
        <v>23</v>
      </c>
    </row>
    <row r="143" spans="1:21" x14ac:dyDescent="0.25">
      <c r="A143" t="s">
        <v>335</v>
      </c>
      <c r="B143" t="s">
        <v>21</v>
      </c>
      <c r="C143" t="s">
        <v>22</v>
      </c>
      <c r="D143" s="1" t="s">
        <v>22</v>
      </c>
      <c r="E143" t="s">
        <v>23</v>
      </c>
      <c r="F143" t="s">
        <v>24</v>
      </c>
      <c r="G143" t="s">
        <v>25</v>
      </c>
      <c r="H143" t="s">
        <v>23</v>
      </c>
      <c r="I143" t="s">
        <v>26</v>
      </c>
      <c r="J143" t="s">
        <v>336</v>
      </c>
      <c r="K143">
        <v>-12.317945999999999</v>
      </c>
      <c r="L143">
        <v>-76.824309999999997</v>
      </c>
      <c r="M143" t="str">
        <f>HYPERLINK("https://www.google.com/maps/search/?api=1&amp;query=-12.317946,-76.82431","Punta Hermosa, Lima")</f>
        <v>Punta Hermosa, Lima</v>
      </c>
      <c r="N143">
        <v>0.3</v>
      </c>
      <c r="O143">
        <v>100</v>
      </c>
      <c r="P143">
        <v>2756.2</v>
      </c>
      <c r="Q143" t="s">
        <v>307</v>
      </c>
      <c r="R143" t="s">
        <v>23</v>
      </c>
      <c r="S143" t="s">
        <v>23</v>
      </c>
      <c r="T143" t="s">
        <v>23</v>
      </c>
      <c r="U143" t="s">
        <v>23</v>
      </c>
    </row>
    <row r="144" spans="1:21" x14ac:dyDescent="0.25">
      <c r="A144" t="s">
        <v>337</v>
      </c>
      <c r="B144" t="s">
        <v>21</v>
      </c>
      <c r="C144" t="s">
        <v>22</v>
      </c>
      <c r="D144" s="1" t="s">
        <v>22</v>
      </c>
      <c r="E144" t="s">
        <v>23</v>
      </c>
      <c r="F144" t="s">
        <v>24</v>
      </c>
      <c r="G144" t="s">
        <v>25</v>
      </c>
      <c r="H144" t="s">
        <v>23</v>
      </c>
      <c r="I144" t="s">
        <v>26</v>
      </c>
      <c r="J144" t="s">
        <v>338</v>
      </c>
      <c r="K144">
        <v>-12.317943</v>
      </c>
      <c r="L144">
        <v>-76.824299999999994</v>
      </c>
      <c r="M144" t="str">
        <f>HYPERLINK("https://www.google.com/maps/search/?api=1&amp;query=-12.317943,-76.8243","Punta Hermosa, Lima")</f>
        <v>Punta Hermosa, Lima</v>
      </c>
      <c r="N144">
        <v>0</v>
      </c>
      <c r="O144">
        <v>100</v>
      </c>
      <c r="P144">
        <v>2756.2</v>
      </c>
      <c r="Q144" t="s">
        <v>307</v>
      </c>
      <c r="R144" t="s">
        <v>23</v>
      </c>
      <c r="S144" t="s">
        <v>23</v>
      </c>
      <c r="T144" t="s">
        <v>23</v>
      </c>
      <c r="U144" t="s">
        <v>23</v>
      </c>
    </row>
    <row r="145" spans="1:21" x14ac:dyDescent="0.25">
      <c r="A145" t="s">
        <v>339</v>
      </c>
      <c r="B145" t="s">
        <v>21</v>
      </c>
      <c r="C145" t="s">
        <v>22</v>
      </c>
      <c r="D145" s="1" t="s">
        <v>22</v>
      </c>
      <c r="E145" t="s">
        <v>23</v>
      </c>
      <c r="F145" t="s">
        <v>24</v>
      </c>
      <c r="G145" t="s">
        <v>25</v>
      </c>
      <c r="H145" t="s">
        <v>23</v>
      </c>
      <c r="I145" t="s">
        <v>26</v>
      </c>
      <c r="J145" t="s">
        <v>340</v>
      </c>
      <c r="K145">
        <v>-12.317959999999999</v>
      </c>
      <c r="L145">
        <v>-76.824179999999998</v>
      </c>
      <c r="M145" t="str">
        <f>HYPERLINK("https://www.google.com/maps/search/?api=1&amp;query=-12.31796,-76.82418","Punta Hermosa, Lima")</f>
        <v>Punta Hermosa, Lima</v>
      </c>
      <c r="N145">
        <v>5.6</v>
      </c>
      <c r="O145">
        <v>100</v>
      </c>
      <c r="P145">
        <v>2756.2</v>
      </c>
      <c r="Q145" t="s">
        <v>341</v>
      </c>
      <c r="R145" t="s">
        <v>23</v>
      </c>
      <c r="S145" t="s">
        <v>23</v>
      </c>
      <c r="T145" t="s">
        <v>23</v>
      </c>
      <c r="U145" t="s">
        <v>23</v>
      </c>
    </row>
    <row r="146" spans="1:21" x14ac:dyDescent="0.25">
      <c r="A146" t="s">
        <v>342</v>
      </c>
      <c r="B146" t="s">
        <v>21</v>
      </c>
      <c r="C146" t="s">
        <v>22</v>
      </c>
      <c r="D146" s="1" t="s">
        <v>22</v>
      </c>
      <c r="E146" t="s">
        <v>23</v>
      </c>
      <c r="F146" t="s">
        <v>24</v>
      </c>
      <c r="G146" t="s">
        <v>25</v>
      </c>
      <c r="H146" t="s">
        <v>23</v>
      </c>
      <c r="I146" t="s">
        <v>26</v>
      </c>
      <c r="J146" t="s">
        <v>343</v>
      </c>
      <c r="K146">
        <v>-12.317873000000001</v>
      </c>
      <c r="L146">
        <v>-76.824169999999995</v>
      </c>
      <c r="M146" t="str">
        <f>HYPERLINK("https://www.google.com/maps/search/?api=1&amp;query=-12.317873,-76.82417","Punta Hermosa, Lima")</f>
        <v>Punta Hermosa, Lima</v>
      </c>
      <c r="N146">
        <v>7.6</v>
      </c>
      <c r="O146">
        <v>100</v>
      </c>
      <c r="P146">
        <v>2756.2</v>
      </c>
      <c r="Q146" t="s">
        <v>341</v>
      </c>
      <c r="R146" t="s">
        <v>23</v>
      </c>
      <c r="S146" t="s">
        <v>23</v>
      </c>
      <c r="T146" t="s">
        <v>23</v>
      </c>
      <c r="U146" t="s">
        <v>23</v>
      </c>
    </row>
    <row r="147" spans="1:21" x14ac:dyDescent="0.25">
      <c r="A147" t="s">
        <v>344</v>
      </c>
      <c r="B147" t="s">
        <v>21</v>
      </c>
      <c r="C147" t="s">
        <v>22</v>
      </c>
      <c r="D147" s="1" t="s">
        <v>22</v>
      </c>
      <c r="E147" t="s">
        <v>23</v>
      </c>
      <c r="F147" t="s">
        <v>24</v>
      </c>
      <c r="G147" t="s">
        <v>25</v>
      </c>
      <c r="H147" t="s">
        <v>23</v>
      </c>
      <c r="I147" t="s">
        <v>26</v>
      </c>
      <c r="J147" t="s">
        <v>345</v>
      </c>
      <c r="K147">
        <v>-12.317697000000001</v>
      </c>
      <c r="L147">
        <v>-76.824280000000002</v>
      </c>
      <c r="M147" t="str">
        <f>HYPERLINK("https://www.google.com/maps/search/?api=1&amp;query=-12.317697,-76.82428","Punta Hermosa, Lima")</f>
        <v>Punta Hermosa, Lima</v>
      </c>
      <c r="N147">
        <v>3.4</v>
      </c>
      <c r="O147">
        <v>100</v>
      </c>
      <c r="P147">
        <v>2756.3</v>
      </c>
      <c r="Q147" t="s">
        <v>341</v>
      </c>
      <c r="R147" t="s">
        <v>23</v>
      </c>
      <c r="S147" t="s">
        <v>23</v>
      </c>
      <c r="T147" t="s">
        <v>23</v>
      </c>
      <c r="U147" t="s">
        <v>23</v>
      </c>
    </row>
    <row r="148" spans="1:21" x14ac:dyDescent="0.25">
      <c r="A148" t="s">
        <v>346</v>
      </c>
      <c r="B148" t="s">
        <v>21</v>
      </c>
      <c r="C148" t="s">
        <v>22</v>
      </c>
      <c r="D148" s="1" t="s">
        <v>22</v>
      </c>
      <c r="E148" t="s">
        <v>23</v>
      </c>
      <c r="F148" t="s">
        <v>24</v>
      </c>
      <c r="G148" t="s">
        <v>25</v>
      </c>
      <c r="H148" t="s">
        <v>23</v>
      </c>
      <c r="I148" t="s">
        <v>26</v>
      </c>
      <c r="J148" t="s">
        <v>347</v>
      </c>
      <c r="K148">
        <v>-12.317671000000001</v>
      </c>
      <c r="L148">
        <v>-76.824299999999994</v>
      </c>
      <c r="M148" t="str">
        <f>HYPERLINK("https://www.google.com/maps/search/?api=1&amp;query=-12.317671,-76.8243","Punta Hermosa, Lima")</f>
        <v>Punta Hermosa, Lima</v>
      </c>
      <c r="N148">
        <v>0</v>
      </c>
      <c r="O148">
        <v>100</v>
      </c>
      <c r="P148">
        <v>2756.3</v>
      </c>
      <c r="Q148" t="s">
        <v>341</v>
      </c>
      <c r="R148" t="s">
        <v>23</v>
      </c>
      <c r="S148" t="s">
        <v>23</v>
      </c>
      <c r="T148" t="s">
        <v>23</v>
      </c>
      <c r="U148" t="s">
        <v>23</v>
      </c>
    </row>
    <row r="149" spans="1:21" x14ac:dyDescent="0.25">
      <c r="A149" t="s">
        <v>348</v>
      </c>
      <c r="B149" t="s">
        <v>21</v>
      </c>
      <c r="C149" t="s">
        <v>22</v>
      </c>
      <c r="D149" s="1" t="s">
        <v>22</v>
      </c>
      <c r="E149" t="s">
        <v>23</v>
      </c>
      <c r="F149" t="s">
        <v>24</v>
      </c>
      <c r="G149" t="s">
        <v>25</v>
      </c>
      <c r="H149" t="s">
        <v>23</v>
      </c>
      <c r="I149" t="s">
        <v>26</v>
      </c>
      <c r="J149" t="s">
        <v>349</v>
      </c>
      <c r="K149">
        <v>-12.317671000000001</v>
      </c>
      <c r="L149">
        <v>-76.824299999999994</v>
      </c>
      <c r="M149" t="str">
        <f>HYPERLINK("https://www.google.com/maps/search/?api=1&amp;query=-12.317671,-76.8243","Punta Hermosa, Lima")</f>
        <v>Punta Hermosa, Lima</v>
      </c>
      <c r="N149">
        <v>0</v>
      </c>
      <c r="O149">
        <v>100</v>
      </c>
      <c r="P149">
        <v>2756.3</v>
      </c>
      <c r="Q149" t="s">
        <v>350</v>
      </c>
      <c r="R149" t="s">
        <v>23</v>
      </c>
      <c r="S149" t="s">
        <v>23</v>
      </c>
      <c r="T149" t="s">
        <v>23</v>
      </c>
      <c r="U149" t="s">
        <v>23</v>
      </c>
    </row>
    <row r="150" spans="1:21" x14ac:dyDescent="0.25">
      <c r="A150" t="s">
        <v>351</v>
      </c>
      <c r="B150" t="s">
        <v>21</v>
      </c>
      <c r="C150" t="s">
        <v>22</v>
      </c>
      <c r="D150" s="1" t="s">
        <v>22</v>
      </c>
      <c r="E150" t="s">
        <v>23</v>
      </c>
      <c r="F150" t="s">
        <v>24</v>
      </c>
      <c r="G150" t="s">
        <v>25</v>
      </c>
      <c r="H150" t="s">
        <v>23</v>
      </c>
      <c r="I150" t="s">
        <v>26</v>
      </c>
      <c r="J150" t="s">
        <v>352</v>
      </c>
      <c r="K150">
        <v>-12.317622</v>
      </c>
      <c r="L150">
        <v>-76.824393999999998</v>
      </c>
      <c r="M150" t="str">
        <f>HYPERLINK("https://www.google.com/maps/search/?api=1&amp;query=-12.317622,-76.824394","Punta Hermosa, Lima")</f>
        <v>Punta Hermosa, Lima</v>
      </c>
      <c r="N150">
        <v>6.5</v>
      </c>
      <c r="O150">
        <v>100</v>
      </c>
      <c r="P150">
        <v>2756.3</v>
      </c>
      <c r="Q150" t="s">
        <v>350</v>
      </c>
      <c r="R150" t="s">
        <v>23</v>
      </c>
      <c r="S150" t="s">
        <v>23</v>
      </c>
      <c r="T150" t="s">
        <v>23</v>
      </c>
      <c r="U150" t="s">
        <v>23</v>
      </c>
    </row>
    <row r="151" spans="1:21" x14ac:dyDescent="0.25">
      <c r="A151" t="s">
        <v>353</v>
      </c>
      <c r="B151" t="s">
        <v>21</v>
      </c>
      <c r="C151" t="s">
        <v>22</v>
      </c>
      <c r="D151" s="1" t="s">
        <v>22</v>
      </c>
      <c r="E151" t="s">
        <v>23</v>
      </c>
      <c r="F151" t="s">
        <v>24</v>
      </c>
      <c r="G151" t="s">
        <v>25</v>
      </c>
      <c r="H151" t="s">
        <v>23</v>
      </c>
      <c r="I151" t="s">
        <v>26</v>
      </c>
      <c r="J151" t="s">
        <v>352</v>
      </c>
      <c r="K151">
        <v>-12.317648</v>
      </c>
      <c r="L151">
        <v>-76.824449999999999</v>
      </c>
      <c r="M151" t="str">
        <f>HYPERLINK("https://www.google.com/maps/search/?api=1&amp;query=-12.317648,-76.82445","Punta Hermosa, Lima")</f>
        <v>Punta Hermosa, Lima</v>
      </c>
      <c r="N151">
        <v>6.9</v>
      </c>
      <c r="O151">
        <v>100</v>
      </c>
      <c r="P151">
        <v>2756.3</v>
      </c>
      <c r="Q151" t="s">
        <v>350</v>
      </c>
      <c r="R151" t="s">
        <v>23</v>
      </c>
      <c r="S151" t="s">
        <v>23</v>
      </c>
      <c r="T151" t="s">
        <v>23</v>
      </c>
      <c r="U151" t="s">
        <v>23</v>
      </c>
    </row>
    <row r="152" spans="1:21" x14ac:dyDescent="0.25">
      <c r="A152" t="s">
        <v>354</v>
      </c>
      <c r="B152" t="s">
        <v>21</v>
      </c>
      <c r="C152" t="s">
        <v>22</v>
      </c>
      <c r="D152" s="1" t="s">
        <v>22</v>
      </c>
      <c r="E152" t="s">
        <v>23</v>
      </c>
      <c r="F152" t="s">
        <v>24</v>
      </c>
      <c r="G152" t="s">
        <v>25</v>
      </c>
      <c r="H152" t="s">
        <v>23</v>
      </c>
      <c r="I152" t="s">
        <v>26</v>
      </c>
      <c r="J152" t="s">
        <v>355</v>
      </c>
      <c r="K152">
        <v>-12.3177</v>
      </c>
      <c r="L152">
        <v>-76.824460000000002</v>
      </c>
      <c r="M152" t="str">
        <f>HYPERLINK("https://www.google.com/maps/search/?api=1&amp;query=-12.3177,-76.82446","Punta Hermosa, Lima")</f>
        <v>Punta Hermosa, Lima</v>
      </c>
      <c r="N152">
        <v>9.1999999999999993</v>
      </c>
      <c r="O152">
        <v>100</v>
      </c>
      <c r="P152">
        <v>2756.3</v>
      </c>
      <c r="Q152" t="s">
        <v>350</v>
      </c>
      <c r="R152" t="s">
        <v>23</v>
      </c>
      <c r="S152" t="s">
        <v>23</v>
      </c>
      <c r="T152" t="s">
        <v>23</v>
      </c>
      <c r="U152" t="s">
        <v>23</v>
      </c>
    </row>
    <row r="153" spans="1:21" x14ac:dyDescent="0.25">
      <c r="A153" t="s">
        <v>356</v>
      </c>
      <c r="B153" t="s">
        <v>21</v>
      </c>
      <c r="C153" t="s">
        <v>22</v>
      </c>
      <c r="D153" s="1" t="s">
        <v>22</v>
      </c>
      <c r="E153" t="s">
        <v>23</v>
      </c>
      <c r="F153" t="s">
        <v>24</v>
      </c>
      <c r="G153" t="s">
        <v>25</v>
      </c>
      <c r="H153" t="s">
        <v>23</v>
      </c>
      <c r="I153" t="s">
        <v>26</v>
      </c>
      <c r="J153" t="s">
        <v>357</v>
      </c>
      <c r="K153">
        <v>-12.3177</v>
      </c>
      <c r="L153">
        <v>-76.824460000000002</v>
      </c>
      <c r="M153" t="str">
        <f>HYPERLINK("https://www.google.com/maps/search/?api=1&amp;query=-12.3177,-76.82446","Punta Hermosa, Lima")</f>
        <v>Punta Hermosa, Lima</v>
      </c>
      <c r="N153">
        <v>9.1999999999999993</v>
      </c>
      <c r="O153">
        <v>100</v>
      </c>
      <c r="P153">
        <v>2756.3</v>
      </c>
      <c r="Q153" t="s">
        <v>358</v>
      </c>
      <c r="R153" t="s">
        <v>289</v>
      </c>
      <c r="S153" t="s">
        <v>23</v>
      </c>
      <c r="T153" t="s">
        <v>23</v>
      </c>
      <c r="U153" t="s">
        <v>23</v>
      </c>
    </row>
    <row r="154" spans="1:21" x14ac:dyDescent="0.25">
      <c r="A154" t="s">
        <v>359</v>
      </c>
      <c r="B154" t="s">
        <v>21</v>
      </c>
      <c r="C154" t="s">
        <v>22</v>
      </c>
      <c r="D154" s="1" t="s">
        <v>22</v>
      </c>
      <c r="E154" t="s">
        <v>23</v>
      </c>
      <c r="F154" t="s">
        <v>24</v>
      </c>
      <c r="G154" t="s">
        <v>25</v>
      </c>
      <c r="H154" t="s">
        <v>23</v>
      </c>
      <c r="I154" t="s">
        <v>26</v>
      </c>
      <c r="J154" t="s">
        <v>360</v>
      </c>
      <c r="K154">
        <v>-12.317985</v>
      </c>
      <c r="L154">
        <v>-76.824295000000006</v>
      </c>
      <c r="M154" t="str">
        <f>HYPERLINK("https://www.google.com/maps/search/?api=1&amp;query=-12.317985,-76.824295","Punta Hermosa, Lima")</f>
        <v>Punta Hermosa, Lima</v>
      </c>
      <c r="N154">
        <v>0</v>
      </c>
      <c r="O154">
        <v>100</v>
      </c>
      <c r="P154">
        <v>2756.3</v>
      </c>
      <c r="Q154" t="s">
        <v>358</v>
      </c>
      <c r="R154" t="s">
        <v>23</v>
      </c>
      <c r="S154" t="s">
        <v>23</v>
      </c>
      <c r="T154" t="s">
        <v>23</v>
      </c>
      <c r="U154" t="s">
        <v>23</v>
      </c>
    </row>
    <row r="155" spans="1:21" x14ac:dyDescent="0.25">
      <c r="A155" t="s">
        <v>361</v>
      </c>
      <c r="B155" t="s">
        <v>21</v>
      </c>
      <c r="C155" t="s">
        <v>22</v>
      </c>
      <c r="D155" s="1" t="s">
        <v>22</v>
      </c>
      <c r="E155" t="s">
        <v>23</v>
      </c>
      <c r="F155" t="s">
        <v>24</v>
      </c>
      <c r="G155" t="s">
        <v>25</v>
      </c>
      <c r="H155" t="s">
        <v>23</v>
      </c>
      <c r="I155" t="s">
        <v>26</v>
      </c>
      <c r="J155" t="s">
        <v>362</v>
      </c>
      <c r="K155">
        <v>-12.317985</v>
      </c>
      <c r="L155">
        <v>-76.824295000000006</v>
      </c>
      <c r="M155" t="str">
        <f>HYPERLINK("https://www.google.com/maps/search/?api=1&amp;query=-12.317985,-76.824295","Punta Hermosa, Lima")</f>
        <v>Punta Hermosa, Lima</v>
      </c>
      <c r="N155">
        <v>0</v>
      </c>
      <c r="O155">
        <v>100</v>
      </c>
      <c r="P155">
        <v>2756.3</v>
      </c>
      <c r="Q155" t="s">
        <v>358</v>
      </c>
      <c r="R155" t="s">
        <v>87</v>
      </c>
      <c r="S155" t="s">
        <v>23</v>
      </c>
      <c r="T155" t="s">
        <v>23</v>
      </c>
      <c r="U155" t="s">
        <v>23</v>
      </c>
    </row>
    <row r="156" spans="1:21" x14ac:dyDescent="0.25">
      <c r="A156" t="s">
        <v>363</v>
      </c>
      <c r="B156" t="s">
        <v>21</v>
      </c>
      <c r="C156" t="s">
        <v>22</v>
      </c>
      <c r="D156" s="1" t="s">
        <v>22</v>
      </c>
      <c r="E156" t="s">
        <v>23</v>
      </c>
      <c r="F156" t="s">
        <v>24</v>
      </c>
      <c r="G156" t="s">
        <v>25</v>
      </c>
      <c r="H156" t="s">
        <v>23</v>
      </c>
      <c r="I156" t="s">
        <v>26</v>
      </c>
      <c r="J156" t="s">
        <v>364</v>
      </c>
      <c r="K156">
        <v>-12.317962</v>
      </c>
      <c r="L156">
        <v>-76.824264999999997</v>
      </c>
      <c r="M156" t="str">
        <f>HYPERLINK("https://www.google.com/maps/search/?api=1&amp;query=-12.317962,-76.824265","Punta Hermosa, Lima")</f>
        <v>Punta Hermosa, Lima</v>
      </c>
      <c r="N156">
        <v>0.2</v>
      </c>
      <c r="O156">
        <v>100</v>
      </c>
      <c r="P156">
        <v>2756.3</v>
      </c>
      <c r="Q156" t="s">
        <v>358</v>
      </c>
      <c r="R156" t="s">
        <v>23</v>
      </c>
      <c r="S156" t="s">
        <v>23</v>
      </c>
      <c r="T156" t="s">
        <v>23</v>
      </c>
      <c r="U156" t="s">
        <v>23</v>
      </c>
    </row>
    <row r="157" spans="1:21" x14ac:dyDescent="0.25">
      <c r="A157" t="s">
        <v>365</v>
      </c>
      <c r="B157" t="s">
        <v>21</v>
      </c>
      <c r="C157" t="s">
        <v>22</v>
      </c>
      <c r="D157" s="1" t="s">
        <v>22</v>
      </c>
      <c r="E157" t="s">
        <v>23</v>
      </c>
      <c r="F157" t="s">
        <v>24</v>
      </c>
      <c r="G157" t="s">
        <v>25</v>
      </c>
      <c r="H157" t="s">
        <v>23</v>
      </c>
      <c r="I157" t="s">
        <v>26</v>
      </c>
      <c r="J157" t="s">
        <v>366</v>
      </c>
      <c r="K157">
        <v>-12.317968</v>
      </c>
      <c r="L157">
        <v>-76.824264999999997</v>
      </c>
      <c r="M157" t="str">
        <f>HYPERLINK("https://www.google.com/maps/search/?api=1&amp;query=-12.317968,-76.824265","Punta Hermosa, Lima")</f>
        <v>Punta Hermosa, Lima</v>
      </c>
      <c r="N157">
        <v>0</v>
      </c>
      <c r="O157">
        <v>100</v>
      </c>
      <c r="P157">
        <v>2756.3</v>
      </c>
      <c r="Q157" t="s">
        <v>358</v>
      </c>
      <c r="R157" t="s">
        <v>23</v>
      </c>
      <c r="S157" t="s">
        <v>23</v>
      </c>
      <c r="T157" t="s">
        <v>23</v>
      </c>
      <c r="U157" t="s">
        <v>23</v>
      </c>
    </row>
    <row r="158" spans="1:21" x14ac:dyDescent="0.25">
      <c r="A158" t="s">
        <v>367</v>
      </c>
      <c r="B158" t="s">
        <v>21</v>
      </c>
      <c r="C158" t="s">
        <v>22</v>
      </c>
      <c r="D158" s="1" t="s">
        <v>22</v>
      </c>
      <c r="E158" t="s">
        <v>23</v>
      </c>
      <c r="F158" t="s">
        <v>24</v>
      </c>
      <c r="G158" t="s">
        <v>25</v>
      </c>
      <c r="H158" t="s">
        <v>23</v>
      </c>
      <c r="I158" t="s">
        <v>26</v>
      </c>
      <c r="J158" t="s">
        <v>368</v>
      </c>
      <c r="K158">
        <v>-12.318001000000001</v>
      </c>
      <c r="L158">
        <v>-76.824164999999994</v>
      </c>
      <c r="M158" t="str">
        <f>HYPERLINK("https://www.google.com/maps/search/?api=1&amp;query=-12.318001,-76.824165","Punta Hermosa, Lima")</f>
        <v>Punta Hermosa, Lima</v>
      </c>
      <c r="N158">
        <v>7.2</v>
      </c>
      <c r="O158">
        <v>100</v>
      </c>
      <c r="P158">
        <v>2756.4</v>
      </c>
      <c r="Q158" t="s">
        <v>369</v>
      </c>
      <c r="R158" t="s">
        <v>23</v>
      </c>
      <c r="S158" t="s">
        <v>23</v>
      </c>
      <c r="T158" t="s">
        <v>23</v>
      </c>
      <c r="U158" t="s">
        <v>23</v>
      </c>
    </row>
    <row r="159" spans="1:21" x14ac:dyDescent="0.25">
      <c r="A159" t="s">
        <v>370</v>
      </c>
      <c r="B159" t="s">
        <v>21</v>
      </c>
      <c r="C159" t="s">
        <v>22</v>
      </c>
      <c r="D159" s="1" t="s">
        <v>22</v>
      </c>
      <c r="E159" t="s">
        <v>23</v>
      </c>
      <c r="F159" t="s">
        <v>24</v>
      </c>
      <c r="G159" t="s">
        <v>25</v>
      </c>
      <c r="H159" t="s">
        <v>23</v>
      </c>
      <c r="I159" t="s">
        <v>26</v>
      </c>
      <c r="J159" t="s">
        <v>371</v>
      </c>
      <c r="K159">
        <v>-12.317938</v>
      </c>
      <c r="L159">
        <v>-76.82414</v>
      </c>
      <c r="M159" t="str">
        <f>HYPERLINK("https://www.google.com/maps/search/?api=1&amp;query=-12.317938,-76.82414","Punta Hermosa, Lima")</f>
        <v>Punta Hermosa, Lima</v>
      </c>
      <c r="N159">
        <v>6.5</v>
      </c>
      <c r="O159">
        <v>100</v>
      </c>
      <c r="P159">
        <v>2756.4</v>
      </c>
      <c r="Q159" t="s">
        <v>369</v>
      </c>
      <c r="R159" t="s">
        <v>23</v>
      </c>
      <c r="S159" t="s">
        <v>23</v>
      </c>
      <c r="T159" t="s">
        <v>23</v>
      </c>
      <c r="U159" t="s">
        <v>23</v>
      </c>
    </row>
    <row r="160" spans="1:21" x14ac:dyDescent="0.25">
      <c r="A160" t="s">
        <v>372</v>
      </c>
      <c r="B160" t="s">
        <v>21</v>
      </c>
      <c r="C160" t="s">
        <v>22</v>
      </c>
      <c r="D160" s="1" t="s">
        <v>22</v>
      </c>
      <c r="E160" t="s">
        <v>23</v>
      </c>
      <c r="F160" t="s">
        <v>24</v>
      </c>
      <c r="G160" t="s">
        <v>25</v>
      </c>
      <c r="H160" t="s">
        <v>23</v>
      </c>
      <c r="I160" t="s">
        <v>26</v>
      </c>
      <c r="J160" t="s">
        <v>373</v>
      </c>
      <c r="K160">
        <v>-12.317921999999999</v>
      </c>
      <c r="L160">
        <v>-76.824190000000002</v>
      </c>
      <c r="M160" t="str">
        <f>HYPERLINK("https://www.google.com/maps/search/?api=1&amp;query=-12.317922,-76.82419","Punta Hermosa, Lima")</f>
        <v>Punta Hermosa, Lima</v>
      </c>
      <c r="N160">
        <v>6</v>
      </c>
      <c r="O160">
        <v>100</v>
      </c>
      <c r="P160">
        <v>2756.4</v>
      </c>
      <c r="Q160" t="s">
        <v>369</v>
      </c>
      <c r="R160" t="s">
        <v>23</v>
      </c>
      <c r="S160" t="s">
        <v>23</v>
      </c>
      <c r="T160" t="s">
        <v>23</v>
      </c>
      <c r="U160" t="s">
        <v>23</v>
      </c>
    </row>
    <row r="161" spans="1:21" x14ac:dyDescent="0.25">
      <c r="A161" t="s">
        <v>374</v>
      </c>
      <c r="B161" t="s">
        <v>21</v>
      </c>
      <c r="C161" t="s">
        <v>22</v>
      </c>
      <c r="D161" s="1" t="s">
        <v>22</v>
      </c>
      <c r="E161" t="s">
        <v>23</v>
      </c>
      <c r="F161" t="s">
        <v>24</v>
      </c>
      <c r="G161" t="s">
        <v>25</v>
      </c>
      <c r="H161" t="s">
        <v>23</v>
      </c>
      <c r="I161" t="s">
        <v>26</v>
      </c>
      <c r="J161" t="s">
        <v>375</v>
      </c>
      <c r="K161">
        <v>-12.317936</v>
      </c>
      <c r="L161">
        <v>-76.824234000000004</v>
      </c>
      <c r="M161" t="str">
        <f>HYPERLINK("https://www.google.com/maps/search/?api=1&amp;query=-12.317936,-76.824234","Punta Hermosa, Lima")</f>
        <v>Punta Hermosa, Lima</v>
      </c>
      <c r="N161">
        <v>6.3</v>
      </c>
      <c r="O161">
        <v>100</v>
      </c>
      <c r="P161">
        <v>2756.4</v>
      </c>
      <c r="Q161" t="s">
        <v>369</v>
      </c>
      <c r="R161" t="s">
        <v>23</v>
      </c>
      <c r="S161" t="s">
        <v>23</v>
      </c>
      <c r="T161" t="s">
        <v>23</v>
      </c>
      <c r="U161" t="s">
        <v>23</v>
      </c>
    </row>
    <row r="162" spans="1:21" x14ac:dyDescent="0.25">
      <c r="A162" t="s">
        <v>376</v>
      </c>
      <c r="B162" t="s">
        <v>21</v>
      </c>
      <c r="C162" t="s">
        <v>22</v>
      </c>
      <c r="D162" s="1" t="s">
        <v>22</v>
      </c>
      <c r="E162" t="s">
        <v>23</v>
      </c>
      <c r="F162" t="s">
        <v>24</v>
      </c>
      <c r="G162" t="s">
        <v>25</v>
      </c>
      <c r="H162" t="s">
        <v>23</v>
      </c>
      <c r="I162" t="s">
        <v>26</v>
      </c>
      <c r="J162" t="s">
        <v>377</v>
      </c>
      <c r="K162">
        <v>-12.317968</v>
      </c>
      <c r="L162">
        <v>-76.824264999999997</v>
      </c>
      <c r="M162" t="str">
        <f>HYPERLINK("https://www.google.com/maps/search/?api=1&amp;query=-12.317968,-76.824265","Punta Hermosa, Lima")</f>
        <v>Punta Hermosa, Lima</v>
      </c>
      <c r="N162">
        <v>0</v>
      </c>
      <c r="O162">
        <v>100</v>
      </c>
      <c r="P162">
        <v>2756.4</v>
      </c>
      <c r="Q162" t="s">
        <v>378</v>
      </c>
      <c r="R162" t="s">
        <v>23</v>
      </c>
      <c r="S162" t="s">
        <v>23</v>
      </c>
      <c r="T162" t="s">
        <v>23</v>
      </c>
      <c r="U162" t="s">
        <v>23</v>
      </c>
    </row>
    <row r="163" spans="1:21" x14ac:dyDescent="0.25">
      <c r="A163" t="s">
        <v>379</v>
      </c>
      <c r="B163" t="s">
        <v>21</v>
      </c>
      <c r="C163" t="s">
        <v>22</v>
      </c>
      <c r="D163" s="1" t="s">
        <v>22</v>
      </c>
      <c r="E163" t="s">
        <v>23</v>
      </c>
      <c r="F163" t="s">
        <v>24</v>
      </c>
      <c r="G163" t="s">
        <v>25</v>
      </c>
      <c r="H163" t="s">
        <v>23</v>
      </c>
      <c r="I163" t="s">
        <v>26</v>
      </c>
      <c r="J163" t="s">
        <v>380</v>
      </c>
      <c r="K163">
        <v>-12.317968</v>
      </c>
      <c r="L163">
        <v>-76.824264999999997</v>
      </c>
      <c r="M163" t="str">
        <f>HYPERLINK("https://www.google.com/maps/search/?api=1&amp;query=-12.317968,-76.824265","Punta Hermosa, Lima")</f>
        <v>Punta Hermosa, Lima</v>
      </c>
      <c r="N163">
        <v>0</v>
      </c>
      <c r="O163">
        <v>100</v>
      </c>
      <c r="P163">
        <v>2756.4</v>
      </c>
      <c r="Q163" t="s">
        <v>378</v>
      </c>
      <c r="R163" t="s">
        <v>23</v>
      </c>
      <c r="S163" t="s">
        <v>23</v>
      </c>
      <c r="T163" t="s">
        <v>23</v>
      </c>
      <c r="U163" t="s">
        <v>23</v>
      </c>
    </row>
    <row r="164" spans="1:21" x14ac:dyDescent="0.25">
      <c r="A164" t="s">
        <v>381</v>
      </c>
      <c r="B164" t="s">
        <v>21</v>
      </c>
      <c r="C164" t="s">
        <v>22</v>
      </c>
      <c r="D164" s="1" t="s">
        <v>22</v>
      </c>
      <c r="E164" t="s">
        <v>23</v>
      </c>
      <c r="F164" t="s">
        <v>24</v>
      </c>
      <c r="G164" t="s">
        <v>25</v>
      </c>
      <c r="H164" t="s">
        <v>23</v>
      </c>
      <c r="I164" t="s">
        <v>26</v>
      </c>
      <c r="J164" t="s">
        <v>382</v>
      </c>
      <c r="K164">
        <v>-12.317968</v>
      </c>
      <c r="L164">
        <v>-76.824259999999995</v>
      </c>
      <c r="M164" t="str">
        <f>HYPERLINK("https://www.google.com/maps/search/?api=1&amp;query=-12.317968,-76.82426","Punta Hermosa, Lima")</f>
        <v>Punta Hermosa, Lima</v>
      </c>
      <c r="N164">
        <v>0</v>
      </c>
      <c r="O164">
        <v>100</v>
      </c>
      <c r="P164">
        <v>2756.4</v>
      </c>
      <c r="Q164" t="s">
        <v>383</v>
      </c>
      <c r="R164" t="s">
        <v>23</v>
      </c>
      <c r="S164" t="s">
        <v>23</v>
      </c>
      <c r="T164" t="s">
        <v>23</v>
      </c>
      <c r="U164" t="s">
        <v>23</v>
      </c>
    </row>
    <row r="165" spans="1:21" x14ac:dyDescent="0.25">
      <c r="A165" t="s">
        <v>384</v>
      </c>
      <c r="B165" t="s">
        <v>21</v>
      </c>
      <c r="C165" t="s">
        <v>22</v>
      </c>
      <c r="D165" s="1" t="s">
        <v>22</v>
      </c>
      <c r="E165" t="s">
        <v>23</v>
      </c>
      <c r="F165" t="s">
        <v>24</v>
      </c>
      <c r="G165" t="s">
        <v>25</v>
      </c>
      <c r="H165" t="s">
        <v>23</v>
      </c>
      <c r="I165" t="s">
        <v>26</v>
      </c>
      <c r="J165" t="s">
        <v>385</v>
      </c>
      <c r="K165">
        <v>-12.317936</v>
      </c>
      <c r="L165">
        <v>-76.824269999999999</v>
      </c>
      <c r="M165" t="str">
        <f>HYPERLINK("https://www.google.com/maps/search/?api=1&amp;query=-12.317936,-76.82427","Punta Hermosa, Lima")</f>
        <v>Punta Hermosa, Lima</v>
      </c>
      <c r="N165">
        <v>8.1999999999999993</v>
      </c>
      <c r="O165">
        <v>100</v>
      </c>
      <c r="P165">
        <v>2756.4</v>
      </c>
      <c r="Q165" t="s">
        <v>383</v>
      </c>
      <c r="R165" t="s">
        <v>23</v>
      </c>
      <c r="S165" t="s">
        <v>23</v>
      </c>
      <c r="T165" t="s">
        <v>23</v>
      </c>
      <c r="U165" t="s">
        <v>23</v>
      </c>
    </row>
    <row r="166" spans="1:21" x14ac:dyDescent="0.25">
      <c r="A166" t="s">
        <v>386</v>
      </c>
      <c r="B166" t="s">
        <v>21</v>
      </c>
      <c r="C166" t="s">
        <v>22</v>
      </c>
      <c r="D166" s="1" t="s">
        <v>22</v>
      </c>
      <c r="E166" t="s">
        <v>23</v>
      </c>
      <c r="F166" t="s">
        <v>24</v>
      </c>
      <c r="G166" t="s">
        <v>25</v>
      </c>
      <c r="H166" t="s">
        <v>23</v>
      </c>
      <c r="I166" t="s">
        <v>26</v>
      </c>
      <c r="J166" t="s">
        <v>387</v>
      </c>
      <c r="K166">
        <v>-12.31757</v>
      </c>
      <c r="L166">
        <v>-76.824425000000005</v>
      </c>
      <c r="M166" t="str">
        <f>HYPERLINK("https://www.google.com/maps/search/?api=1&amp;query=-12.31757,-76.824425","Punta Hermosa, Lima")</f>
        <v>Punta Hermosa, Lima</v>
      </c>
      <c r="N166">
        <v>7.4</v>
      </c>
      <c r="O166">
        <v>100</v>
      </c>
      <c r="P166">
        <v>2756.4</v>
      </c>
      <c r="Q166" t="s">
        <v>383</v>
      </c>
      <c r="R166" t="s">
        <v>23</v>
      </c>
      <c r="S166" t="s">
        <v>23</v>
      </c>
      <c r="T166" t="s">
        <v>23</v>
      </c>
      <c r="U166" t="s">
        <v>23</v>
      </c>
    </row>
    <row r="167" spans="1:21" x14ac:dyDescent="0.25">
      <c r="A167" t="s">
        <v>388</v>
      </c>
      <c r="B167" t="s">
        <v>21</v>
      </c>
      <c r="C167" t="s">
        <v>22</v>
      </c>
      <c r="D167" s="1" t="s">
        <v>22</v>
      </c>
      <c r="E167" t="s">
        <v>23</v>
      </c>
      <c r="F167" t="s">
        <v>24</v>
      </c>
      <c r="G167" t="s">
        <v>25</v>
      </c>
      <c r="H167" t="s">
        <v>23</v>
      </c>
      <c r="I167" t="s">
        <v>26</v>
      </c>
      <c r="J167" t="s">
        <v>389</v>
      </c>
      <c r="K167">
        <v>-12.317584999999999</v>
      </c>
      <c r="L167">
        <v>-76.824479999999994</v>
      </c>
      <c r="M167" t="str">
        <f>HYPERLINK("https://www.google.com/maps/search/?api=1&amp;query=-12.317585,-76.82448","Punta Hermosa, Lima")</f>
        <v>Punta Hermosa, Lima</v>
      </c>
      <c r="N167">
        <v>6.6</v>
      </c>
      <c r="O167">
        <v>100</v>
      </c>
      <c r="P167">
        <v>2756.4</v>
      </c>
      <c r="Q167" t="s">
        <v>383</v>
      </c>
      <c r="R167" t="s">
        <v>23</v>
      </c>
      <c r="S167" t="s">
        <v>23</v>
      </c>
      <c r="T167" t="s">
        <v>23</v>
      </c>
      <c r="U167" t="s">
        <v>23</v>
      </c>
    </row>
    <row r="168" spans="1:21" x14ac:dyDescent="0.25">
      <c r="A168" t="s">
        <v>390</v>
      </c>
      <c r="B168" t="s">
        <v>21</v>
      </c>
      <c r="C168" t="s">
        <v>22</v>
      </c>
      <c r="D168" s="1" t="s">
        <v>22</v>
      </c>
      <c r="E168" t="s">
        <v>23</v>
      </c>
      <c r="F168" t="s">
        <v>24</v>
      </c>
      <c r="G168" t="s">
        <v>25</v>
      </c>
      <c r="H168" t="s">
        <v>23</v>
      </c>
      <c r="I168" t="s">
        <v>26</v>
      </c>
      <c r="J168" t="s">
        <v>391</v>
      </c>
      <c r="K168">
        <v>-12.317610999999999</v>
      </c>
      <c r="L168">
        <v>-76.8245</v>
      </c>
      <c r="M168" t="str">
        <f>HYPERLINK("https://www.google.com/maps/search/?api=1&amp;query=-12.317611,-76.8245","Punta Hermosa, Lima")</f>
        <v>Punta Hermosa, Lima</v>
      </c>
      <c r="N168">
        <v>0</v>
      </c>
      <c r="O168">
        <v>100</v>
      </c>
      <c r="P168">
        <v>2756.4</v>
      </c>
      <c r="Q168" t="s">
        <v>383</v>
      </c>
      <c r="R168" t="s">
        <v>23</v>
      </c>
      <c r="S168" t="s">
        <v>23</v>
      </c>
      <c r="T168" t="s">
        <v>23</v>
      </c>
      <c r="U168" t="s">
        <v>23</v>
      </c>
    </row>
    <row r="169" spans="1:21" x14ac:dyDescent="0.25">
      <c r="A169" t="s">
        <v>392</v>
      </c>
      <c r="B169" t="s">
        <v>21</v>
      </c>
      <c r="C169" t="s">
        <v>22</v>
      </c>
      <c r="D169" s="1" t="s">
        <v>22</v>
      </c>
      <c r="E169" t="s">
        <v>23</v>
      </c>
      <c r="F169" t="s">
        <v>24</v>
      </c>
      <c r="G169" t="s">
        <v>25</v>
      </c>
      <c r="H169" t="s">
        <v>23</v>
      </c>
      <c r="I169" t="s">
        <v>26</v>
      </c>
      <c r="J169" t="s">
        <v>393</v>
      </c>
      <c r="K169">
        <v>-12.317610999999999</v>
      </c>
      <c r="L169">
        <v>-76.8245</v>
      </c>
      <c r="M169" t="str">
        <f>HYPERLINK("https://www.google.com/maps/search/?api=1&amp;query=-12.317611,-76.8245","Punta Hermosa, Lima")</f>
        <v>Punta Hermosa, Lima</v>
      </c>
      <c r="N169">
        <v>0</v>
      </c>
      <c r="O169">
        <v>100</v>
      </c>
      <c r="P169">
        <v>2756.5</v>
      </c>
      <c r="Q169" t="s">
        <v>394</v>
      </c>
      <c r="R169" t="s">
        <v>23</v>
      </c>
      <c r="S169" t="s">
        <v>23</v>
      </c>
      <c r="T169" t="s">
        <v>23</v>
      </c>
      <c r="U169" t="s">
        <v>23</v>
      </c>
    </row>
    <row r="170" spans="1:21" x14ac:dyDescent="0.25">
      <c r="A170" t="s">
        <v>395</v>
      </c>
      <c r="B170" t="s">
        <v>21</v>
      </c>
      <c r="C170" t="s">
        <v>22</v>
      </c>
      <c r="D170" s="1" t="s">
        <v>22</v>
      </c>
      <c r="E170" t="s">
        <v>23</v>
      </c>
      <c r="F170" t="s">
        <v>24</v>
      </c>
      <c r="G170" t="s">
        <v>25</v>
      </c>
      <c r="H170" t="s">
        <v>23</v>
      </c>
      <c r="I170" t="s">
        <v>26</v>
      </c>
      <c r="J170" t="s">
        <v>396</v>
      </c>
      <c r="K170">
        <v>-12.317610999999999</v>
      </c>
      <c r="L170">
        <v>-76.8245</v>
      </c>
      <c r="M170" t="str">
        <f>HYPERLINK("https://www.google.com/maps/search/?api=1&amp;query=-12.317611,-76.8245","Punta Hermosa, Lima")</f>
        <v>Punta Hermosa, Lima</v>
      </c>
      <c r="N170">
        <v>0</v>
      </c>
      <c r="O170">
        <v>100</v>
      </c>
      <c r="P170">
        <v>2756.5</v>
      </c>
      <c r="Q170" t="s">
        <v>394</v>
      </c>
      <c r="R170" t="s">
        <v>289</v>
      </c>
      <c r="S170" t="s">
        <v>23</v>
      </c>
      <c r="T170" t="s">
        <v>23</v>
      </c>
      <c r="U170" t="s">
        <v>23</v>
      </c>
    </row>
    <row r="171" spans="1:21" x14ac:dyDescent="0.25">
      <c r="A171" t="s">
        <v>397</v>
      </c>
      <c r="B171" t="s">
        <v>21</v>
      </c>
      <c r="C171" t="s">
        <v>22</v>
      </c>
      <c r="D171" s="1" t="s">
        <v>22</v>
      </c>
      <c r="E171" t="s">
        <v>23</v>
      </c>
      <c r="F171" t="s">
        <v>24</v>
      </c>
      <c r="G171" t="s">
        <v>25</v>
      </c>
      <c r="H171" t="s">
        <v>23</v>
      </c>
      <c r="I171" t="s">
        <v>26</v>
      </c>
      <c r="J171" t="s">
        <v>398</v>
      </c>
      <c r="K171">
        <v>-12.317610999999999</v>
      </c>
      <c r="L171">
        <v>-76.8245</v>
      </c>
      <c r="M171" t="str">
        <f>HYPERLINK("https://www.google.com/maps/search/?api=1&amp;query=-12.317611,-76.8245","Punta Hermosa, Lima")</f>
        <v>Punta Hermosa, Lima</v>
      </c>
      <c r="N171">
        <v>0</v>
      </c>
      <c r="O171">
        <v>100</v>
      </c>
      <c r="P171">
        <v>2756.5</v>
      </c>
      <c r="Q171" t="s">
        <v>394</v>
      </c>
      <c r="R171" t="s">
        <v>23</v>
      </c>
      <c r="S171" t="s">
        <v>23</v>
      </c>
      <c r="T171" t="s">
        <v>23</v>
      </c>
      <c r="U171" t="s">
        <v>23</v>
      </c>
    </row>
    <row r="172" spans="1:21" x14ac:dyDescent="0.25">
      <c r="A172" t="s">
        <v>399</v>
      </c>
      <c r="B172" t="s">
        <v>21</v>
      </c>
      <c r="C172" t="s">
        <v>22</v>
      </c>
      <c r="D172" s="1" t="s">
        <v>22</v>
      </c>
      <c r="E172" t="s">
        <v>23</v>
      </c>
      <c r="F172" t="s">
        <v>24</v>
      </c>
      <c r="G172" t="s">
        <v>25</v>
      </c>
      <c r="H172" t="s">
        <v>23</v>
      </c>
      <c r="I172" t="s">
        <v>26</v>
      </c>
      <c r="J172" t="s">
        <v>400</v>
      </c>
      <c r="K172">
        <v>-12.317610999999999</v>
      </c>
      <c r="L172">
        <v>-76.8245</v>
      </c>
      <c r="M172" t="str">
        <f>HYPERLINK("https://www.google.com/maps/search/?api=1&amp;query=-12.317611,-76.8245","Punta Hermosa, Lima")</f>
        <v>Punta Hermosa, Lima</v>
      </c>
      <c r="N172">
        <v>0</v>
      </c>
      <c r="O172">
        <v>100</v>
      </c>
      <c r="P172">
        <v>2756.5</v>
      </c>
      <c r="Q172" t="s">
        <v>394</v>
      </c>
      <c r="R172" t="s">
        <v>87</v>
      </c>
      <c r="S172" t="s">
        <v>23</v>
      </c>
      <c r="T172" t="s">
        <v>23</v>
      </c>
      <c r="U172" t="s">
        <v>23</v>
      </c>
    </row>
    <row r="173" spans="1:21" x14ac:dyDescent="0.25">
      <c r="A173" t="s">
        <v>401</v>
      </c>
      <c r="B173" t="s">
        <v>21</v>
      </c>
      <c r="C173" t="s">
        <v>22</v>
      </c>
      <c r="D173" s="1" t="s">
        <v>22</v>
      </c>
      <c r="E173" t="s">
        <v>23</v>
      </c>
      <c r="F173" t="s">
        <v>24</v>
      </c>
      <c r="G173" t="s">
        <v>25</v>
      </c>
      <c r="H173" t="s">
        <v>23</v>
      </c>
      <c r="I173" t="s">
        <v>26</v>
      </c>
      <c r="J173" t="s">
        <v>402</v>
      </c>
      <c r="K173">
        <v>-12.317622999999999</v>
      </c>
      <c r="L173">
        <v>-76.824470000000005</v>
      </c>
      <c r="M173" t="str">
        <f>HYPERLINK("https://www.google.com/maps/search/?api=1&amp;query=-12.317623,-76.82447","Punta Hermosa, Lima")</f>
        <v>Punta Hermosa, Lima</v>
      </c>
      <c r="N173">
        <v>0.4</v>
      </c>
      <c r="O173">
        <v>100</v>
      </c>
      <c r="P173">
        <v>2756.5</v>
      </c>
      <c r="Q173" t="s">
        <v>394</v>
      </c>
      <c r="R173" t="s">
        <v>23</v>
      </c>
      <c r="S173" t="s">
        <v>23</v>
      </c>
      <c r="T173" t="s">
        <v>23</v>
      </c>
      <c r="U173" t="s">
        <v>23</v>
      </c>
    </row>
    <row r="174" spans="1:21" x14ac:dyDescent="0.25">
      <c r="A174" t="s">
        <v>403</v>
      </c>
      <c r="B174" t="s">
        <v>21</v>
      </c>
      <c r="C174" t="s">
        <v>22</v>
      </c>
      <c r="D174" s="1" t="s">
        <v>22</v>
      </c>
      <c r="E174" t="s">
        <v>23</v>
      </c>
      <c r="F174" t="s">
        <v>24</v>
      </c>
      <c r="G174" t="s">
        <v>25</v>
      </c>
      <c r="H174" t="s">
        <v>23</v>
      </c>
      <c r="I174" t="s">
        <v>26</v>
      </c>
      <c r="J174" t="s">
        <v>404</v>
      </c>
      <c r="K174">
        <v>-12.317625</v>
      </c>
      <c r="L174">
        <v>-76.824455</v>
      </c>
      <c r="M174" t="str">
        <f>HYPERLINK("https://www.google.com/maps/search/?api=1&amp;query=-12.317625,-76.824455","Punta Hermosa, Lima")</f>
        <v>Punta Hermosa, Lima</v>
      </c>
      <c r="N174">
        <v>0</v>
      </c>
      <c r="O174">
        <v>100</v>
      </c>
      <c r="P174">
        <v>2756.5</v>
      </c>
      <c r="Q174" t="s">
        <v>394</v>
      </c>
      <c r="R174" t="s">
        <v>23</v>
      </c>
      <c r="S174" t="s">
        <v>23</v>
      </c>
      <c r="T174" t="s">
        <v>23</v>
      </c>
      <c r="U174" t="s">
        <v>23</v>
      </c>
    </row>
    <row r="175" spans="1:21" x14ac:dyDescent="0.25">
      <c r="A175" t="s">
        <v>405</v>
      </c>
      <c r="B175" t="s">
        <v>21</v>
      </c>
      <c r="C175" t="s">
        <v>22</v>
      </c>
      <c r="D175" s="1" t="s">
        <v>22</v>
      </c>
      <c r="E175" t="s">
        <v>23</v>
      </c>
      <c r="F175" t="s">
        <v>24</v>
      </c>
      <c r="G175" t="s">
        <v>25</v>
      </c>
      <c r="H175" t="s">
        <v>23</v>
      </c>
      <c r="I175" t="s">
        <v>26</v>
      </c>
      <c r="J175" t="s">
        <v>406</v>
      </c>
      <c r="K175">
        <v>-12.317625</v>
      </c>
      <c r="L175">
        <v>-76.824455</v>
      </c>
      <c r="M175" t="str">
        <f>HYPERLINK("https://www.google.com/maps/search/?api=1&amp;query=-12.317625,-76.824455","Punta Hermosa, Lima")</f>
        <v>Punta Hermosa, Lima</v>
      </c>
      <c r="N175">
        <v>0</v>
      </c>
      <c r="O175">
        <v>100</v>
      </c>
      <c r="P175">
        <v>2756.5</v>
      </c>
      <c r="Q175" t="s">
        <v>394</v>
      </c>
      <c r="R175" t="s">
        <v>23</v>
      </c>
      <c r="S175" t="s">
        <v>23</v>
      </c>
      <c r="T175" t="s">
        <v>23</v>
      </c>
      <c r="U175" t="s">
        <v>23</v>
      </c>
    </row>
    <row r="176" spans="1:21" x14ac:dyDescent="0.25">
      <c r="A176" t="s">
        <v>407</v>
      </c>
      <c r="B176" t="s">
        <v>21</v>
      </c>
      <c r="C176" t="s">
        <v>22</v>
      </c>
      <c r="D176" s="1" t="s">
        <v>22</v>
      </c>
      <c r="E176" t="s">
        <v>23</v>
      </c>
      <c r="F176" t="s">
        <v>24</v>
      </c>
      <c r="G176" t="s">
        <v>25</v>
      </c>
      <c r="H176" t="s">
        <v>23</v>
      </c>
      <c r="I176" t="s">
        <v>26</v>
      </c>
      <c r="J176" t="s">
        <v>408</v>
      </c>
      <c r="K176">
        <v>-12.317625</v>
      </c>
      <c r="L176">
        <v>-76.824455</v>
      </c>
      <c r="M176" t="str">
        <f>HYPERLINK("https://www.google.com/maps/search/?api=1&amp;query=-12.317625,-76.824455","Punta Hermosa, Lima")</f>
        <v>Punta Hermosa, Lima</v>
      </c>
      <c r="N176">
        <v>0</v>
      </c>
      <c r="O176">
        <v>100</v>
      </c>
      <c r="P176">
        <v>2756.5</v>
      </c>
      <c r="Q176" t="s">
        <v>409</v>
      </c>
      <c r="R176" t="s">
        <v>23</v>
      </c>
      <c r="S176" t="s">
        <v>23</v>
      </c>
      <c r="T176" t="s">
        <v>23</v>
      </c>
      <c r="U176" t="s">
        <v>23</v>
      </c>
    </row>
    <row r="177" spans="1:21" x14ac:dyDescent="0.25">
      <c r="A177" t="s">
        <v>410</v>
      </c>
      <c r="B177" t="s">
        <v>21</v>
      </c>
      <c r="C177" t="s">
        <v>22</v>
      </c>
      <c r="D177" s="1" t="s">
        <v>22</v>
      </c>
      <c r="E177" t="s">
        <v>23</v>
      </c>
      <c r="F177" t="s">
        <v>24</v>
      </c>
      <c r="G177" t="s">
        <v>25</v>
      </c>
      <c r="H177" t="s">
        <v>23</v>
      </c>
      <c r="I177" t="s">
        <v>26</v>
      </c>
      <c r="J177" t="s">
        <v>411</v>
      </c>
      <c r="K177">
        <v>-12.316019000000001</v>
      </c>
      <c r="L177">
        <v>-76.825500000000005</v>
      </c>
      <c r="M177" t="str">
        <f>HYPERLINK("https://www.google.com/maps/search/?api=1&amp;query=-12.316019,-76.8255","Punta Hermosa, Lima")</f>
        <v>Punta Hermosa, Lima</v>
      </c>
      <c r="N177">
        <v>17.899999999999999</v>
      </c>
      <c r="O177">
        <v>100</v>
      </c>
      <c r="P177">
        <v>2756.5</v>
      </c>
      <c r="Q177" t="s">
        <v>412</v>
      </c>
      <c r="R177" t="s">
        <v>23</v>
      </c>
      <c r="S177" t="s">
        <v>23</v>
      </c>
      <c r="T177" t="s">
        <v>23</v>
      </c>
      <c r="U177" t="s">
        <v>23</v>
      </c>
    </row>
    <row r="178" spans="1:21" x14ac:dyDescent="0.25">
      <c r="A178" t="s">
        <v>413</v>
      </c>
      <c r="B178" t="s">
        <v>21</v>
      </c>
      <c r="C178" t="s">
        <v>22</v>
      </c>
      <c r="D178" s="1" t="s">
        <v>22</v>
      </c>
      <c r="E178" t="s">
        <v>23</v>
      </c>
      <c r="F178" t="s">
        <v>24</v>
      </c>
      <c r="G178" t="s">
        <v>25</v>
      </c>
      <c r="H178" t="s">
        <v>23</v>
      </c>
      <c r="I178" t="s">
        <v>26</v>
      </c>
      <c r="J178" t="s">
        <v>414</v>
      </c>
      <c r="K178">
        <v>-12.315374</v>
      </c>
      <c r="L178">
        <v>-76.825999999999993</v>
      </c>
      <c r="M178" t="str">
        <f>HYPERLINK("https://www.google.com/maps/search/?api=1&amp;query=-12.315374,-76.826","Punta Hermosa, Lima")</f>
        <v>Punta Hermosa, Lima</v>
      </c>
      <c r="N178">
        <v>12.6</v>
      </c>
      <c r="O178">
        <v>100</v>
      </c>
      <c r="P178">
        <v>2756.7</v>
      </c>
      <c r="Q178" t="s">
        <v>415</v>
      </c>
      <c r="R178" t="s">
        <v>23</v>
      </c>
      <c r="S178" t="s">
        <v>23</v>
      </c>
      <c r="T178" t="s">
        <v>23</v>
      </c>
      <c r="U178" t="s">
        <v>23</v>
      </c>
    </row>
    <row r="179" spans="1:21" x14ac:dyDescent="0.25">
      <c r="A179" t="s">
        <v>416</v>
      </c>
      <c r="B179" t="s">
        <v>21</v>
      </c>
      <c r="C179" t="s">
        <v>22</v>
      </c>
      <c r="D179" s="1" t="s">
        <v>22</v>
      </c>
      <c r="E179" t="s">
        <v>23</v>
      </c>
      <c r="F179" t="s">
        <v>24</v>
      </c>
      <c r="G179" t="s">
        <v>25</v>
      </c>
      <c r="H179" t="s">
        <v>23</v>
      </c>
      <c r="I179" t="s">
        <v>26</v>
      </c>
      <c r="J179" t="s">
        <v>417</v>
      </c>
      <c r="K179">
        <v>-12.315422999999999</v>
      </c>
      <c r="L179">
        <v>-76.826189999999997</v>
      </c>
      <c r="M179" t="str">
        <f>HYPERLINK("https://www.google.com/maps/search/?api=1&amp;query=-12.315423,-76.82619","Punta Hermosa, Lima")</f>
        <v>Punta Hermosa, Lima</v>
      </c>
      <c r="N179">
        <v>13.4</v>
      </c>
      <c r="O179">
        <v>100</v>
      </c>
      <c r="P179">
        <v>2756.7</v>
      </c>
      <c r="Q179" t="s">
        <v>415</v>
      </c>
      <c r="R179" t="s">
        <v>23</v>
      </c>
      <c r="S179" t="s">
        <v>23</v>
      </c>
      <c r="T179" t="s">
        <v>23</v>
      </c>
      <c r="U179" t="s">
        <v>23</v>
      </c>
    </row>
    <row r="180" spans="1:21" x14ac:dyDescent="0.25">
      <c r="A180" t="s">
        <v>418</v>
      </c>
      <c r="B180" t="s">
        <v>21</v>
      </c>
      <c r="C180" t="s">
        <v>22</v>
      </c>
      <c r="D180" s="1" t="s">
        <v>22</v>
      </c>
      <c r="E180" t="s">
        <v>23</v>
      </c>
      <c r="F180" t="s">
        <v>24</v>
      </c>
      <c r="G180" t="s">
        <v>25</v>
      </c>
      <c r="H180" t="s">
        <v>23</v>
      </c>
      <c r="I180" t="s">
        <v>26</v>
      </c>
      <c r="J180" t="s">
        <v>419</v>
      </c>
      <c r="K180">
        <v>-12.316101</v>
      </c>
      <c r="L180">
        <v>-76.827309999999997</v>
      </c>
      <c r="M180" t="str">
        <f>HYPERLINK("https://www.google.com/maps/search/?api=1&amp;query=-12.316101,-76.82731","Punta Hermosa, Lima")</f>
        <v>Punta Hermosa, Lima</v>
      </c>
      <c r="N180">
        <v>17.399999999999999</v>
      </c>
      <c r="O180">
        <v>100</v>
      </c>
      <c r="P180">
        <v>2756.7</v>
      </c>
      <c r="Q180" t="s">
        <v>415</v>
      </c>
      <c r="R180" t="s">
        <v>23</v>
      </c>
      <c r="S180" t="s">
        <v>23</v>
      </c>
      <c r="T180" t="s">
        <v>23</v>
      </c>
      <c r="U180" t="s">
        <v>23</v>
      </c>
    </row>
    <row r="181" spans="1:21" x14ac:dyDescent="0.25">
      <c r="A181" t="s">
        <v>420</v>
      </c>
      <c r="B181" t="s">
        <v>21</v>
      </c>
      <c r="C181" t="s">
        <v>22</v>
      </c>
      <c r="D181" s="1" t="s">
        <v>22</v>
      </c>
      <c r="E181" t="s">
        <v>23</v>
      </c>
      <c r="F181" t="s">
        <v>24</v>
      </c>
      <c r="G181" t="s">
        <v>25</v>
      </c>
      <c r="H181" t="s">
        <v>23</v>
      </c>
      <c r="I181" t="s">
        <v>26</v>
      </c>
      <c r="J181" t="s">
        <v>421</v>
      </c>
      <c r="K181">
        <v>-12.317091</v>
      </c>
      <c r="L181">
        <v>-76.828950000000006</v>
      </c>
      <c r="M181" t="str">
        <f>HYPERLINK("https://www.google.com/maps/search/?api=1&amp;query=-12.317091,-76.82895","Punta Hermosa, Lima")</f>
        <v>Punta Hermosa, Lima</v>
      </c>
      <c r="N181">
        <v>0</v>
      </c>
      <c r="O181">
        <v>100</v>
      </c>
      <c r="P181">
        <v>2757.2</v>
      </c>
      <c r="Q181" t="s">
        <v>422</v>
      </c>
      <c r="R181" t="s">
        <v>23</v>
      </c>
      <c r="S181" t="s">
        <v>23</v>
      </c>
      <c r="T181" t="s">
        <v>23</v>
      </c>
      <c r="U181" t="s">
        <v>23</v>
      </c>
    </row>
    <row r="182" spans="1:21" x14ac:dyDescent="0.25">
      <c r="A182" t="s">
        <v>423</v>
      </c>
      <c r="B182" t="s">
        <v>21</v>
      </c>
      <c r="C182" t="s">
        <v>22</v>
      </c>
      <c r="D182" s="1" t="s">
        <v>22</v>
      </c>
      <c r="E182" t="s">
        <v>23</v>
      </c>
      <c r="F182" t="s">
        <v>24</v>
      </c>
      <c r="G182" t="s">
        <v>25</v>
      </c>
      <c r="H182" t="s">
        <v>23</v>
      </c>
      <c r="I182" t="s">
        <v>26</v>
      </c>
      <c r="J182" t="s">
        <v>424</v>
      </c>
      <c r="K182">
        <v>-12.317310000000001</v>
      </c>
      <c r="L182">
        <v>-76.829279999999997</v>
      </c>
      <c r="M182" t="str">
        <f>HYPERLINK("https://www.google.com/maps/search/?api=1&amp;query=-12.31731,-76.82928","Punta Hermosa, Lima")</f>
        <v>Punta Hermosa, Lima</v>
      </c>
      <c r="N182">
        <v>9.9</v>
      </c>
      <c r="O182">
        <v>100</v>
      </c>
      <c r="P182">
        <v>2757.2</v>
      </c>
      <c r="Q182" t="s">
        <v>422</v>
      </c>
      <c r="R182" t="s">
        <v>23</v>
      </c>
      <c r="S182" t="s">
        <v>23</v>
      </c>
      <c r="T182" t="s">
        <v>23</v>
      </c>
      <c r="U182" t="s">
        <v>23</v>
      </c>
    </row>
    <row r="183" spans="1:21" x14ac:dyDescent="0.25">
      <c r="A183" t="s">
        <v>425</v>
      </c>
      <c r="B183" t="s">
        <v>21</v>
      </c>
      <c r="C183" t="s">
        <v>22</v>
      </c>
      <c r="D183" s="1" t="s">
        <v>22</v>
      </c>
      <c r="E183" t="s">
        <v>23</v>
      </c>
      <c r="F183" t="s">
        <v>24</v>
      </c>
      <c r="G183" t="s">
        <v>25</v>
      </c>
      <c r="H183" t="s">
        <v>23</v>
      </c>
      <c r="I183" t="s">
        <v>26</v>
      </c>
      <c r="J183" t="s">
        <v>426</v>
      </c>
      <c r="K183">
        <v>-12.317529</v>
      </c>
      <c r="L183">
        <v>-76.829859999999996</v>
      </c>
      <c r="M183" t="str">
        <f>HYPERLINK("https://www.google.com/maps/search/?api=1&amp;query=-12.317529,-76.82986","Punta Hermosa, Lima")</f>
        <v>Punta Hermosa, Lima</v>
      </c>
      <c r="N183">
        <v>18.2</v>
      </c>
      <c r="O183">
        <v>100</v>
      </c>
      <c r="P183">
        <v>2757.2</v>
      </c>
      <c r="Q183" t="s">
        <v>422</v>
      </c>
      <c r="R183" t="s">
        <v>23</v>
      </c>
      <c r="S183" t="s">
        <v>23</v>
      </c>
      <c r="T183" t="s">
        <v>23</v>
      </c>
      <c r="U183" t="s">
        <v>23</v>
      </c>
    </row>
    <row r="184" spans="1:21" x14ac:dyDescent="0.25">
      <c r="A184" t="s">
        <v>427</v>
      </c>
      <c r="B184" t="s">
        <v>21</v>
      </c>
      <c r="C184" t="s">
        <v>22</v>
      </c>
      <c r="D184" s="1" t="s">
        <v>22</v>
      </c>
      <c r="E184" t="s">
        <v>23</v>
      </c>
      <c r="F184" t="s">
        <v>24</v>
      </c>
      <c r="G184" t="s">
        <v>25</v>
      </c>
      <c r="H184" t="s">
        <v>23</v>
      </c>
      <c r="I184" t="s">
        <v>26</v>
      </c>
      <c r="J184" t="s">
        <v>426</v>
      </c>
      <c r="K184">
        <v>-12.317529</v>
      </c>
      <c r="L184">
        <v>-76.829859999999996</v>
      </c>
      <c r="M184" t="str">
        <f>HYPERLINK("https://www.google.com/maps/search/?api=1&amp;query=-12.317529,-76.82986","Punta Hermosa, Lima")</f>
        <v>Punta Hermosa, Lima</v>
      </c>
      <c r="N184">
        <v>18.2</v>
      </c>
      <c r="O184">
        <v>100</v>
      </c>
      <c r="P184">
        <v>2757.2</v>
      </c>
      <c r="Q184" t="s">
        <v>422</v>
      </c>
      <c r="R184" t="s">
        <v>105</v>
      </c>
      <c r="S184" t="s">
        <v>251</v>
      </c>
      <c r="T184" t="s">
        <v>82</v>
      </c>
      <c r="U184" t="s">
        <v>23</v>
      </c>
    </row>
    <row r="185" spans="1:21" x14ac:dyDescent="0.25">
      <c r="A185" t="s">
        <v>428</v>
      </c>
      <c r="B185" t="s">
        <v>21</v>
      </c>
      <c r="C185" t="s">
        <v>22</v>
      </c>
      <c r="D185" s="1" t="s">
        <v>22</v>
      </c>
      <c r="E185" t="s">
        <v>23</v>
      </c>
      <c r="F185" t="s">
        <v>24</v>
      </c>
      <c r="G185" t="s">
        <v>25</v>
      </c>
      <c r="H185" t="s">
        <v>23</v>
      </c>
      <c r="I185" t="s">
        <v>26</v>
      </c>
      <c r="J185" t="s">
        <v>429</v>
      </c>
      <c r="K185">
        <v>-12.317261</v>
      </c>
      <c r="L185">
        <v>-76.830410000000001</v>
      </c>
      <c r="M185" t="str">
        <f>HYPERLINK("https://www.google.com/maps/search/?api=1&amp;query=-12.317261,-76.83041","Carretera Panamericana Sur, Punta Hermosa, Lima")</f>
        <v>Carretera Panamericana Sur, Punta Hermosa, Lima</v>
      </c>
      <c r="N185">
        <v>23.1</v>
      </c>
      <c r="O185">
        <v>100</v>
      </c>
      <c r="P185">
        <v>2757.2</v>
      </c>
      <c r="Q185" t="s">
        <v>422</v>
      </c>
      <c r="R185" t="s">
        <v>23</v>
      </c>
      <c r="S185" t="s">
        <v>23</v>
      </c>
      <c r="T185" t="s">
        <v>23</v>
      </c>
      <c r="U185" t="s">
        <v>23</v>
      </c>
    </row>
    <row r="186" spans="1:21" x14ac:dyDescent="0.25">
      <c r="A186" t="s">
        <v>430</v>
      </c>
      <c r="B186" t="s">
        <v>21</v>
      </c>
      <c r="C186" t="s">
        <v>22</v>
      </c>
      <c r="D186" s="1" t="s">
        <v>22</v>
      </c>
      <c r="E186" t="s">
        <v>23</v>
      </c>
      <c r="F186" t="s">
        <v>24</v>
      </c>
      <c r="G186" t="s">
        <v>25</v>
      </c>
      <c r="H186" t="s">
        <v>23</v>
      </c>
      <c r="I186" t="s">
        <v>26</v>
      </c>
      <c r="J186" t="s">
        <v>431</v>
      </c>
      <c r="K186">
        <v>-12.316641000000001</v>
      </c>
      <c r="L186">
        <v>-76.831019999999995</v>
      </c>
      <c r="M186" t="str">
        <f>HYPERLINK("https://www.google.com/maps/search/?api=1&amp;query=-12.316641,-76.83102","Carretera Panamericana Sur, Punta Hermosa, Lima")</f>
        <v>Carretera Panamericana Sur, Punta Hermosa, Lima</v>
      </c>
      <c r="N186">
        <v>15.8</v>
      </c>
      <c r="O186">
        <v>100</v>
      </c>
      <c r="P186">
        <v>2757.3</v>
      </c>
      <c r="Q186" t="s">
        <v>422</v>
      </c>
      <c r="R186" t="s">
        <v>23</v>
      </c>
      <c r="S186" t="s">
        <v>23</v>
      </c>
      <c r="T186" t="s">
        <v>23</v>
      </c>
      <c r="U186" t="s">
        <v>23</v>
      </c>
    </row>
    <row r="187" spans="1:21" x14ac:dyDescent="0.25">
      <c r="A187" t="s">
        <v>432</v>
      </c>
      <c r="B187" t="s">
        <v>21</v>
      </c>
      <c r="C187" t="s">
        <v>22</v>
      </c>
      <c r="D187" s="1" t="s">
        <v>22</v>
      </c>
      <c r="E187" t="s">
        <v>23</v>
      </c>
      <c r="F187" t="s">
        <v>24</v>
      </c>
      <c r="G187" t="s">
        <v>25</v>
      </c>
      <c r="H187" t="s">
        <v>23</v>
      </c>
      <c r="I187" t="s">
        <v>26</v>
      </c>
      <c r="J187" t="s">
        <v>433</v>
      </c>
      <c r="K187">
        <v>-12.310895</v>
      </c>
      <c r="L187">
        <v>-76.834914999999995</v>
      </c>
      <c r="M187" t="str">
        <f>HYPERLINK("https://www.google.com/maps/search/?api=1&amp;query=-12.310895,-76.834915","Carretera Panamericana Sur, Punta Hermosa, Lima")</f>
        <v>Carretera Panamericana Sur, Punta Hermosa, Lima</v>
      </c>
      <c r="N187">
        <v>56.9</v>
      </c>
      <c r="O187">
        <v>100</v>
      </c>
      <c r="P187">
        <v>2758.3</v>
      </c>
      <c r="Q187" t="s">
        <v>434</v>
      </c>
      <c r="R187" t="s">
        <v>23</v>
      </c>
      <c r="S187" t="s">
        <v>23</v>
      </c>
      <c r="T187" t="s">
        <v>23</v>
      </c>
      <c r="U187" t="s">
        <v>23</v>
      </c>
    </row>
    <row r="188" spans="1:21" x14ac:dyDescent="0.25">
      <c r="A188" t="s">
        <v>435</v>
      </c>
      <c r="B188" t="s">
        <v>21</v>
      </c>
      <c r="C188" t="s">
        <v>22</v>
      </c>
      <c r="D188" s="1" t="s">
        <v>22</v>
      </c>
      <c r="E188" t="s">
        <v>23</v>
      </c>
      <c r="F188" t="s">
        <v>24</v>
      </c>
      <c r="G188" t="s">
        <v>25</v>
      </c>
      <c r="H188" t="s">
        <v>23</v>
      </c>
      <c r="I188" t="s">
        <v>26</v>
      </c>
      <c r="J188" t="s">
        <v>436</v>
      </c>
      <c r="K188">
        <v>-12.303611999999999</v>
      </c>
      <c r="L188">
        <v>-76.841480000000004</v>
      </c>
      <c r="M188" t="str">
        <f>HYPERLINK("https://www.google.com/maps/search/?api=1&amp;query=-12.303612,-76.84148","Carretera Panamericana Sur, Lurín, Lima")</f>
        <v>Carretera Panamericana Sur, Lurín, Lima</v>
      </c>
      <c r="N188">
        <v>70.099999999999994</v>
      </c>
      <c r="O188">
        <v>100</v>
      </c>
      <c r="P188">
        <v>2758.3</v>
      </c>
      <c r="Q188" t="s">
        <v>434</v>
      </c>
      <c r="R188" t="s">
        <v>23</v>
      </c>
      <c r="S188" t="s">
        <v>23</v>
      </c>
      <c r="T188" t="s">
        <v>23</v>
      </c>
      <c r="U188" t="s">
        <v>23</v>
      </c>
    </row>
    <row r="189" spans="1:21" x14ac:dyDescent="0.25">
      <c r="A189" t="s">
        <v>437</v>
      </c>
      <c r="B189" t="s">
        <v>21</v>
      </c>
      <c r="C189" t="s">
        <v>22</v>
      </c>
      <c r="D189" s="1" t="s">
        <v>22</v>
      </c>
      <c r="E189" t="s">
        <v>23</v>
      </c>
      <c r="F189" t="s">
        <v>24</v>
      </c>
      <c r="G189" t="s">
        <v>25</v>
      </c>
      <c r="H189" t="s">
        <v>23</v>
      </c>
      <c r="I189" t="s">
        <v>26</v>
      </c>
      <c r="J189" t="s">
        <v>438</v>
      </c>
      <c r="K189">
        <v>-12.29908</v>
      </c>
      <c r="L189">
        <v>-76.851100000000002</v>
      </c>
      <c r="M189" t="str">
        <f>HYPERLINK("https://www.google.com/maps/search/?api=1&amp;query=-12.29908,-76.8511","Carretera Panamericana Sur, Lurín, Lima")</f>
        <v>Carretera Panamericana Sur, Lurín, Lima</v>
      </c>
      <c r="N189">
        <v>69</v>
      </c>
      <c r="O189">
        <v>100</v>
      </c>
      <c r="P189">
        <v>2760.5</v>
      </c>
      <c r="Q189" t="s">
        <v>439</v>
      </c>
      <c r="R189" t="s">
        <v>23</v>
      </c>
      <c r="S189" t="s">
        <v>23</v>
      </c>
      <c r="T189" t="s">
        <v>23</v>
      </c>
      <c r="U189" t="s">
        <v>23</v>
      </c>
    </row>
    <row r="190" spans="1:21" x14ac:dyDescent="0.25">
      <c r="A190" t="s">
        <v>440</v>
      </c>
      <c r="B190" t="s">
        <v>21</v>
      </c>
      <c r="C190" t="s">
        <v>22</v>
      </c>
      <c r="D190" s="1" t="s">
        <v>22</v>
      </c>
      <c r="E190" t="s">
        <v>23</v>
      </c>
      <c r="F190" t="s">
        <v>24</v>
      </c>
      <c r="G190" t="s">
        <v>25</v>
      </c>
      <c r="H190" t="s">
        <v>23</v>
      </c>
      <c r="I190" t="s">
        <v>26</v>
      </c>
      <c r="J190" t="s">
        <v>441</v>
      </c>
      <c r="K190">
        <v>-12.293856999999999</v>
      </c>
      <c r="L190">
        <v>-76.861469999999997</v>
      </c>
      <c r="M190" t="str">
        <f>HYPERLINK("https://www.google.com/maps/search/?api=1&amp;query=-12.293857,-76.86147","Carretera Panamericana Sur, Lurín, Lima")</f>
        <v>Carretera Panamericana Sur, Lurín, Lima</v>
      </c>
      <c r="N190">
        <v>77.099999999999994</v>
      </c>
      <c r="O190">
        <v>100</v>
      </c>
      <c r="P190">
        <v>2761.8</v>
      </c>
      <c r="Q190" t="s">
        <v>442</v>
      </c>
      <c r="R190" t="s">
        <v>23</v>
      </c>
      <c r="S190" t="s">
        <v>23</v>
      </c>
      <c r="T190" t="s">
        <v>23</v>
      </c>
      <c r="U190" t="s">
        <v>23</v>
      </c>
    </row>
    <row r="191" spans="1:21" x14ac:dyDescent="0.25">
      <c r="A191" t="s">
        <v>443</v>
      </c>
      <c r="B191" t="s">
        <v>21</v>
      </c>
      <c r="C191" t="s">
        <v>22</v>
      </c>
      <c r="D191" s="1" t="s">
        <v>22</v>
      </c>
      <c r="E191" t="s">
        <v>23</v>
      </c>
      <c r="F191" t="s">
        <v>24</v>
      </c>
      <c r="G191" t="s">
        <v>25</v>
      </c>
      <c r="H191" t="s">
        <v>23</v>
      </c>
      <c r="I191" t="s">
        <v>26</v>
      </c>
      <c r="J191" t="s">
        <v>444</v>
      </c>
      <c r="K191">
        <v>-12.282598</v>
      </c>
      <c r="L191">
        <v>-76.879419999999996</v>
      </c>
      <c r="M191" t="str">
        <f>HYPERLINK("https://www.google.com/maps/search/?api=1&amp;query=-12.282598,-76.87942","Carretera Panamericana Sur, Lurín, Lima")</f>
        <v>Carretera Panamericana Sur, Lurín, Lima</v>
      </c>
      <c r="N191">
        <v>85.5</v>
      </c>
      <c r="O191">
        <v>100</v>
      </c>
      <c r="P191">
        <v>2763.1</v>
      </c>
      <c r="Q191" t="s">
        <v>445</v>
      </c>
      <c r="R191" t="s">
        <v>187</v>
      </c>
      <c r="S191" t="s">
        <v>23</v>
      </c>
      <c r="T191" t="s">
        <v>23</v>
      </c>
      <c r="U191" t="s">
        <v>23</v>
      </c>
    </row>
    <row r="192" spans="1:21" x14ac:dyDescent="0.25">
      <c r="A192" t="s">
        <v>446</v>
      </c>
      <c r="B192" t="s">
        <v>21</v>
      </c>
      <c r="C192" t="s">
        <v>22</v>
      </c>
      <c r="D192" s="1" t="s">
        <v>22</v>
      </c>
      <c r="E192" t="s">
        <v>23</v>
      </c>
      <c r="F192" t="s">
        <v>24</v>
      </c>
      <c r="G192" t="s">
        <v>25</v>
      </c>
      <c r="H192" t="s">
        <v>23</v>
      </c>
      <c r="I192" t="s">
        <v>26</v>
      </c>
      <c r="J192" t="s">
        <v>447</v>
      </c>
      <c r="K192">
        <v>-12.281553000000001</v>
      </c>
      <c r="L192">
        <v>-76.881079999999997</v>
      </c>
      <c r="M192" t="str">
        <f>HYPERLINK("https://www.google.com/maps/search/?api=1&amp;query=-12.281553,-76.88108","Carretera Panamericana Sur, Lurín, Lima")</f>
        <v>Carretera Panamericana Sur, Lurín, Lima</v>
      </c>
      <c r="N192">
        <v>85.6</v>
      </c>
      <c r="O192">
        <v>100</v>
      </c>
      <c r="P192">
        <v>2763.1</v>
      </c>
      <c r="Q192" t="s">
        <v>445</v>
      </c>
      <c r="R192" t="s">
        <v>23</v>
      </c>
      <c r="S192" t="s">
        <v>23</v>
      </c>
      <c r="T192" t="s">
        <v>23</v>
      </c>
      <c r="U192" t="s">
        <v>23</v>
      </c>
    </row>
    <row r="193" spans="1:21" x14ac:dyDescent="0.25">
      <c r="A193" t="s">
        <v>448</v>
      </c>
      <c r="B193" t="s">
        <v>21</v>
      </c>
      <c r="C193" t="s">
        <v>22</v>
      </c>
      <c r="D193" s="1" t="s">
        <v>22</v>
      </c>
      <c r="E193" t="s">
        <v>23</v>
      </c>
      <c r="F193" t="s">
        <v>24</v>
      </c>
      <c r="G193" t="s">
        <v>25</v>
      </c>
      <c r="H193" t="s">
        <v>23</v>
      </c>
      <c r="I193" t="s">
        <v>26</v>
      </c>
      <c r="J193" t="s">
        <v>449</v>
      </c>
      <c r="K193">
        <v>-12.275679</v>
      </c>
      <c r="L193">
        <v>-76.890450000000001</v>
      </c>
      <c r="M193" t="str">
        <f>HYPERLINK("https://www.google.com/maps/search/?api=1&amp;query=-12.275679,-76.89045","Carretera Panamericana Sur, Lurín, Lima")</f>
        <v>Carretera Panamericana Sur, Lurín, Lima</v>
      </c>
      <c r="N193">
        <v>76.7</v>
      </c>
      <c r="O193">
        <v>100</v>
      </c>
      <c r="P193">
        <v>2765.6</v>
      </c>
      <c r="Q193" t="s">
        <v>450</v>
      </c>
      <c r="R193" t="s">
        <v>23</v>
      </c>
      <c r="S193" t="s">
        <v>23</v>
      </c>
      <c r="T193" t="s">
        <v>23</v>
      </c>
      <c r="U193" t="s">
        <v>23</v>
      </c>
    </row>
    <row r="194" spans="1:21" x14ac:dyDescent="0.25">
      <c r="A194" t="s">
        <v>451</v>
      </c>
      <c r="B194" t="s">
        <v>21</v>
      </c>
      <c r="C194" t="s">
        <v>22</v>
      </c>
      <c r="D194" s="1" t="s">
        <v>22</v>
      </c>
      <c r="E194" t="s">
        <v>23</v>
      </c>
      <c r="F194" t="s">
        <v>24</v>
      </c>
      <c r="G194" t="s">
        <v>25</v>
      </c>
      <c r="H194" t="s">
        <v>23</v>
      </c>
      <c r="I194" t="s">
        <v>26</v>
      </c>
      <c r="J194" t="s">
        <v>452</v>
      </c>
      <c r="K194">
        <v>-12.274058999999999</v>
      </c>
      <c r="L194">
        <v>-76.893029999999996</v>
      </c>
      <c r="M194" t="str">
        <f>HYPERLINK("https://www.google.com/maps/search/?api=1&amp;query=-12.274059,-76.89303","Carretera Panamericana Sur, Lurín, Lima")</f>
        <v>Carretera Panamericana Sur, Lurín, Lima</v>
      </c>
      <c r="N194">
        <v>81.8</v>
      </c>
      <c r="O194">
        <v>100</v>
      </c>
      <c r="P194">
        <v>2765.6</v>
      </c>
      <c r="Q194" t="s">
        <v>450</v>
      </c>
      <c r="R194" t="s">
        <v>187</v>
      </c>
      <c r="S194" t="s">
        <v>23</v>
      </c>
      <c r="T194" t="s">
        <v>23</v>
      </c>
      <c r="U194" t="s">
        <v>23</v>
      </c>
    </row>
    <row r="195" spans="1:21" x14ac:dyDescent="0.25">
      <c r="A195" t="s">
        <v>453</v>
      </c>
      <c r="B195" t="s">
        <v>21</v>
      </c>
      <c r="C195" t="s">
        <v>22</v>
      </c>
      <c r="D195" s="1" t="s">
        <v>22</v>
      </c>
      <c r="E195" t="s">
        <v>23</v>
      </c>
      <c r="F195" t="s">
        <v>24</v>
      </c>
      <c r="G195" t="s">
        <v>25</v>
      </c>
      <c r="H195" t="s">
        <v>23</v>
      </c>
      <c r="I195" t="s">
        <v>26</v>
      </c>
      <c r="J195" t="s">
        <v>454</v>
      </c>
      <c r="K195">
        <v>-12.269356</v>
      </c>
      <c r="L195">
        <v>-76.900450000000006</v>
      </c>
      <c r="M195" t="str">
        <f>HYPERLINK("https://www.google.com/maps/search/?api=1&amp;query=-12.269356,-76.90045","Carretera Panamericana Sur, Lurín, Lima")</f>
        <v>Carretera Panamericana Sur, Lurín, Lima</v>
      </c>
      <c r="N195">
        <v>73</v>
      </c>
      <c r="O195">
        <v>100</v>
      </c>
      <c r="P195">
        <v>2765.6</v>
      </c>
      <c r="Q195" t="s">
        <v>450</v>
      </c>
      <c r="R195" t="s">
        <v>23</v>
      </c>
      <c r="S195" t="s">
        <v>23</v>
      </c>
      <c r="T195" t="s">
        <v>23</v>
      </c>
      <c r="U195" t="s">
        <v>23</v>
      </c>
    </row>
    <row r="196" spans="1:21" x14ac:dyDescent="0.25">
      <c r="A196" t="s">
        <v>455</v>
      </c>
      <c r="B196" t="s">
        <v>21</v>
      </c>
      <c r="C196" t="s">
        <v>22</v>
      </c>
      <c r="D196" s="1" t="s">
        <v>22</v>
      </c>
      <c r="E196" t="s">
        <v>23</v>
      </c>
      <c r="F196" t="s">
        <v>24</v>
      </c>
      <c r="G196" t="s">
        <v>25</v>
      </c>
      <c r="H196" t="s">
        <v>23</v>
      </c>
      <c r="I196" t="s">
        <v>26</v>
      </c>
      <c r="J196" t="s">
        <v>456</v>
      </c>
      <c r="K196">
        <v>-12.263260000000001</v>
      </c>
      <c r="L196">
        <v>-76.910150000000002</v>
      </c>
      <c r="M196" t="str">
        <f>HYPERLINK("https://www.google.com/maps/search/?api=1&amp;query=-12.26326,-76.91015","Carretera Panamericana Sur, Lurín, Lima")</f>
        <v>Carretera Panamericana Sur, Lurín, Lima</v>
      </c>
      <c r="N196">
        <v>66.3</v>
      </c>
      <c r="O196">
        <v>100</v>
      </c>
      <c r="P196">
        <v>2766.9</v>
      </c>
      <c r="Q196" t="s">
        <v>457</v>
      </c>
      <c r="R196" t="s">
        <v>23</v>
      </c>
      <c r="S196" t="s">
        <v>23</v>
      </c>
      <c r="T196" t="s">
        <v>23</v>
      </c>
      <c r="U196" t="s">
        <v>23</v>
      </c>
    </row>
    <row r="197" spans="1:21" x14ac:dyDescent="0.25">
      <c r="A197" t="s">
        <v>458</v>
      </c>
      <c r="B197" t="s">
        <v>21</v>
      </c>
      <c r="C197" t="s">
        <v>22</v>
      </c>
      <c r="D197" s="1" t="s">
        <v>22</v>
      </c>
      <c r="E197" t="s">
        <v>23</v>
      </c>
      <c r="F197" t="s">
        <v>24</v>
      </c>
      <c r="G197" t="s">
        <v>25</v>
      </c>
      <c r="H197" t="s">
        <v>23</v>
      </c>
      <c r="I197" t="s">
        <v>26</v>
      </c>
      <c r="J197" t="s">
        <v>459</v>
      </c>
      <c r="K197">
        <v>-12.257778</v>
      </c>
      <c r="L197">
        <v>-76.918800000000005</v>
      </c>
      <c r="M197" t="str">
        <f>HYPERLINK("https://www.google.com/maps/search/?api=1&amp;query=-12.257778,-76.9188","Carretera Panamericana Sur, Lurín, Lima")</f>
        <v>Carretera Panamericana Sur, Lurín, Lima</v>
      </c>
      <c r="N197">
        <v>60.1</v>
      </c>
      <c r="O197">
        <v>100</v>
      </c>
      <c r="P197">
        <v>2769.3</v>
      </c>
      <c r="Q197" t="s">
        <v>460</v>
      </c>
      <c r="R197" t="s">
        <v>23</v>
      </c>
      <c r="S197" t="s">
        <v>23</v>
      </c>
      <c r="T197" t="s">
        <v>23</v>
      </c>
      <c r="U197" t="s">
        <v>23</v>
      </c>
    </row>
    <row r="198" spans="1:21" x14ac:dyDescent="0.25">
      <c r="A198" t="s">
        <v>461</v>
      </c>
      <c r="B198" t="s">
        <v>21</v>
      </c>
      <c r="C198" t="s">
        <v>22</v>
      </c>
      <c r="D198" s="1" t="s">
        <v>22</v>
      </c>
      <c r="E198" t="s">
        <v>23</v>
      </c>
      <c r="F198" t="s">
        <v>24</v>
      </c>
      <c r="G198" t="s">
        <v>25</v>
      </c>
      <c r="H198" t="s">
        <v>23</v>
      </c>
      <c r="I198" t="s">
        <v>26</v>
      </c>
      <c r="J198" t="s">
        <v>462</v>
      </c>
      <c r="K198">
        <v>-12.255584000000001</v>
      </c>
      <c r="L198">
        <v>-76.920906000000002</v>
      </c>
      <c r="M198" t="str">
        <f>HYPERLINK("https://www.google.com/maps/search/?api=1&amp;query=-12.255584,-76.920906","Lurín, Lima")</f>
        <v>Lurín, Lima</v>
      </c>
      <c r="N198">
        <v>36.200000000000003</v>
      </c>
      <c r="O198">
        <v>100</v>
      </c>
      <c r="P198">
        <v>2769.3</v>
      </c>
      <c r="Q198" t="s">
        <v>460</v>
      </c>
      <c r="R198" t="s">
        <v>23</v>
      </c>
      <c r="S198" t="s">
        <v>23</v>
      </c>
      <c r="T198" t="s">
        <v>23</v>
      </c>
      <c r="U198" t="s">
        <v>23</v>
      </c>
    </row>
    <row r="199" spans="1:21" x14ac:dyDescent="0.25">
      <c r="A199" t="s">
        <v>463</v>
      </c>
      <c r="B199" t="s">
        <v>21</v>
      </c>
      <c r="C199" t="s">
        <v>22</v>
      </c>
      <c r="D199" s="1" t="s">
        <v>22</v>
      </c>
      <c r="E199" t="s">
        <v>23</v>
      </c>
      <c r="F199" t="s">
        <v>24</v>
      </c>
      <c r="G199" t="s">
        <v>25</v>
      </c>
      <c r="H199" t="s">
        <v>23</v>
      </c>
      <c r="I199" t="s">
        <v>26</v>
      </c>
      <c r="J199" t="s">
        <v>464</v>
      </c>
      <c r="K199">
        <v>-12.254638999999999</v>
      </c>
      <c r="L199">
        <v>-76.920439999999999</v>
      </c>
      <c r="M199" t="str">
        <f>HYPERLINK("https://www.google.com/maps/search/?api=1&amp;query=-12.254639,-76.92044","Lurín, Lima")</f>
        <v>Lurín, Lima</v>
      </c>
      <c r="N199">
        <v>30.5</v>
      </c>
      <c r="O199">
        <v>100</v>
      </c>
      <c r="P199">
        <v>2769.3</v>
      </c>
      <c r="Q199" t="s">
        <v>460</v>
      </c>
      <c r="R199" t="s">
        <v>23</v>
      </c>
      <c r="S199" t="s">
        <v>23</v>
      </c>
      <c r="T199" t="s">
        <v>23</v>
      </c>
      <c r="U199" t="s">
        <v>23</v>
      </c>
    </row>
    <row r="200" spans="1:21" x14ac:dyDescent="0.25">
      <c r="A200" t="s">
        <v>465</v>
      </c>
      <c r="B200" t="s">
        <v>21</v>
      </c>
      <c r="C200" t="s">
        <v>22</v>
      </c>
      <c r="D200" s="1" t="s">
        <v>22</v>
      </c>
      <c r="E200" t="s">
        <v>23</v>
      </c>
      <c r="F200" t="s">
        <v>24</v>
      </c>
      <c r="G200" t="s">
        <v>25</v>
      </c>
      <c r="H200" t="s">
        <v>23</v>
      </c>
      <c r="I200" t="s">
        <v>26</v>
      </c>
      <c r="J200" t="s">
        <v>466</v>
      </c>
      <c r="K200">
        <v>-12.254331000000001</v>
      </c>
      <c r="L200">
        <v>-76.920180000000002</v>
      </c>
      <c r="M200" t="str">
        <f>HYPERLINK("https://www.google.com/maps/search/?api=1&amp;query=-12.254331,-76.92018","Antigua Panamericana Sur, Lurín, Lima")</f>
        <v>Antigua Panamericana Sur, Lurín, Lima</v>
      </c>
      <c r="N200">
        <v>5.4</v>
      </c>
      <c r="O200">
        <v>100</v>
      </c>
      <c r="P200">
        <v>2769.3</v>
      </c>
      <c r="Q200" t="s">
        <v>460</v>
      </c>
      <c r="R200" t="s">
        <v>23</v>
      </c>
      <c r="S200" t="s">
        <v>23</v>
      </c>
      <c r="T200" t="s">
        <v>23</v>
      </c>
      <c r="U200" t="s">
        <v>23</v>
      </c>
    </row>
    <row r="201" spans="1:21" x14ac:dyDescent="0.25">
      <c r="A201" t="s">
        <v>467</v>
      </c>
      <c r="B201" t="s">
        <v>21</v>
      </c>
      <c r="C201" t="s">
        <v>22</v>
      </c>
      <c r="D201" s="1" t="s">
        <v>22</v>
      </c>
      <c r="E201" t="s">
        <v>23</v>
      </c>
      <c r="F201" t="s">
        <v>24</v>
      </c>
      <c r="G201" t="s">
        <v>25</v>
      </c>
      <c r="H201" t="s">
        <v>23</v>
      </c>
      <c r="I201" t="s">
        <v>26</v>
      </c>
      <c r="J201" t="s">
        <v>468</v>
      </c>
      <c r="K201">
        <v>-12.254213</v>
      </c>
      <c r="L201">
        <v>-76.920265000000001</v>
      </c>
      <c r="M201" t="str">
        <f>HYPERLINK("https://www.google.com/maps/search/?api=1&amp;query=-12.254213,-76.920265","Antigua Panamericana Sur, Lurín, Lima")</f>
        <v>Antigua Panamericana Sur, Lurín, Lima</v>
      </c>
      <c r="N201">
        <v>9.3000000000000007</v>
      </c>
      <c r="O201">
        <v>100</v>
      </c>
      <c r="P201">
        <v>2769.3</v>
      </c>
      <c r="Q201" t="s">
        <v>460</v>
      </c>
      <c r="R201" t="s">
        <v>23</v>
      </c>
      <c r="S201" t="s">
        <v>23</v>
      </c>
      <c r="T201" t="s">
        <v>23</v>
      </c>
      <c r="U201" t="s">
        <v>23</v>
      </c>
    </row>
    <row r="202" spans="1:21" x14ac:dyDescent="0.25">
      <c r="A202" t="s">
        <v>469</v>
      </c>
      <c r="B202" t="s">
        <v>21</v>
      </c>
      <c r="C202" t="s">
        <v>22</v>
      </c>
      <c r="D202" s="1" t="s">
        <v>22</v>
      </c>
      <c r="E202" t="s">
        <v>23</v>
      </c>
      <c r="F202" t="s">
        <v>24</v>
      </c>
      <c r="G202" t="s">
        <v>25</v>
      </c>
      <c r="H202" t="s">
        <v>23</v>
      </c>
      <c r="I202" t="s">
        <v>26</v>
      </c>
      <c r="J202" t="s">
        <v>470</v>
      </c>
      <c r="K202">
        <v>-12.254204</v>
      </c>
      <c r="L202">
        <v>-76.920333999999997</v>
      </c>
      <c r="M202" t="str">
        <f>HYPERLINK("https://www.google.com/maps/search/?api=1&amp;query=-12.254204,-76.920334","Antigua Panamericana Sur, Lurín, Lima")</f>
        <v>Antigua Panamericana Sur, Lurín, Lima</v>
      </c>
      <c r="N202">
        <v>11.6</v>
      </c>
      <c r="O202">
        <v>100</v>
      </c>
      <c r="P202">
        <v>2769.3</v>
      </c>
      <c r="Q202" t="s">
        <v>460</v>
      </c>
      <c r="R202" t="s">
        <v>23</v>
      </c>
      <c r="S202" t="s">
        <v>23</v>
      </c>
      <c r="T202" t="s">
        <v>23</v>
      </c>
      <c r="U202" t="s">
        <v>23</v>
      </c>
    </row>
    <row r="203" spans="1:21" x14ac:dyDescent="0.25">
      <c r="A203" t="s">
        <v>471</v>
      </c>
      <c r="B203" t="s">
        <v>21</v>
      </c>
      <c r="C203" t="s">
        <v>22</v>
      </c>
      <c r="D203" s="1" t="s">
        <v>22</v>
      </c>
      <c r="E203" t="s">
        <v>23</v>
      </c>
      <c r="F203" t="s">
        <v>24</v>
      </c>
      <c r="G203" t="s">
        <v>25</v>
      </c>
      <c r="H203" t="s">
        <v>23</v>
      </c>
      <c r="I203" t="s">
        <v>26</v>
      </c>
      <c r="J203" t="s">
        <v>472</v>
      </c>
      <c r="K203">
        <v>-12.253672</v>
      </c>
      <c r="L203">
        <v>-76.924225000000007</v>
      </c>
      <c r="M203" t="str">
        <f>HYPERLINK("https://www.google.com/maps/search/?api=1&amp;query=-12.253672,-76.924225","Antigua Panamericana Sur, Lurín, Lima")</f>
        <v>Antigua Panamericana Sur, Lurín, Lima</v>
      </c>
      <c r="N203">
        <v>24.2</v>
      </c>
      <c r="O203">
        <v>100</v>
      </c>
      <c r="P203">
        <v>2770.3</v>
      </c>
      <c r="Q203" t="s">
        <v>473</v>
      </c>
      <c r="R203" t="s">
        <v>23</v>
      </c>
      <c r="S203" t="s">
        <v>23</v>
      </c>
      <c r="T203" t="s">
        <v>23</v>
      </c>
      <c r="U203" t="s">
        <v>23</v>
      </c>
    </row>
    <row r="204" spans="1:21" x14ac:dyDescent="0.25">
      <c r="A204" t="s">
        <v>474</v>
      </c>
      <c r="B204" t="s">
        <v>21</v>
      </c>
      <c r="C204" t="s">
        <v>22</v>
      </c>
      <c r="D204" s="1" t="s">
        <v>22</v>
      </c>
      <c r="E204" t="s">
        <v>23</v>
      </c>
      <c r="F204" t="s">
        <v>24</v>
      </c>
      <c r="G204" t="s">
        <v>25</v>
      </c>
      <c r="H204" t="s">
        <v>23</v>
      </c>
      <c r="I204" t="s">
        <v>26</v>
      </c>
      <c r="J204" t="s">
        <v>475</v>
      </c>
      <c r="K204">
        <v>-12.251003000000001</v>
      </c>
      <c r="L204">
        <v>-76.929280000000006</v>
      </c>
      <c r="M204" t="str">
        <f>HYPERLINK("https://www.google.com/maps/search/?api=1&amp;query=-12.251003,-76.92928","Antigua Panamericana Sur, Villa El Salvador, Lima")</f>
        <v>Antigua Panamericana Sur, Villa El Salvador, Lima</v>
      </c>
      <c r="N204">
        <v>43.1</v>
      </c>
      <c r="O204">
        <v>100</v>
      </c>
      <c r="P204">
        <v>2770.9</v>
      </c>
      <c r="Q204" t="s">
        <v>476</v>
      </c>
      <c r="R204" t="s">
        <v>23</v>
      </c>
      <c r="S204" t="s">
        <v>23</v>
      </c>
      <c r="T204" t="s">
        <v>23</v>
      </c>
      <c r="U204" t="s">
        <v>23</v>
      </c>
    </row>
    <row r="205" spans="1:21" x14ac:dyDescent="0.25">
      <c r="A205" t="s">
        <v>477</v>
      </c>
      <c r="B205" t="s">
        <v>21</v>
      </c>
      <c r="C205" t="s">
        <v>22</v>
      </c>
      <c r="D205" s="1" t="s">
        <v>22</v>
      </c>
      <c r="E205" t="s">
        <v>23</v>
      </c>
      <c r="F205" t="s">
        <v>24</v>
      </c>
      <c r="G205" t="s">
        <v>25</v>
      </c>
      <c r="H205" t="s">
        <v>23</v>
      </c>
      <c r="I205" t="s">
        <v>26</v>
      </c>
      <c r="J205" t="s">
        <v>478</v>
      </c>
      <c r="K205">
        <v>-12.248948</v>
      </c>
      <c r="L205">
        <v>-76.931960000000004</v>
      </c>
      <c r="M205" t="str">
        <f>HYPERLINK("https://www.google.com/maps/search/?api=1&amp;query=-12.248948,-76.93196","Antigua Panamericana Sur, Villa El Salvador, Lima")</f>
        <v>Antigua Panamericana Sur, Villa El Salvador, Lima</v>
      </c>
      <c r="N205">
        <v>35.9</v>
      </c>
      <c r="O205">
        <v>100</v>
      </c>
      <c r="P205">
        <v>2770.9</v>
      </c>
      <c r="Q205" t="s">
        <v>476</v>
      </c>
      <c r="R205" t="s">
        <v>23</v>
      </c>
      <c r="S205" t="s">
        <v>23</v>
      </c>
      <c r="T205" t="s">
        <v>23</v>
      </c>
      <c r="U205" t="s">
        <v>23</v>
      </c>
    </row>
    <row r="206" spans="1:21" x14ac:dyDescent="0.25">
      <c r="A206" t="s">
        <v>479</v>
      </c>
      <c r="B206" t="s">
        <v>21</v>
      </c>
      <c r="C206" t="s">
        <v>22</v>
      </c>
      <c r="D206" s="1" t="s">
        <v>22</v>
      </c>
      <c r="E206" t="s">
        <v>23</v>
      </c>
      <c r="F206" t="s">
        <v>24</v>
      </c>
      <c r="G206" t="s">
        <v>25</v>
      </c>
      <c r="H206" t="s">
        <v>23</v>
      </c>
      <c r="I206" t="s">
        <v>26</v>
      </c>
      <c r="J206" t="s">
        <v>480</v>
      </c>
      <c r="K206">
        <v>-12.246506999999999</v>
      </c>
      <c r="L206">
        <v>-76.935469999999995</v>
      </c>
      <c r="M206" t="str">
        <f>HYPERLINK("https://www.google.com/maps/search/?api=1&amp;query=-12.246507,-76.93547","Antigua Panamericana Sur, Villa El Salvador, Lima")</f>
        <v>Antigua Panamericana Sur, Villa El Salvador, Lima</v>
      </c>
      <c r="N206">
        <v>39.1</v>
      </c>
      <c r="O206">
        <v>100</v>
      </c>
      <c r="P206">
        <v>2771.3</v>
      </c>
      <c r="Q206" t="s">
        <v>481</v>
      </c>
      <c r="R206" t="s">
        <v>23</v>
      </c>
      <c r="S206" t="s">
        <v>23</v>
      </c>
      <c r="T206" t="s">
        <v>23</v>
      </c>
      <c r="U206" t="s">
        <v>23</v>
      </c>
    </row>
    <row r="207" spans="1:21" x14ac:dyDescent="0.25">
      <c r="A207" t="s">
        <v>482</v>
      </c>
      <c r="B207" t="s">
        <v>21</v>
      </c>
      <c r="C207" t="s">
        <v>22</v>
      </c>
      <c r="D207" s="1" t="s">
        <v>22</v>
      </c>
      <c r="E207" t="s">
        <v>23</v>
      </c>
      <c r="F207" t="s">
        <v>24</v>
      </c>
      <c r="G207" t="s">
        <v>25</v>
      </c>
      <c r="H207" t="s">
        <v>23</v>
      </c>
      <c r="I207" t="s">
        <v>26</v>
      </c>
      <c r="J207" t="s">
        <v>483</v>
      </c>
      <c r="K207">
        <v>-12.244051000000001</v>
      </c>
      <c r="L207">
        <v>-76.940253999999996</v>
      </c>
      <c r="M207" t="str">
        <f>HYPERLINK("https://www.google.com/maps/search/?api=1&amp;query=-12.244051,-76.940254","Antigua Panamericana Sur, Villa El Salvador, Lima")</f>
        <v>Antigua Panamericana Sur, Villa El Salvador, Lima</v>
      </c>
      <c r="N207">
        <v>47</v>
      </c>
      <c r="O207">
        <v>100</v>
      </c>
      <c r="P207">
        <v>2771.8</v>
      </c>
      <c r="Q207" t="s">
        <v>484</v>
      </c>
      <c r="R207" t="s">
        <v>23</v>
      </c>
      <c r="S207" t="s">
        <v>23</v>
      </c>
      <c r="T207" t="s">
        <v>23</v>
      </c>
      <c r="U207" t="s">
        <v>23</v>
      </c>
    </row>
    <row r="208" spans="1:21" x14ac:dyDescent="0.25">
      <c r="A208" t="s">
        <v>485</v>
      </c>
      <c r="B208" t="s">
        <v>21</v>
      </c>
      <c r="C208" t="s">
        <v>22</v>
      </c>
      <c r="D208" s="1" t="s">
        <v>22</v>
      </c>
      <c r="E208" t="s">
        <v>23</v>
      </c>
      <c r="F208" t="s">
        <v>24</v>
      </c>
      <c r="G208" t="s">
        <v>25</v>
      </c>
      <c r="H208" t="s">
        <v>23</v>
      </c>
      <c r="I208" t="s">
        <v>26</v>
      </c>
      <c r="J208" t="s">
        <v>486</v>
      </c>
      <c r="K208">
        <v>-12.241994999999999</v>
      </c>
      <c r="L208">
        <v>-76.944119999999998</v>
      </c>
      <c r="M208" t="str">
        <f>HYPERLINK("https://www.google.com/maps/search/?api=1&amp;query=-12.241995,-76.94412","Antigua Panamericana Sur, Villa El Salvador, Lima")</f>
        <v>Antigua Panamericana Sur, Villa El Salvador, Lima</v>
      </c>
      <c r="N208">
        <v>24.2</v>
      </c>
      <c r="O208">
        <v>100</v>
      </c>
      <c r="P208">
        <v>2771.8</v>
      </c>
      <c r="Q208" t="s">
        <v>484</v>
      </c>
      <c r="R208" t="s">
        <v>23</v>
      </c>
      <c r="S208" t="s">
        <v>23</v>
      </c>
      <c r="T208" t="s">
        <v>23</v>
      </c>
      <c r="U208" t="s">
        <v>23</v>
      </c>
    </row>
    <row r="209" spans="1:21" x14ac:dyDescent="0.25">
      <c r="A209" t="s">
        <v>487</v>
      </c>
      <c r="B209" t="s">
        <v>21</v>
      </c>
      <c r="C209" t="s">
        <v>22</v>
      </c>
      <c r="D209" s="1" t="s">
        <v>22</v>
      </c>
      <c r="E209" t="s">
        <v>23</v>
      </c>
      <c r="F209" t="s">
        <v>24</v>
      </c>
      <c r="G209" t="s">
        <v>25</v>
      </c>
      <c r="H209" t="s">
        <v>23</v>
      </c>
      <c r="I209" t="s">
        <v>26</v>
      </c>
      <c r="J209" t="s">
        <v>488</v>
      </c>
      <c r="K209">
        <v>-12.238905000000001</v>
      </c>
      <c r="L209">
        <v>-76.950320000000005</v>
      </c>
      <c r="M209" t="str">
        <f>HYPERLINK("https://www.google.com/maps/search/?api=1&amp;query=-12.238905,-76.95032","Antigua Panamericana Sur, Villa El Salvador, Lima")</f>
        <v>Antigua Panamericana Sur, Villa El Salvador, Lima</v>
      </c>
      <c r="N209">
        <v>48.6</v>
      </c>
      <c r="O209">
        <v>100</v>
      </c>
      <c r="P209">
        <v>2773.6</v>
      </c>
      <c r="Q209" t="s">
        <v>489</v>
      </c>
      <c r="R209" t="s">
        <v>23</v>
      </c>
      <c r="S209" t="s">
        <v>23</v>
      </c>
      <c r="T209" t="s">
        <v>23</v>
      </c>
      <c r="U209" t="s">
        <v>23</v>
      </c>
    </row>
    <row r="210" spans="1:21" x14ac:dyDescent="0.25">
      <c r="A210" t="s">
        <v>490</v>
      </c>
      <c r="B210" t="s">
        <v>21</v>
      </c>
      <c r="C210" t="s">
        <v>22</v>
      </c>
      <c r="D210" s="1" t="s">
        <v>22</v>
      </c>
      <c r="E210" t="s">
        <v>23</v>
      </c>
      <c r="F210" t="s">
        <v>24</v>
      </c>
      <c r="G210" t="s">
        <v>25</v>
      </c>
      <c r="H210" t="s">
        <v>23</v>
      </c>
      <c r="I210" t="s">
        <v>26</v>
      </c>
      <c r="J210" t="s">
        <v>491</v>
      </c>
      <c r="K210">
        <v>-12.236122</v>
      </c>
      <c r="L210">
        <v>-76.955535999999995</v>
      </c>
      <c r="M210" t="str">
        <f>HYPERLINK("https://www.google.com/maps/search/?api=1&amp;query=-12.236122,-76.955536","Antigua Panamericana Sur, Villa El Salvador, Lima")</f>
        <v>Antigua Panamericana Sur, Villa El Salvador, Lima</v>
      </c>
      <c r="N210">
        <v>42.3</v>
      </c>
      <c r="O210">
        <v>100</v>
      </c>
      <c r="P210">
        <v>2773.6</v>
      </c>
      <c r="Q210" t="s">
        <v>489</v>
      </c>
      <c r="R210" t="s">
        <v>23</v>
      </c>
      <c r="S210" t="s">
        <v>23</v>
      </c>
      <c r="T210" t="s">
        <v>23</v>
      </c>
      <c r="U210" t="s">
        <v>23</v>
      </c>
    </row>
    <row r="211" spans="1:21" x14ac:dyDescent="0.25">
      <c r="A211" t="s">
        <v>492</v>
      </c>
      <c r="B211" t="s">
        <v>21</v>
      </c>
      <c r="C211" t="s">
        <v>22</v>
      </c>
      <c r="D211" s="1" t="s">
        <v>22</v>
      </c>
      <c r="E211" t="s">
        <v>23</v>
      </c>
      <c r="F211" t="s">
        <v>24</v>
      </c>
      <c r="G211" t="s">
        <v>25</v>
      </c>
      <c r="H211" t="s">
        <v>23</v>
      </c>
      <c r="I211" t="s">
        <v>26</v>
      </c>
      <c r="J211" t="s">
        <v>493</v>
      </c>
      <c r="K211">
        <v>-12.233032</v>
      </c>
      <c r="L211">
        <v>-76.961600000000004</v>
      </c>
      <c r="M211" t="str">
        <f>HYPERLINK("https://www.google.com/maps/search/?api=1&amp;query=-12.233032,-76.9616","Antigua Panamericana Sur, Villa El Salvador, Lima")</f>
        <v>Antigua Panamericana Sur, Villa El Salvador, Lima</v>
      </c>
      <c r="N211">
        <v>40</v>
      </c>
      <c r="O211">
        <v>100</v>
      </c>
      <c r="P211">
        <v>2775</v>
      </c>
      <c r="Q211" t="s">
        <v>494</v>
      </c>
      <c r="R211" t="s">
        <v>23</v>
      </c>
      <c r="S211" t="s">
        <v>23</v>
      </c>
      <c r="T211" t="s">
        <v>23</v>
      </c>
      <c r="U211" t="s">
        <v>23</v>
      </c>
    </row>
    <row r="212" spans="1:21" x14ac:dyDescent="0.25">
      <c r="A212" t="s">
        <v>495</v>
      </c>
      <c r="B212" t="s">
        <v>21</v>
      </c>
      <c r="C212" t="s">
        <v>22</v>
      </c>
      <c r="D212" s="1" t="s">
        <v>22</v>
      </c>
      <c r="E212" t="s">
        <v>23</v>
      </c>
      <c r="F212" t="s">
        <v>24</v>
      </c>
      <c r="G212" t="s">
        <v>25</v>
      </c>
      <c r="H212" t="s">
        <v>23</v>
      </c>
      <c r="I212" t="s">
        <v>26</v>
      </c>
      <c r="J212" t="s">
        <v>496</v>
      </c>
      <c r="K212">
        <v>-12.229799999999999</v>
      </c>
      <c r="L212">
        <v>-76.967089999999999</v>
      </c>
      <c r="M212" t="str">
        <f>HYPERLINK("https://www.google.com/maps/search/?api=1&amp;query=-12.2298,-76.96709","Antigua Panamericana Sur, Villa El Salvador, Lima")</f>
        <v>Antigua Panamericana Sur, Villa El Salvador, Lima</v>
      </c>
      <c r="N212">
        <v>55</v>
      </c>
      <c r="O212">
        <v>100</v>
      </c>
      <c r="P212">
        <v>2775</v>
      </c>
      <c r="Q212" t="s">
        <v>494</v>
      </c>
      <c r="R212" t="s">
        <v>23</v>
      </c>
      <c r="S212" t="s">
        <v>23</v>
      </c>
      <c r="T212" t="s">
        <v>23</v>
      </c>
      <c r="U212" t="s">
        <v>23</v>
      </c>
    </row>
    <row r="213" spans="1:21" x14ac:dyDescent="0.25">
      <c r="A213" t="s">
        <v>497</v>
      </c>
      <c r="B213" t="s">
        <v>21</v>
      </c>
      <c r="C213" t="s">
        <v>22</v>
      </c>
      <c r="D213" s="1" t="s">
        <v>22</v>
      </c>
      <c r="E213" t="s">
        <v>23</v>
      </c>
      <c r="F213" t="s">
        <v>24</v>
      </c>
      <c r="G213" t="s">
        <v>25</v>
      </c>
      <c r="H213" t="s">
        <v>23</v>
      </c>
      <c r="I213" t="s">
        <v>26</v>
      </c>
      <c r="J213" t="s">
        <v>498</v>
      </c>
      <c r="K213">
        <v>-12.228668000000001</v>
      </c>
      <c r="L213">
        <v>-76.968149999999994</v>
      </c>
      <c r="M213" t="str">
        <f>HYPERLINK("https://www.google.com/maps/search/?api=1&amp;query=-12.228668,-76.96815","Antigua Panamericana Sur, Villa El Salvador, Lima")</f>
        <v>Antigua Panamericana Sur, Villa El Salvador, Lima</v>
      </c>
      <c r="N213">
        <v>13.3</v>
      </c>
      <c r="O213">
        <v>100</v>
      </c>
      <c r="P213">
        <v>2775</v>
      </c>
      <c r="Q213" t="s">
        <v>494</v>
      </c>
      <c r="R213" t="s">
        <v>23</v>
      </c>
      <c r="S213" t="s">
        <v>23</v>
      </c>
      <c r="T213" t="s">
        <v>23</v>
      </c>
      <c r="U213" t="s">
        <v>23</v>
      </c>
    </row>
    <row r="214" spans="1:21" x14ac:dyDescent="0.25">
      <c r="A214" t="s">
        <v>499</v>
      </c>
      <c r="B214" t="s">
        <v>21</v>
      </c>
      <c r="C214" t="s">
        <v>22</v>
      </c>
      <c r="D214" s="1" t="s">
        <v>22</v>
      </c>
      <c r="E214" t="s">
        <v>23</v>
      </c>
      <c r="F214" t="s">
        <v>24</v>
      </c>
      <c r="G214" t="s">
        <v>25</v>
      </c>
      <c r="H214" t="s">
        <v>23</v>
      </c>
      <c r="I214" t="s">
        <v>26</v>
      </c>
      <c r="J214" t="s">
        <v>500</v>
      </c>
      <c r="K214">
        <v>-12.225189</v>
      </c>
      <c r="L214">
        <v>-76.971580000000003</v>
      </c>
      <c r="M214" t="str">
        <f>HYPERLINK("https://www.google.com/maps/search/?api=1&amp;query=-12.225189,-76.97158","Antigua Panamericana Sur, Villa El Salvador, Lima")</f>
        <v>Antigua Panamericana Sur, Villa El Salvador, Lima</v>
      </c>
      <c r="N214">
        <v>23.4</v>
      </c>
      <c r="O214">
        <v>100</v>
      </c>
      <c r="P214">
        <v>2775.9</v>
      </c>
      <c r="Q214" t="s">
        <v>501</v>
      </c>
      <c r="R214" t="s">
        <v>23</v>
      </c>
      <c r="S214" t="s">
        <v>23</v>
      </c>
      <c r="T214" t="s">
        <v>23</v>
      </c>
      <c r="U214" t="s">
        <v>23</v>
      </c>
    </row>
    <row r="215" spans="1:21" x14ac:dyDescent="0.25">
      <c r="A215" t="s">
        <v>502</v>
      </c>
      <c r="B215" t="s">
        <v>21</v>
      </c>
      <c r="C215" t="s">
        <v>22</v>
      </c>
      <c r="D215" s="1" t="s">
        <v>22</v>
      </c>
      <c r="E215" t="s">
        <v>23</v>
      </c>
      <c r="F215" t="s">
        <v>24</v>
      </c>
      <c r="G215" t="s">
        <v>25</v>
      </c>
      <c r="H215" t="s">
        <v>23</v>
      </c>
      <c r="I215" t="s">
        <v>26</v>
      </c>
      <c r="J215" t="s">
        <v>503</v>
      </c>
      <c r="K215">
        <v>-12.222211</v>
      </c>
      <c r="L215">
        <v>-76.974329999999995</v>
      </c>
      <c r="M215" t="str">
        <f>HYPERLINK("https://www.google.com/maps/search/?api=1&amp;query=-12.222211,-76.97433","Avenida El Sol, Villa El Salvador, Lima")</f>
        <v>Avenida El Sol, Villa El Salvador, Lima</v>
      </c>
      <c r="N215">
        <v>11.5</v>
      </c>
      <c r="O215">
        <v>100</v>
      </c>
      <c r="P215">
        <v>2776.4</v>
      </c>
      <c r="Q215" t="s">
        <v>504</v>
      </c>
      <c r="R215" t="s">
        <v>23</v>
      </c>
      <c r="S215" t="s">
        <v>23</v>
      </c>
      <c r="T215" t="s">
        <v>23</v>
      </c>
      <c r="U215" t="s">
        <v>23</v>
      </c>
    </row>
    <row r="216" spans="1:21" x14ac:dyDescent="0.25">
      <c r="A216" t="s">
        <v>505</v>
      </c>
      <c r="B216" t="s">
        <v>21</v>
      </c>
      <c r="C216" t="s">
        <v>22</v>
      </c>
      <c r="D216" s="1" t="s">
        <v>22</v>
      </c>
      <c r="E216" t="s">
        <v>23</v>
      </c>
      <c r="F216" t="s">
        <v>24</v>
      </c>
      <c r="G216" t="s">
        <v>25</v>
      </c>
      <c r="H216" t="s">
        <v>23</v>
      </c>
      <c r="I216" t="s">
        <v>26</v>
      </c>
      <c r="J216" t="s">
        <v>506</v>
      </c>
      <c r="K216">
        <v>-12.221931</v>
      </c>
      <c r="L216">
        <v>-76.974045000000004</v>
      </c>
      <c r="M216" t="str">
        <f>HYPERLINK("https://www.google.com/maps/search/?api=1&amp;query=-12.221931,-76.974045","Avenida El Sol, Villa El Salvador, Lima")</f>
        <v>Avenida El Sol, Villa El Salvador, Lima</v>
      </c>
      <c r="N216">
        <v>18.3</v>
      </c>
      <c r="O216">
        <v>100</v>
      </c>
      <c r="P216">
        <v>2776.4</v>
      </c>
      <c r="Q216" t="s">
        <v>504</v>
      </c>
      <c r="R216" t="s">
        <v>23</v>
      </c>
      <c r="S216" t="s">
        <v>23</v>
      </c>
      <c r="T216" t="s">
        <v>23</v>
      </c>
      <c r="U216" t="s">
        <v>23</v>
      </c>
    </row>
    <row r="217" spans="1:21" x14ac:dyDescent="0.25">
      <c r="A217" t="s">
        <v>507</v>
      </c>
      <c r="B217" t="s">
        <v>21</v>
      </c>
      <c r="C217" t="s">
        <v>22</v>
      </c>
      <c r="D217" s="1" t="s">
        <v>22</v>
      </c>
      <c r="E217" t="s">
        <v>23</v>
      </c>
      <c r="F217" t="s">
        <v>24</v>
      </c>
      <c r="G217" t="s">
        <v>25</v>
      </c>
      <c r="H217" t="s">
        <v>23</v>
      </c>
      <c r="I217" t="s">
        <v>26</v>
      </c>
      <c r="J217" t="s">
        <v>508</v>
      </c>
      <c r="K217">
        <v>-12.219283000000001</v>
      </c>
      <c r="L217">
        <v>-76.971275000000006</v>
      </c>
      <c r="M217" t="str">
        <f>HYPERLINK("https://www.google.com/maps/search/?api=1&amp;query=-12.219283,-76.971275","Avenida El Sol, Villa El Salvador, Lima")</f>
        <v>Avenida El Sol, Villa El Salvador, Lima</v>
      </c>
      <c r="N217">
        <v>23.6</v>
      </c>
      <c r="O217">
        <v>100</v>
      </c>
      <c r="P217">
        <v>2777.3</v>
      </c>
      <c r="Q217" t="s">
        <v>509</v>
      </c>
      <c r="R217" t="s">
        <v>23</v>
      </c>
      <c r="S217" t="s">
        <v>23</v>
      </c>
      <c r="T217" t="s">
        <v>23</v>
      </c>
      <c r="U217" t="s">
        <v>23</v>
      </c>
    </row>
    <row r="218" spans="1:21" x14ac:dyDescent="0.25">
      <c r="A218" t="s">
        <v>510</v>
      </c>
      <c r="B218" t="s">
        <v>21</v>
      </c>
      <c r="C218" t="s">
        <v>22</v>
      </c>
      <c r="D218" s="1" t="s">
        <v>22</v>
      </c>
      <c r="E218" t="s">
        <v>23</v>
      </c>
      <c r="F218" t="s">
        <v>24</v>
      </c>
      <c r="G218" t="s">
        <v>25</v>
      </c>
      <c r="H218" t="s">
        <v>23</v>
      </c>
      <c r="I218" t="s">
        <v>26</v>
      </c>
      <c r="J218" t="s">
        <v>511</v>
      </c>
      <c r="K218">
        <v>-12.217006</v>
      </c>
      <c r="L218">
        <v>-76.968860000000006</v>
      </c>
      <c r="M218" t="str">
        <f>HYPERLINK("https://www.google.com/maps/search/?api=1&amp;query=-12.217006,-76.96886","Avenida El Sol, Villa El Salvador, Lima")</f>
        <v>Avenida El Sol, Villa El Salvador, Lima</v>
      </c>
      <c r="N218">
        <v>12.4</v>
      </c>
      <c r="O218">
        <v>100</v>
      </c>
      <c r="P218">
        <v>2777.3</v>
      </c>
      <c r="Q218" t="s">
        <v>509</v>
      </c>
      <c r="R218" t="s">
        <v>23</v>
      </c>
      <c r="S218" t="s">
        <v>23</v>
      </c>
      <c r="T218" t="s">
        <v>23</v>
      </c>
      <c r="U218" t="s">
        <v>23</v>
      </c>
    </row>
    <row r="219" spans="1:21" x14ac:dyDescent="0.25">
      <c r="A219" t="s">
        <v>512</v>
      </c>
      <c r="B219" t="s">
        <v>21</v>
      </c>
      <c r="C219" t="s">
        <v>22</v>
      </c>
      <c r="D219" s="1" t="s">
        <v>22</v>
      </c>
      <c r="E219" t="s">
        <v>23</v>
      </c>
      <c r="F219" t="s">
        <v>24</v>
      </c>
      <c r="G219" t="s">
        <v>25</v>
      </c>
      <c r="H219" t="s">
        <v>23</v>
      </c>
      <c r="I219" t="s">
        <v>26</v>
      </c>
      <c r="J219" t="s">
        <v>513</v>
      </c>
      <c r="K219">
        <v>-12.213977</v>
      </c>
      <c r="L219">
        <v>-76.966220000000007</v>
      </c>
      <c r="M219" t="str">
        <f>HYPERLINK("https://www.google.com/maps/search/?api=1&amp;query=-12.213977,-76.96622","Avenida El Sol, Villa El Salvador, Lima")</f>
        <v>Avenida El Sol, Villa El Salvador, Lima</v>
      </c>
      <c r="N219">
        <v>41.7</v>
      </c>
      <c r="O219">
        <v>100</v>
      </c>
      <c r="P219">
        <v>2777.7</v>
      </c>
      <c r="Q219" t="s">
        <v>514</v>
      </c>
      <c r="R219" t="s">
        <v>23</v>
      </c>
      <c r="S219" t="s">
        <v>23</v>
      </c>
      <c r="T219" t="s">
        <v>23</v>
      </c>
      <c r="U219" t="s">
        <v>23</v>
      </c>
    </row>
    <row r="220" spans="1:21" x14ac:dyDescent="0.25">
      <c r="A220" t="s">
        <v>515</v>
      </c>
      <c r="B220" t="s">
        <v>21</v>
      </c>
      <c r="C220" t="s">
        <v>22</v>
      </c>
      <c r="D220" s="1" t="s">
        <v>22</v>
      </c>
      <c r="E220" t="s">
        <v>23</v>
      </c>
      <c r="F220" t="s">
        <v>24</v>
      </c>
      <c r="G220" t="s">
        <v>25</v>
      </c>
      <c r="H220" t="s">
        <v>23</v>
      </c>
      <c r="I220" t="s">
        <v>26</v>
      </c>
      <c r="J220" t="s">
        <v>516</v>
      </c>
      <c r="K220">
        <v>-12.212939</v>
      </c>
      <c r="L220">
        <v>-76.965130000000002</v>
      </c>
      <c r="M220" t="str">
        <f>HYPERLINK("https://www.google.com/maps/search/?api=1&amp;query=-12.212939,-76.96513","Avenida El Sol, Villa El Salvador, Lima")</f>
        <v>Avenida El Sol, Villa El Salvador, Lima</v>
      </c>
      <c r="N220">
        <v>11.2</v>
      </c>
      <c r="O220">
        <v>100</v>
      </c>
      <c r="P220">
        <v>2777.7</v>
      </c>
      <c r="Q220" t="s">
        <v>514</v>
      </c>
      <c r="R220" t="s">
        <v>23</v>
      </c>
      <c r="S220" t="s">
        <v>23</v>
      </c>
      <c r="T220" t="s">
        <v>23</v>
      </c>
      <c r="U220" t="s">
        <v>23</v>
      </c>
    </row>
    <row r="221" spans="1:21" x14ac:dyDescent="0.25">
      <c r="A221" t="s">
        <v>517</v>
      </c>
      <c r="B221" t="s">
        <v>21</v>
      </c>
      <c r="C221" t="s">
        <v>22</v>
      </c>
      <c r="D221" s="1" t="s">
        <v>22</v>
      </c>
      <c r="E221" t="s">
        <v>23</v>
      </c>
      <c r="F221" t="s">
        <v>24</v>
      </c>
      <c r="G221" t="s">
        <v>25</v>
      </c>
      <c r="H221" t="s">
        <v>23</v>
      </c>
      <c r="I221" t="s">
        <v>26</v>
      </c>
      <c r="J221" t="s">
        <v>518</v>
      </c>
      <c r="K221">
        <v>-12.212236000000001</v>
      </c>
      <c r="L221">
        <v>-76.963684000000001</v>
      </c>
      <c r="M221" t="str">
        <f>HYPERLINK("https://www.google.com/maps/search/?api=1&amp;query=-12.212236,-76.963684","Avenida Los Forestales, Villa El Salvador, Lima")</f>
        <v>Avenida Los Forestales, Villa El Salvador, Lima</v>
      </c>
      <c r="N221">
        <v>5.8</v>
      </c>
      <c r="O221">
        <v>100</v>
      </c>
      <c r="P221">
        <v>2778.2</v>
      </c>
      <c r="Q221" t="s">
        <v>519</v>
      </c>
      <c r="R221" t="s">
        <v>23</v>
      </c>
      <c r="S221" t="s">
        <v>23</v>
      </c>
      <c r="T221" t="s">
        <v>23</v>
      </c>
      <c r="U221" t="s">
        <v>23</v>
      </c>
    </row>
    <row r="222" spans="1:21" x14ac:dyDescent="0.25">
      <c r="A222" t="s">
        <v>520</v>
      </c>
      <c r="B222" t="s">
        <v>21</v>
      </c>
      <c r="C222" t="s">
        <v>22</v>
      </c>
      <c r="D222" s="1" t="s">
        <v>22</v>
      </c>
      <c r="E222" t="s">
        <v>23</v>
      </c>
      <c r="F222" t="s">
        <v>24</v>
      </c>
      <c r="G222" t="s">
        <v>25</v>
      </c>
      <c r="H222" t="s">
        <v>23</v>
      </c>
      <c r="I222" t="s">
        <v>26</v>
      </c>
      <c r="J222" t="s">
        <v>521</v>
      </c>
      <c r="K222">
        <v>-12.212266</v>
      </c>
      <c r="L222">
        <v>-76.963645999999997</v>
      </c>
      <c r="M222" t="str">
        <f>HYPERLINK("https://www.google.com/maps/search/?api=1&amp;query=-12.212266,-76.963646","Avenida Los Forestales, Villa El Salvador, Lima")</f>
        <v>Avenida Los Forestales, Villa El Salvador, Lima</v>
      </c>
      <c r="N222">
        <v>7.8</v>
      </c>
      <c r="O222">
        <v>100</v>
      </c>
      <c r="P222">
        <v>2778.2</v>
      </c>
      <c r="Q222" t="s">
        <v>519</v>
      </c>
      <c r="R222" t="s">
        <v>23</v>
      </c>
      <c r="S222" t="s">
        <v>23</v>
      </c>
      <c r="T222" t="s">
        <v>23</v>
      </c>
      <c r="U222" t="s">
        <v>23</v>
      </c>
    </row>
    <row r="223" spans="1:21" x14ac:dyDescent="0.25">
      <c r="A223" t="s">
        <v>522</v>
      </c>
      <c r="B223" t="s">
        <v>21</v>
      </c>
      <c r="C223" t="s">
        <v>22</v>
      </c>
      <c r="D223" s="1" t="s">
        <v>22</v>
      </c>
      <c r="E223" t="s">
        <v>23</v>
      </c>
      <c r="F223" t="s">
        <v>24</v>
      </c>
      <c r="G223" t="s">
        <v>25</v>
      </c>
      <c r="H223" t="s">
        <v>23</v>
      </c>
      <c r="I223" t="s">
        <v>26</v>
      </c>
      <c r="J223" t="s">
        <v>521</v>
      </c>
      <c r="K223">
        <v>-12.212318</v>
      </c>
      <c r="L223">
        <v>-76.963620000000006</v>
      </c>
      <c r="M223" t="str">
        <f>HYPERLINK("https://www.google.com/maps/search/?api=1&amp;query=-12.212318,-76.96362","Avenida Los Forestales, Villa El Salvador, Lima")</f>
        <v>Avenida Los Forestales, Villa El Salvador, Lima</v>
      </c>
      <c r="N223">
        <v>8.6</v>
      </c>
      <c r="O223">
        <v>100</v>
      </c>
      <c r="P223">
        <v>2778.2</v>
      </c>
      <c r="Q223" t="s">
        <v>519</v>
      </c>
      <c r="R223" t="s">
        <v>23</v>
      </c>
      <c r="S223" t="s">
        <v>23</v>
      </c>
      <c r="T223" t="s">
        <v>23</v>
      </c>
      <c r="U223" t="s">
        <v>23</v>
      </c>
    </row>
    <row r="224" spans="1:21" x14ac:dyDescent="0.25">
      <c r="A224" t="s">
        <v>523</v>
      </c>
      <c r="B224" t="s">
        <v>21</v>
      </c>
      <c r="C224" t="s">
        <v>22</v>
      </c>
      <c r="D224" s="1" t="s">
        <v>22</v>
      </c>
      <c r="E224" t="s">
        <v>23</v>
      </c>
      <c r="F224" t="s">
        <v>24</v>
      </c>
      <c r="G224" t="s">
        <v>25</v>
      </c>
      <c r="H224" t="s">
        <v>23</v>
      </c>
      <c r="I224" t="s">
        <v>26</v>
      </c>
      <c r="J224" t="s">
        <v>524</v>
      </c>
      <c r="K224">
        <v>-12.212318</v>
      </c>
      <c r="L224">
        <v>-76.963620000000006</v>
      </c>
      <c r="M224" t="str">
        <f>HYPERLINK("https://www.google.com/maps/search/?api=1&amp;query=-12.212318,-76.96362","Avenida Los Forestales, Villa El Salvador, Lima")</f>
        <v>Avenida Los Forestales, Villa El Salvador, Lima</v>
      </c>
      <c r="N224">
        <v>8.6</v>
      </c>
      <c r="O224">
        <v>100</v>
      </c>
      <c r="P224">
        <v>2778.5</v>
      </c>
      <c r="Q224" t="s">
        <v>525</v>
      </c>
      <c r="R224" t="s">
        <v>23</v>
      </c>
      <c r="S224" t="s">
        <v>23</v>
      </c>
      <c r="T224" t="s">
        <v>23</v>
      </c>
      <c r="U224" t="s">
        <v>23</v>
      </c>
    </row>
    <row r="225" spans="1:21" x14ac:dyDescent="0.25">
      <c r="A225" t="s">
        <v>526</v>
      </c>
      <c r="B225" t="s">
        <v>21</v>
      </c>
      <c r="C225" t="s">
        <v>22</v>
      </c>
      <c r="D225" s="1" t="s">
        <v>22</v>
      </c>
      <c r="E225" t="s">
        <v>23</v>
      </c>
      <c r="F225" t="s">
        <v>24</v>
      </c>
      <c r="G225" t="s">
        <v>25</v>
      </c>
      <c r="H225" t="s">
        <v>23</v>
      </c>
      <c r="I225" t="s">
        <v>26</v>
      </c>
      <c r="J225" t="s">
        <v>527</v>
      </c>
      <c r="K225">
        <v>-12.213469</v>
      </c>
      <c r="L225">
        <v>-76.963740000000001</v>
      </c>
      <c r="M225" t="str">
        <f>HYPERLINK("https://www.google.com/maps/search/?api=1&amp;query=-12.213469,-76.96374","Avenida Los Forestales, Villa El Salvador, Lima")</f>
        <v>Avenida Los Forestales, Villa El Salvador, Lima</v>
      </c>
      <c r="N225">
        <v>6.8</v>
      </c>
      <c r="O225">
        <v>100</v>
      </c>
      <c r="P225">
        <v>2778.6</v>
      </c>
      <c r="Q225" t="s">
        <v>528</v>
      </c>
      <c r="R225" t="s">
        <v>23</v>
      </c>
      <c r="S225" t="s">
        <v>23</v>
      </c>
      <c r="T225" t="s">
        <v>23</v>
      </c>
      <c r="U225" t="s">
        <v>23</v>
      </c>
    </row>
    <row r="226" spans="1:21" x14ac:dyDescent="0.25">
      <c r="A226" t="s">
        <v>529</v>
      </c>
      <c r="B226" t="s">
        <v>21</v>
      </c>
      <c r="C226" t="s">
        <v>22</v>
      </c>
      <c r="D226" s="1" t="s">
        <v>22</v>
      </c>
      <c r="E226" t="s">
        <v>23</v>
      </c>
      <c r="F226" t="s">
        <v>24</v>
      </c>
      <c r="G226" t="s">
        <v>25</v>
      </c>
      <c r="H226" t="s">
        <v>23</v>
      </c>
      <c r="I226" t="s">
        <v>26</v>
      </c>
      <c r="J226" t="s">
        <v>530</v>
      </c>
      <c r="K226">
        <v>-12.214922</v>
      </c>
      <c r="L226">
        <v>-76.963859999999997</v>
      </c>
      <c r="M226" t="str">
        <f>HYPERLINK("https://www.google.com/maps/search/?api=1&amp;query=-12.214922,-76.96386","Avenida Los Forestales, Villa El Salvador, Lima")</f>
        <v>Avenida Los Forestales, Villa El Salvador, Lima</v>
      </c>
      <c r="N226">
        <v>8.8000000000000007</v>
      </c>
      <c r="O226">
        <v>100</v>
      </c>
      <c r="P226">
        <v>2778.8</v>
      </c>
      <c r="Q226" t="s">
        <v>531</v>
      </c>
      <c r="R226" t="s">
        <v>23</v>
      </c>
      <c r="S226" t="s">
        <v>23</v>
      </c>
      <c r="T226" t="s">
        <v>23</v>
      </c>
      <c r="U226" t="s">
        <v>23</v>
      </c>
    </row>
    <row r="227" spans="1:21" x14ac:dyDescent="0.25">
      <c r="A227" t="s">
        <v>532</v>
      </c>
      <c r="B227" t="s">
        <v>21</v>
      </c>
      <c r="C227" t="s">
        <v>22</v>
      </c>
      <c r="D227" s="1" t="s">
        <v>22</v>
      </c>
      <c r="E227" t="s">
        <v>23</v>
      </c>
      <c r="F227" t="s">
        <v>24</v>
      </c>
      <c r="G227" t="s">
        <v>25</v>
      </c>
      <c r="H227" t="s">
        <v>23</v>
      </c>
      <c r="I227" t="s">
        <v>26</v>
      </c>
      <c r="J227" t="s">
        <v>530</v>
      </c>
      <c r="K227">
        <v>-12.215476000000001</v>
      </c>
      <c r="L227">
        <v>-76.963899999999995</v>
      </c>
      <c r="M227" t="str">
        <f>HYPERLINK("https://www.google.com/maps/search/?api=1&amp;query=-12.215476,-76.9639","Avenida Los Forestales, Villa El Salvador, Lima")</f>
        <v>Avenida Los Forestales, Villa El Salvador, Lima</v>
      </c>
      <c r="N227">
        <v>8.5</v>
      </c>
      <c r="O227">
        <v>100</v>
      </c>
      <c r="P227">
        <v>2778.8</v>
      </c>
      <c r="Q227" t="s">
        <v>531</v>
      </c>
      <c r="R227" t="s">
        <v>23</v>
      </c>
      <c r="S227" t="s">
        <v>23</v>
      </c>
      <c r="T227" t="s">
        <v>23</v>
      </c>
      <c r="U227" t="s">
        <v>23</v>
      </c>
    </row>
    <row r="228" spans="1:21" x14ac:dyDescent="0.25">
      <c r="A228" t="s">
        <v>533</v>
      </c>
      <c r="B228" t="s">
        <v>21</v>
      </c>
      <c r="C228" t="s">
        <v>22</v>
      </c>
      <c r="D228" s="1" t="s">
        <v>22</v>
      </c>
      <c r="E228" t="s">
        <v>23</v>
      </c>
      <c r="F228" t="s">
        <v>24</v>
      </c>
      <c r="G228" t="s">
        <v>25</v>
      </c>
      <c r="H228" t="s">
        <v>23</v>
      </c>
      <c r="I228" t="s">
        <v>26</v>
      </c>
      <c r="J228" t="s">
        <v>534</v>
      </c>
      <c r="K228">
        <v>-12.215539</v>
      </c>
      <c r="L228">
        <v>-76.963775999999996</v>
      </c>
      <c r="M228" t="str">
        <f>HYPERLINK("https://www.google.com/maps/search/?api=1&amp;query=-12.215539,-76.963776","Avenida Villa del Mar, Villa El Salvador, Lima")</f>
        <v>Avenida Villa del Mar, Villa El Salvador, Lima</v>
      </c>
      <c r="N228">
        <v>9.9</v>
      </c>
      <c r="O228">
        <v>100</v>
      </c>
      <c r="P228">
        <v>2778.8</v>
      </c>
      <c r="Q228" t="s">
        <v>531</v>
      </c>
      <c r="R228" t="s">
        <v>23</v>
      </c>
      <c r="S228" t="s">
        <v>23</v>
      </c>
      <c r="T228" t="s">
        <v>23</v>
      </c>
      <c r="U228" t="s">
        <v>23</v>
      </c>
    </row>
    <row r="229" spans="1:21" x14ac:dyDescent="0.25">
      <c r="A229" t="s">
        <v>535</v>
      </c>
      <c r="B229" t="s">
        <v>21</v>
      </c>
      <c r="C229" t="s">
        <v>22</v>
      </c>
      <c r="D229" s="1" t="s">
        <v>22</v>
      </c>
      <c r="E229" t="s">
        <v>23</v>
      </c>
      <c r="F229" t="s">
        <v>24</v>
      </c>
      <c r="G229" t="s">
        <v>25</v>
      </c>
      <c r="H229" t="s">
        <v>23</v>
      </c>
      <c r="I229" t="s">
        <v>26</v>
      </c>
      <c r="J229" t="s">
        <v>536</v>
      </c>
      <c r="K229">
        <v>-12.215161999999999</v>
      </c>
      <c r="L229">
        <v>-76.963130000000007</v>
      </c>
      <c r="M229" t="str">
        <f>HYPERLINK("https://www.google.com/maps/search/?api=1&amp;query=-12.215162,-76.96313","Avenida Villa del Mar, Villa El Salvador, Lima")</f>
        <v>Avenida Villa del Mar, Villa El Salvador, Lima</v>
      </c>
      <c r="N229">
        <v>10.3</v>
      </c>
      <c r="O229">
        <v>100</v>
      </c>
      <c r="P229">
        <v>2779</v>
      </c>
      <c r="Q229" t="s">
        <v>537</v>
      </c>
      <c r="R229" t="s">
        <v>23</v>
      </c>
      <c r="S229" t="s">
        <v>23</v>
      </c>
      <c r="T229" t="s">
        <v>23</v>
      </c>
      <c r="U229" t="s">
        <v>23</v>
      </c>
    </row>
    <row r="230" spans="1:21" x14ac:dyDescent="0.25">
      <c r="A230" t="s">
        <v>538</v>
      </c>
      <c r="B230" t="s">
        <v>21</v>
      </c>
      <c r="C230" t="s">
        <v>22</v>
      </c>
      <c r="D230" s="1" t="s">
        <v>22</v>
      </c>
      <c r="E230" t="s">
        <v>23</v>
      </c>
      <c r="F230" t="s">
        <v>24</v>
      </c>
      <c r="G230" t="s">
        <v>25</v>
      </c>
      <c r="H230" t="s">
        <v>23</v>
      </c>
      <c r="I230" t="s">
        <v>26</v>
      </c>
      <c r="J230" t="s">
        <v>539</v>
      </c>
      <c r="K230">
        <v>-12.214370000000001</v>
      </c>
      <c r="L230">
        <v>-76.961715999999996</v>
      </c>
      <c r="M230" t="str">
        <f>HYPERLINK("https://www.google.com/maps/search/?api=1&amp;query=-12.21437,-76.961716","Calle 3, Villa El Salvador, Lima")</f>
        <v>Calle 3, Villa El Salvador, Lima</v>
      </c>
      <c r="N230">
        <v>7.6</v>
      </c>
      <c r="O230">
        <v>100</v>
      </c>
      <c r="P230">
        <v>2779.1</v>
      </c>
      <c r="Q230" t="s">
        <v>540</v>
      </c>
      <c r="R230" t="s">
        <v>23</v>
      </c>
      <c r="S230" t="s">
        <v>23</v>
      </c>
      <c r="T230" t="s">
        <v>23</v>
      </c>
      <c r="U230" t="s">
        <v>23</v>
      </c>
    </row>
    <row r="231" spans="1:21" x14ac:dyDescent="0.25">
      <c r="A231" t="s">
        <v>541</v>
      </c>
      <c r="B231" t="s">
        <v>21</v>
      </c>
      <c r="C231" t="s">
        <v>22</v>
      </c>
      <c r="D231" s="1" t="s">
        <v>22</v>
      </c>
      <c r="E231" t="s">
        <v>23</v>
      </c>
      <c r="F231" t="s">
        <v>24</v>
      </c>
      <c r="G231" t="s">
        <v>25</v>
      </c>
      <c r="H231" t="s">
        <v>23</v>
      </c>
      <c r="I231" t="s">
        <v>26</v>
      </c>
      <c r="J231" t="s">
        <v>542</v>
      </c>
      <c r="K231">
        <v>-12.214324</v>
      </c>
      <c r="L231">
        <v>-76.96163</v>
      </c>
      <c r="M231" t="str">
        <f>HYPERLINK("https://www.google.com/maps/search/?api=1&amp;query=-12.214324,-76.96163","Avenida Villa del Mar, Villa El Salvador, Lima")</f>
        <v>Avenida Villa del Mar, Villa El Salvador, Lima</v>
      </c>
      <c r="N231">
        <v>0</v>
      </c>
      <c r="O231">
        <v>100</v>
      </c>
      <c r="P231">
        <v>2779.2</v>
      </c>
      <c r="Q231" t="s">
        <v>543</v>
      </c>
      <c r="R231" t="s">
        <v>23</v>
      </c>
      <c r="S231" t="s">
        <v>23</v>
      </c>
      <c r="T231" t="s">
        <v>23</v>
      </c>
      <c r="U231" t="s">
        <v>23</v>
      </c>
    </row>
    <row r="232" spans="1:21" x14ac:dyDescent="0.25">
      <c r="A232" t="s">
        <v>544</v>
      </c>
      <c r="B232" t="s">
        <v>21</v>
      </c>
      <c r="C232" t="s">
        <v>22</v>
      </c>
      <c r="D232" s="1" t="s">
        <v>22</v>
      </c>
      <c r="E232" t="s">
        <v>23</v>
      </c>
      <c r="F232" t="s">
        <v>24</v>
      </c>
      <c r="G232" t="s">
        <v>25</v>
      </c>
      <c r="H232" t="s">
        <v>23</v>
      </c>
      <c r="I232" t="s">
        <v>26</v>
      </c>
      <c r="J232" t="s">
        <v>545</v>
      </c>
      <c r="K232">
        <v>-12.213592999999999</v>
      </c>
      <c r="L232">
        <v>-76.960555999999997</v>
      </c>
      <c r="M232" t="str">
        <f>HYPERLINK("https://www.google.com/maps/search/?api=1&amp;query=-12.213593,-76.960556","Calle 1, Villa El Salvador, Lima")</f>
        <v>Calle 1, Villa El Salvador, Lima</v>
      </c>
      <c r="N232">
        <v>6.8</v>
      </c>
      <c r="O232">
        <v>100</v>
      </c>
      <c r="P232">
        <v>2779.2</v>
      </c>
      <c r="Q232" t="s">
        <v>543</v>
      </c>
      <c r="R232" t="s">
        <v>23</v>
      </c>
      <c r="S232" t="s">
        <v>23</v>
      </c>
      <c r="T232" t="s">
        <v>23</v>
      </c>
      <c r="U232" t="s">
        <v>23</v>
      </c>
    </row>
    <row r="233" spans="1:21" x14ac:dyDescent="0.25">
      <c r="A233" t="s">
        <v>546</v>
      </c>
      <c r="B233" t="s">
        <v>21</v>
      </c>
      <c r="C233" t="s">
        <v>22</v>
      </c>
      <c r="D233" s="1" t="s">
        <v>22</v>
      </c>
      <c r="E233" t="s">
        <v>23</v>
      </c>
      <c r="F233" t="s">
        <v>24</v>
      </c>
      <c r="G233" t="s">
        <v>25</v>
      </c>
      <c r="H233" t="s">
        <v>23</v>
      </c>
      <c r="I233" t="s">
        <v>26</v>
      </c>
      <c r="J233" t="s">
        <v>547</v>
      </c>
      <c r="K233">
        <v>-12.212885</v>
      </c>
      <c r="L233">
        <v>-76.959366000000003</v>
      </c>
      <c r="M233" t="str">
        <f>HYPERLINK("https://www.google.com/maps/search/?api=1&amp;query=-12.212885,-76.959366","Avenida Villa del Mar, Villa El Salvador, Lima")</f>
        <v>Avenida Villa del Mar, Villa El Salvador, Lima</v>
      </c>
      <c r="N233">
        <v>9.4</v>
      </c>
      <c r="O233">
        <v>100</v>
      </c>
      <c r="P233">
        <v>2779.3</v>
      </c>
      <c r="Q233" t="s">
        <v>548</v>
      </c>
      <c r="R233" t="s">
        <v>80</v>
      </c>
      <c r="S233" t="s">
        <v>81</v>
      </c>
      <c r="T233" t="s">
        <v>82</v>
      </c>
      <c r="U233" t="s">
        <v>23</v>
      </c>
    </row>
    <row r="234" spans="1:21" x14ac:dyDescent="0.25">
      <c r="A234" t="s">
        <v>549</v>
      </c>
      <c r="B234" t="s">
        <v>21</v>
      </c>
      <c r="C234" t="s">
        <v>22</v>
      </c>
      <c r="D234" s="1" t="s">
        <v>22</v>
      </c>
      <c r="E234" t="s">
        <v>23</v>
      </c>
      <c r="F234" t="s">
        <v>24</v>
      </c>
      <c r="G234" t="s">
        <v>25</v>
      </c>
      <c r="H234" t="s">
        <v>23</v>
      </c>
      <c r="I234" t="s">
        <v>26</v>
      </c>
      <c r="J234" t="s">
        <v>547</v>
      </c>
      <c r="K234">
        <v>-12.212885</v>
      </c>
      <c r="L234">
        <v>-76.959366000000003</v>
      </c>
      <c r="M234" t="str">
        <f>HYPERLINK("https://www.google.com/maps/search/?api=1&amp;query=-12.212885,-76.959366","Avenida Villa del Mar, Villa El Salvador, Lima")</f>
        <v>Avenida Villa del Mar, Villa El Salvador, Lima</v>
      </c>
      <c r="N234">
        <v>9.4</v>
      </c>
      <c r="O234">
        <v>100</v>
      </c>
      <c r="P234">
        <v>2779.3</v>
      </c>
      <c r="Q234" t="s">
        <v>548</v>
      </c>
      <c r="R234" t="s">
        <v>23</v>
      </c>
      <c r="S234" t="s">
        <v>23</v>
      </c>
      <c r="T234" t="s">
        <v>23</v>
      </c>
      <c r="U234" t="s">
        <v>23</v>
      </c>
    </row>
    <row r="235" spans="1:21" x14ac:dyDescent="0.25">
      <c r="A235" t="s">
        <v>550</v>
      </c>
      <c r="B235" t="s">
        <v>21</v>
      </c>
      <c r="C235" t="s">
        <v>22</v>
      </c>
      <c r="D235" s="1" t="s">
        <v>22</v>
      </c>
      <c r="E235" t="s">
        <v>23</v>
      </c>
      <c r="F235" t="s">
        <v>24</v>
      </c>
      <c r="G235" t="s">
        <v>25</v>
      </c>
      <c r="H235" t="s">
        <v>23</v>
      </c>
      <c r="I235" t="s">
        <v>26</v>
      </c>
      <c r="J235" t="s">
        <v>551</v>
      </c>
      <c r="K235">
        <v>-12.212918999999999</v>
      </c>
      <c r="L235">
        <v>-76.959270000000004</v>
      </c>
      <c r="M235" t="str">
        <f>HYPERLINK("https://www.google.com/maps/search/?api=1&amp;query=-12.212919,-76.95927","Avenida Villa del Mar, Villa El Salvador, Lima")</f>
        <v>Avenida Villa del Mar, Villa El Salvador, Lima</v>
      </c>
      <c r="N235">
        <v>0</v>
      </c>
      <c r="O235">
        <v>100</v>
      </c>
      <c r="P235">
        <v>2779.5</v>
      </c>
      <c r="Q235" t="s">
        <v>552</v>
      </c>
      <c r="R235" t="s">
        <v>23</v>
      </c>
      <c r="S235" t="s">
        <v>23</v>
      </c>
      <c r="T235" t="s">
        <v>23</v>
      </c>
      <c r="U235" t="s">
        <v>23</v>
      </c>
    </row>
    <row r="236" spans="1:21" x14ac:dyDescent="0.25">
      <c r="A236" t="s">
        <v>553</v>
      </c>
      <c r="B236" t="s">
        <v>21</v>
      </c>
      <c r="C236" t="s">
        <v>22</v>
      </c>
      <c r="D236" s="1" t="s">
        <v>22</v>
      </c>
      <c r="E236" t="s">
        <v>23</v>
      </c>
      <c r="F236" t="s">
        <v>24</v>
      </c>
      <c r="G236" t="s">
        <v>25</v>
      </c>
      <c r="H236" t="s">
        <v>23</v>
      </c>
      <c r="I236" t="s">
        <v>26</v>
      </c>
      <c r="J236" t="s">
        <v>554</v>
      </c>
      <c r="K236">
        <v>-12.212918999999999</v>
      </c>
      <c r="L236">
        <v>-76.959270000000004</v>
      </c>
      <c r="M236" t="str">
        <f>HYPERLINK("https://www.google.com/maps/search/?api=1&amp;query=-12.212919,-76.95927","Avenida Villa del Mar, Villa El Salvador, Lima")</f>
        <v>Avenida Villa del Mar, Villa El Salvador, Lima</v>
      </c>
      <c r="N236">
        <v>0</v>
      </c>
      <c r="O236">
        <v>100</v>
      </c>
      <c r="P236">
        <v>2779.5</v>
      </c>
      <c r="Q236" t="s">
        <v>555</v>
      </c>
      <c r="R236" t="s">
        <v>23</v>
      </c>
      <c r="S236" t="s">
        <v>23</v>
      </c>
      <c r="T236" t="s">
        <v>23</v>
      </c>
      <c r="U236" t="s">
        <v>23</v>
      </c>
    </row>
    <row r="237" spans="1:21" x14ac:dyDescent="0.25">
      <c r="A237" t="s">
        <v>556</v>
      </c>
      <c r="B237" t="s">
        <v>21</v>
      </c>
      <c r="C237" t="s">
        <v>22</v>
      </c>
      <c r="D237" s="1" t="s">
        <v>22</v>
      </c>
      <c r="E237" t="s">
        <v>23</v>
      </c>
      <c r="F237" t="s">
        <v>24</v>
      </c>
      <c r="G237" t="s">
        <v>25</v>
      </c>
      <c r="H237" t="s">
        <v>23</v>
      </c>
      <c r="I237" t="s">
        <v>26</v>
      </c>
      <c r="J237" t="s">
        <v>557</v>
      </c>
      <c r="K237">
        <v>-12.212911</v>
      </c>
      <c r="L237">
        <v>-76.959249999999997</v>
      </c>
      <c r="M237" t="str">
        <f>HYPERLINK("https://www.google.com/maps/search/?api=1&amp;query=-12.212911,-76.95925","Avenida Villa del Mar, Villa El Salvador, Lima")</f>
        <v>Avenida Villa del Mar, Villa El Salvador, Lima</v>
      </c>
      <c r="N237">
        <v>3.6</v>
      </c>
      <c r="O237">
        <v>100</v>
      </c>
      <c r="P237">
        <v>2779.5</v>
      </c>
      <c r="Q237" t="s">
        <v>555</v>
      </c>
      <c r="R237" t="s">
        <v>23</v>
      </c>
      <c r="S237" t="s">
        <v>23</v>
      </c>
      <c r="T237" t="s">
        <v>23</v>
      </c>
      <c r="U237" t="s">
        <v>23</v>
      </c>
    </row>
    <row r="238" spans="1:21" x14ac:dyDescent="0.25">
      <c r="A238" t="s">
        <v>558</v>
      </c>
      <c r="B238" t="s">
        <v>21</v>
      </c>
      <c r="C238" t="s">
        <v>22</v>
      </c>
      <c r="D238" s="1" t="s">
        <v>22</v>
      </c>
      <c r="E238" t="s">
        <v>23</v>
      </c>
      <c r="F238" t="s">
        <v>24</v>
      </c>
      <c r="G238" t="s">
        <v>25</v>
      </c>
      <c r="H238" t="s">
        <v>23</v>
      </c>
      <c r="I238" t="s">
        <v>26</v>
      </c>
      <c r="J238" t="s">
        <v>559</v>
      </c>
      <c r="K238">
        <v>-12.212911</v>
      </c>
      <c r="L238">
        <v>-76.959230000000005</v>
      </c>
      <c r="M238" t="str">
        <f>HYPERLINK("https://www.google.com/maps/search/?api=1&amp;query=-12.212911,-76.95923","Avenida Villa del Mar, Villa El Salvador, Lima")</f>
        <v>Avenida Villa del Mar, Villa El Salvador, Lima</v>
      </c>
      <c r="N238">
        <v>0.3</v>
      </c>
      <c r="O238">
        <v>100</v>
      </c>
      <c r="P238">
        <v>2779.5</v>
      </c>
      <c r="Q238" t="s">
        <v>555</v>
      </c>
      <c r="R238" t="s">
        <v>23</v>
      </c>
      <c r="S238" t="s">
        <v>23</v>
      </c>
      <c r="T238" t="s">
        <v>23</v>
      </c>
      <c r="U238" t="s">
        <v>23</v>
      </c>
    </row>
    <row r="239" spans="1:21" x14ac:dyDescent="0.25">
      <c r="A239" t="s">
        <v>560</v>
      </c>
      <c r="B239" t="s">
        <v>21</v>
      </c>
      <c r="C239" t="s">
        <v>22</v>
      </c>
      <c r="D239" s="1" t="s">
        <v>22</v>
      </c>
      <c r="E239" t="s">
        <v>23</v>
      </c>
      <c r="F239" t="s">
        <v>24</v>
      </c>
      <c r="G239" t="s">
        <v>25</v>
      </c>
      <c r="H239" t="s">
        <v>23</v>
      </c>
      <c r="I239" t="s">
        <v>26</v>
      </c>
      <c r="J239" t="s">
        <v>561</v>
      </c>
      <c r="K239">
        <v>-12.212925</v>
      </c>
      <c r="L239">
        <v>-76.95917</v>
      </c>
      <c r="M239" t="str">
        <f>HYPERLINK("https://www.google.com/maps/search/?api=1&amp;query=-12.212925,-76.95917","Avenida Villa del Mar, Villa El Salvador, Lima")</f>
        <v>Avenida Villa del Mar, Villa El Salvador, Lima</v>
      </c>
      <c r="N239">
        <v>0</v>
      </c>
      <c r="O239">
        <v>100</v>
      </c>
      <c r="P239">
        <v>2779.5</v>
      </c>
      <c r="Q239" t="s">
        <v>562</v>
      </c>
      <c r="R239" t="s">
        <v>289</v>
      </c>
      <c r="S239" t="s">
        <v>23</v>
      </c>
      <c r="T239" t="s">
        <v>23</v>
      </c>
      <c r="U239" t="s">
        <v>23</v>
      </c>
    </row>
    <row r="240" spans="1:21" x14ac:dyDescent="0.25">
      <c r="A240" t="s">
        <v>563</v>
      </c>
      <c r="B240" t="s">
        <v>21</v>
      </c>
      <c r="C240" t="s">
        <v>22</v>
      </c>
      <c r="D240" s="1" t="s">
        <v>22</v>
      </c>
      <c r="E240" t="s">
        <v>23</v>
      </c>
      <c r="F240" t="s">
        <v>24</v>
      </c>
      <c r="G240" t="s">
        <v>25</v>
      </c>
      <c r="H240" t="s">
        <v>23</v>
      </c>
      <c r="I240" t="s">
        <v>26</v>
      </c>
      <c r="J240" t="s">
        <v>564</v>
      </c>
      <c r="K240">
        <v>-12.212925</v>
      </c>
      <c r="L240">
        <v>-76.95917</v>
      </c>
      <c r="M240" t="str">
        <f>HYPERLINK("https://www.google.com/maps/search/?api=1&amp;query=-12.212925,-76.95917","Avenida Villa del Mar, Villa El Salvador, Lima")</f>
        <v>Avenida Villa del Mar, Villa El Salvador, Lima</v>
      </c>
      <c r="N240">
        <v>0</v>
      </c>
      <c r="O240">
        <v>100</v>
      </c>
      <c r="P240">
        <v>2779.5</v>
      </c>
      <c r="Q240" t="s">
        <v>562</v>
      </c>
      <c r="R240" t="s">
        <v>23</v>
      </c>
      <c r="S240" t="s">
        <v>23</v>
      </c>
      <c r="T240" t="s">
        <v>23</v>
      </c>
      <c r="U240" t="s">
        <v>23</v>
      </c>
    </row>
    <row r="241" spans="1:21" x14ac:dyDescent="0.25">
      <c r="A241" t="s">
        <v>565</v>
      </c>
      <c r="B241" t="s">
        <v>21</v>
      </c>
      <c r="C241" t="s">
        <v>22</v>
      </c>
      <c r="D241" s="1" t="s">
        <v>22</v>
      </c>
      <c r="E241" t="s">
        <v>23</v>
      </c>
      <c r="F241" t="s">
        <v>24</v>
      </c>
      <c r="G241" t="s">
        <v>25</v>
      </c>
      <c r="H241" t="s">
        <v>23</v>
      </c>
      <c r="I241" t="s">
        <v>26</v>
      </c>
      <c r="J241" t="s">
        <v>566</v>
      </c>
      <c r="K241">
        <v>-12.212925</v>
      </c>
      <c r="L241">
        <v>-76.95917</v>
      </c>
      <c r="M241" t="str">
        <f>HYPERLINK("https://www.google.com/maps/search/?api=1&amp;query=-12.212925,-76.95917","Avenida Villa del Mar, Villa El Salvador, Lima")</f>
        <v>Avenida Villa del Mar, Villa El Salvador, Lima</v>
      </c>
      <c r="N241">
        <v>0</v>
      </c>
      <c r="O241">
        <v>100</v>
      </c>
      <c r="P241">
        <v>2779.5</v>
      </c>
      <c r="Q241" t="s">
        <v>562</v>
      </c>
      <c r="R241" t="s">
        <v>87</v>
      </c>
      <c r="S241" t="s">
        <v>23</v>
      </c>
      <c r="T241" t="s">
        <v>23</v>
      </c>
      <c r="U241" t="s">
        <v>23</v>
      </c>
    </row>
    <row r="242" spans="1:21" x14ac:dyDescent="0.25">
      <c r="A242" t="s">
        <v>567</v>
      </c>
      <c r="B242" t="s">
        <v>21</v>
      </c>
      <c r="C242" t="s">
        <v>22</v>
      </c>
      <c r="D242" s="1" t="s">
        <v>22</v>
      </c>
      <c r="E242" t="s">
        <v>23</v>
      </c>
      <c r="F242" t="s">
        <v>24</v>
      </c>
      <c r="G242" t="s">
        <v>25</v>
      </c>
      <c r="H242" t="s">
        <v>23</v>
      </c>
      <c r="I242" t="s">
        <v>26</v>
      </c>
      <c r="J242" t="s">
        <v>568</v>
      </c>
      <c r="K242">
        <v>-12.212975</v>
      </c>
      <c r="L242">
        <v>-76.959059999999994</v>
      </c>
      <c r="M242" t="str">
        <f>HYPERLINK("https://www.google.com/maps/search/?api=1&amp;query=-12.212975,-76.95906","Avenida Villa del Mar, Villa El Salvador, Lima")</f>
        <v>Avenida Villa del Mar, Villa El Salvador, Lima</v>
      </c>
      <c r="N242">
        <v>0.1</v>
      </c>
      <c r="O242">
        <v>100</v>
      </c>
      <c r="P242">
        <v>2779.5</v>
      </c>
      <c r="Q242" t="s">
        <v>562</v>
      </c>
      <c r="R242" t="s">
        <v>23</v>
      </c>
      <c r="S242" t="s">
        <v>23</v>
      </c>
      <c r="T242" t="s">
        <v>23</v>
      </c>
      <c r="U242" t="s">
        <v>23</v>
      </c>
    </row>
    <row r="243" spans="1:21" x14ac:dyDescent="0.25">
      <c r="A243" t="s">
        <v>569</v>
      </c>
      <c r="B243" t="s">
        <v>21</v>
      </c>
      <c r="C243" t="s">
        <v>22</v>
      </c>
      <c r="D243" s="1" t="s">
        <v>22</v>
      </c>
      <c r="E243" t="s">
        <v>23</v>
      </c>
      <c r="F243" t="s">
        <v>24</v>
      </c>
      <c r="G243" t="s">
        <v>25</v>
      </c>
      <c r="H243" t="s">
        <v>23</v>
      </c>
      <c r="I243" t="s">
        <v>26</v>
      </c>
      <c r="J243" t="s">
        <v>570</v>
      </c>
      <c r="K243">
        <v>-12.212967000000001</v>
      </c>
      <c r="L243">
        <v>-76.95908</v>
      </c>
      <c r="M243" t="str">
        <f t="shared" ref="M243:M253" si="1">HYPERLINK("https://www.google.com/maps/search/?api=1&amp;query=-12.212967,-76.95908","Avenida Villa del Mar, Villa El Salvador, Lima")</f>
        <v>Avenida Villa del Mar, Villa El Salvador, Lima</v>
      </c>
      <c r="N243">
        <v>0</v>
      </c>
      <c r="O243">
        <v>100</v>
      </c>
      <c r="P243">
        <v>2779.5</v>
      </c>
      <c r="Q243" t="s">
        <v>562</v>
      </c>
      <c r="R243" t="s">
        <v>23</v>
      </c>
      <c r="S243" t="s">
        <v>23</v>
      </c>
      <c r="T243" t="s">
        <v>23</v>
      </c>
      <c r="U243" t="s">
        <v>23</v>
      </c>
    </row>
    <row r="244" spans="1:21" x14ac:dyDescent="0.25">
      <c r="A244" t="s">
        <v>571</v>
      </c>
      <c r="B244" t="s">
        <v>21</v>
      </c>
      <c r="C244" t="s">
        <v>22</v>
      </c>
      <c r="D244" s="1" t="s">
        <v>22</v>
      </c>
      <c r="E244" t="s">
        <v>23</v>
      </c>
      <c r="F244" t="s">
        <v>24</v>
      </c>
      <c r="G244" t="s">
        <v>25</v>
      </c>
      <c r="H244" t="s">
        <v>23</v>
      </c>
      <c r="I244" t="s">
        <v>26</v>
      </c>
      <c r="J244" t="s">
        <v>572</v>
      </c>
      <c r="K244">
        <v>-12.212967000000001</v>
      </c>
      <c r="L244">
        <v>-76.95908</v>
      </c>
      <c r="M244" t="str">
        <f t="shared" si="1"/>
        <v>Avenida Villa del Mar, Villa El Salvador, Lima</v>
      </c>
      <c r="N244">
        <v>0</v>
      </c>
      <c r="O244">
        <v>100</v>
      </c>
      <c r="P244">
        <v>2779.6</v>
      </c>
      <c r="Q244" t="s">
        <v>573</v>
      </c>
      <c r="R244" t="s">
        <v>23</v>
      </c>
      <c r="S244" t="s">
        <v>23</v>
      </c>
      <c r="T244" t="s">
        <v>23</v>
      </c>
      <c r="U244" t="s">
        <v>23</v>
      </c>
    </row>
    <row r="245" spans="1:21" x14ac:dyDescent="0.25">
      <c r="A245" t="s">
        <v>574</v>
      </c>
      <c r="B245" t="s">
        <v>21</v>
      </c>
      <c r="C245" t="s">
        <v>22</v>
      </c>
      <c r="D245" s="1" t="s">
        <v>22</v>
      </c>
      <c r="E245" t="s">
        <v>23</v>
      </c>
      <c r="F245" t="s">
        <v>24</v>
      </c>
      <c r="G245" t="s">
        <v>25</v>
      </c>
      <c r="H245" t="s">
        <v>23</v>
      </c>
      <c r="I245" t="s">
        <v>26</v>
      </c>
      <c r="J245" t="s">
        <v>572</v>
      </c>
      <c r="K245">
        <v>-12.212967000000001</v>
      </c>
      <c r="L245">
        <v>-76.95908</v>
      </c>
      <c r="M245" t="str">
        <f t="shared" si="1"/>
        <v>Avenida Villa del Mar, Villa El Salvador, Lima</v>
      </c>
      <c r="N245">
        <v>0</v>
      </c>
      <c r="O245">
        <v>100</v>
      </c>
      <c r="P245">
        <v>2779.6</v>
      </c>
      <c r="Q245" t="s">
        <v>573</v>
      </c>
      <c r="R245" t="s">
        <v>289</v>
      </c>
      <c r="S245" t="s">
        <v>23</v>
      </c>
      <c r="T245" t="s">
        <v>23</v>
      </c>
      <c r="U245" t="s">
        <v>23</v>
      </c>
    </row>
    <row r="246" spans="1:21" x14ac:dyDescent="0.25">
      <c r="A246" t="s">
        <v>575</v>
      </c>
      <c r="B246" t="s">
        <v>21</v>
      </c>
      <c r="C246" t="s">
        <v>22</v>
      </c>
      <c r="D246" s="1" t="s">
        <v>22</v>
      </c>
      <c r="E246" t="s">
        <v>23</v>
      </c>
      <c r="F246" t="s">
        <v>24</v>
      </c>
      <c r="G246" t="s">
        <v>25</v>
      </c>
      <c r="H246" t="s">
        <v>23</v>
      </c>
      <c r="I246" t="s">
        <v>26</v>
      </c>
      <c r="J246" t="s">
        <v>576</v>
      </c>
      <c r="K246">
        <v>-12.212967000000001</v>
      </c>
      <c r="L246">
        <v>-76.95908</v>
      </c>
      <c r="M246" t="str">
        <f t="shared" si="1"/>
        <v>Avenida Villa del Mar, Villa El Salvador, Lima</v>
      </c>
      <c r="N246">
        <v>0</v>
      </c>
      <c r="O246">
        <v>100</v>
      </c>
      <c r="P246">
        <v>2779.6</v>
      </c>
      <c r="Q246" t="s">
        <v>573</v>
      </c>
      <c r="R246" t="s">
        <v>23</v>
      </c>
      <c r="S246" t="s">
        <v>23</v>
      </c>
      <c r="T246" t="s">
        <v>23</v>
      </c>
      <c r="U246" t="s">
        <v>23</v>
      </c>
    </row>
    <row r="247" spans="1:21" x14ac:dyDescent="0.25">
      <c r="A247" t="s">
        <v>577</v>
      </c>
      <c r="B247" t="s">
        <v>21</v>
      </c>
      <c r="C247" t="s">
        <v>22</v>
      </c>
      <c r="D247" s="1" t="s">
        <v>22</v>
      </c>
      <c r="E247" t="s">
        <v>23</v>
      </c>
      <c r="F247" t="s">
        <v>24</v>
      </c>
      <c r="G247" t="s">
        <v>25</v>
      </c>
      <c r="H247" t="s">
        <v>23</v>
      </c>
      <c r="I247" t="s">
        <v>26</v>
      </c>
      <c r="J247" t="s">
        <v>578</v>
      </c>
      <c r="K247">
        <v>-12.212967000000001</v>
      </c>
      <c r="L247">
        <v>-76.95908</v>
      </c>
      <c r="M247" t="str">
        <f t="shared" si="1"/>
        <v>Avenida Villa del Mar, Villa El Salvador, Lima</v>
      </c>
      <c r="N247">
        <v>0</v>
      </c>
      <c r="O247">
        <v>100</v>
      </c>
      <c r="P247">
        <v>2779.6</v>
      </c>
      <c r="Q247" t="s">
        <v>579</v>
      </c>
      <c r="R247" t="s">
        <v>23</v>
      </c>
      <c r="S247" t="s">
        <v>23</v>
      </c>
      <c r="T247" t="s">
        <v>23</v>
      </c>
      <c r="U247" t="s">
        <v>23</v>
      </c>
    </row>
    <row r="248" spans="1:21" x14ac:dyDescent="0.25">
      <c r="A248" t="s">
        <v>580</v>
      </c>
      <c r="B248" t="s">
        <v>21</v>
      </c>
      <c r="C248" t="s">
        <v>22</v>
      </c>
      <c r="D248" s="1" t="s">
        <v>22</v>
      </c>
      <c r="E248" t="s">
        <v>23</v>
      </c>
      <c r="F248" t="s">
        <v>24</v>
      </c>
      <c r="G248" t="s">
        <v>25</v>
      </c>
      <c r="H248" t="s">
        <v>23</v>
      </c>
      <c r="I248" t="s">
        <v>26</v>
      </c>
      <c r="J248" t="s">
        <v>581</v>
      </c>
      <c r="K248">
        <v>-12.212967000000001</v>
      </c>
      <c r="L248">
        <v>-76.95908</v>
      </c>
      <c r="M248" t="str">
        <f t="shared" si="1"/>
        <v>Avenida Villa del Mar, Villa El Salvador, Lima</v>
      </c>
      <c r="N248">
        <v>0</v>
      </c>
      <c r="O248">
        <v>100</v>
      </c>
      <c r="P248">
        <v>2779.6</v>
      </c>
      <c r="Q248" t="s">
        <v>579</v>
      </c>
      <c r="R248" t="s">
        <v>23</v>
      </c>
      <c r="S248" t="s">
        <v>23</v>
      </c>
      <c r="T248" t="s">
        <v>23</v>
      </c>
      <c r="U248" t="s">
        <v>23</v>
      </c>
    </row>
    <row r="249" spans="1:21" x14ac:dyDescent="0.25">
      <c r="A249" t="s">
        <v>582</v>
      </c>
      <c r="B249" t="s">
        <v>21</v>
      </c>
      <c r="C249" t="s">
        <v>22</v>
      </c>
      <c r="D249" s="1" t="s">
        <v>22</v>
      </c>
      <c r="E249" t="s">
        <v>23</v>
      </c>
      <c r="F249" t="s">
        <v>24</v>
      </c>
      <c r="G249" t="s">
        <v>25</v>
      </c>
      <c r="H249" t="s">
        <v>23</v>
      </c>
      <c r="I249" t="s">
        <v>26</v>
      </c>
      <c r="J249" t="s">
        <v>583</v>
      </c>
      <c r="K249">
        <v>-12.212967000000001</v>
      </c>
      <c r="L249">
        <v>-76.95908</v>
      </c>
      <c r="M249" t="str">
        <f t="shared" si="1"/>
        <v>Avenida Villa del Mar, Villa El Salvador, Lima</v>
      </c>
      <c r="N249">
        <v>0</v>
      </c>
      <c r="O249">
        <v>100</v>
      </c>
      <c r="P249">
        <v>2779.6</v>
      </c>
      <c r="Q249" t="s">
        <v>579</v>
      </c>
      <c r="R249" t="s">
        <v>23</v>
      </c>
      <c r="S249" t="s">
        <v>23</v>
      </c>
      <c r="T249" t="s">
        <v>23</v>
      </c>
      <c r="U249" t="s">
        <v>23</v>
      </c>
    </row>
    <row r="250" spans="1:21" x14ac:dyDescent="0.25">
      <c r="A250" t="s">
        <v>584</v>
      </c>
      <c r="B250" t="s">
        <v>21</v>
      </c>
      <c r="C250" t="s">
        <v>22</v>
      </c>
      <c r="D250" s="1" t="s">
        <v>22</v>
      </c>
      <c r="E250" t="s">
        <v>23</v>
      </c>
      <c r="F250" t="s">
        <v>24</v>
      </c>
      <c r="G250" t="s">
        <v>25</v>
      </c>
      <c r="H250" t="s">
        <v>23</v>
      </c>
      <c r="I250" t="s">
        <v>26</v>
      </c>
      <c r="J250" t="s">
        <v>585</v>
      </c>
      <c r="K250">
        <v>-12.212967000000001</v>
      </c>
      <c r="L250">
        <v>-76.95908</v>
      </c>
      <c r="M250" t="str">
        <f t="shared" si="1"/>
        <v>Avenida Villa del Mar, Villa El Salvador, Lima</v>
      </c>
      <c r="N250">
        <v>0</v>
      </c>
      <c r="O250">
        <v>100</v>
      </c>
      <c r="P250">
        <v>2779.6</v>
      </c>
      <c r="Q250" t="s">
        <v>579</v>
      </c>
      <c r="R250" t="s">
        <v>23</v>
      </c>
      <c r="S250" t="s">
        <v>23</v>
      </c>
      <c r="T250" t="s">
        <v>23</v>
      </c>
      <c r="U250" t="s">
        <v>23</v>
      </c>
    </row>
    <row r="251" spans="1:21" x14ac:dyDescent="0.25">
      <c r="A251" t="s">
        <v>586</v>
      </c>
      <c r="B251" t="s">
        <v>21</v>
      </c>
      <c r="C251" t="s">
        <v>22</v>
      </c>
      <c r="D251" s="1" t="s">
        <v>22</v>
      </c>
      <c r="E251" t="s">
        <v>23</v>
      </c>
      <c r="F251" t="s">
        <v>24</v>
      </c>
      <c r="G251" t="s">
        <v>25</v>
      </c>
      <c r="H251" t="s">
        <v>23</v>
      </c>
      <c r="I251" t="s">
        <v>26</v>
      </c>
      <c r="J251" t="s">
        <v>587</v>
      </c>
      <c r="K251">
        <v>-12.212967000000001</v>
      </c>
      <c r="L251">
        <v>-76.95908</v>
      </c>
      <c r="M251" t="str">
        <f t="shared" si="1"/>
        <v>Avenida Villa del Mar, Villa El Salvador, Lima</v>
      </c>
      <c r="N251">
        <v>0</v>
      </c>
      <c r="O251">
        <v>100</v>
      </c>
      <c r="P251">
        <v>2779.6</v>
      </c>
      <c r="Q251" t="s">
        <v>579</v>
      </c>
      <c r="R251" t="s">
        <v>23</v>
      </c>
      <c r="S251" t="s">
        <v>23</v>
      </c>
      <c r="T251" t="s">
        <v>23</v>
      </c>
      <c r="U251" t="s">
        <v>23</v>
      </c>
    </row>
    <row r="252" spans="1:21" x14ac:dyDescent="0.25">
      <c r="A252" t="s">
        <v>588</v>
      </c>
      <c r="B252" t="s">
        <v>21</v>
      </c>
      <c r="C252" t="s">
        <v>22</v>
      </c>
      <c r="D252" s="1" t="s">
        <v>22</v>
      </c>
      <c r="E252" t="s">
        <v>23</v>
      </c>
      <c r="F252" t="s">
        <v>24</v>
      </c>
      <c r="G252" t="s">
        <v>25</v>
      </c>
      <c r="H252" t="s">
        <v>23</v>
      </c>
      <c r="I252" t="s">
        <v>26</v>
      </c>
      <c r="J252" t="s">
        <v>589</v>
      </c>
      <c r="K252">
        <v>-12.212967000000001</v>
      </c>
      <c r="L252">
        <v>-76.95908</v>
      </c>
      <c r="M252" t="str">
        <f t="shared" si="1"/>
        <v>Avenida Villa del Mar, Villa El Salvador, Lima</v>
      </c>
      <c r="N252">
        <v>0</v>
      </c>
      <c r="O252">
        <v>100</v>
      </c>
      <c r="P252">
        <v>2779.6</v>
      </c>
      <c r="Q252" t="s">
        <v>579</v>
      </c>
      <c r="R252" t="s">
        <v>23</v>
      </c>
      <c r="S252" t="s">
        <v>23</v>
      </c>
      <c r="T252" t="s">
        <v>23</v>
      </c>
      <c r="U252" t="s">
        <v>23</v>
      </c>
    </row>
    <row r="253" spans="1:21" x14ac:dyDescent="0.25">
      <c r="A253" t="s">
        <v>590</v>
      </c>
      <c r="B253" t="s">
        <v>21</v>
      </c>
      <c r="C253" t="s">
        <v>22</v>
      </c>
      <c r="D253" s="1" t="s">
        <v>22</v>
      </c>
      <c r="E253" t="s">
        <v>23</v>
      </c>
      <c r="F253" t="s">
        <v>24</v>
      </c>
      <c r="G253" t="s">
        <v>25</v>
      </c>
      <c r="H253" t="s">
        <v>23</v>
      </c>
      <c r="I253" t="s">
        <v>26</v>
      </c>
      <c r="J253" t="s">
        <v>591</v>
      </c>
      <c r="K253">
        <v>-12.212967000000001</v>
      </c>
      <c r="L253">
        <v>-76.95908</v>
      </c>
      <c r="M253" t="str">
        <f t="shared" si="1"/>
        <v>Avenida Villa del Mar, Villa El Salvador, Lima</v>
      </c>
      <c r="N253">
        <v>0</v>
      </c>
      <c r="O253">
        <v>100</v>
      </c>
      <c r="P253">
        <v>2779.6</v>
      </c>
      <c r="Q253" t="s">
        <v>579</v>
      </c>
      <c r="R253" t="s">
        <v>23</v>
      </c>
      <c r="S253" t="s">
        <v>23</v>
      </c>
      <c r="T253" t="s">
        <v>23</v>
      </c>
      <c r="U253" t="s">
        <v>23</v>
      </c>
    </row>
    <row r="254" spans="1:21" x14ac:dyDescent="0.25">
      <c r="A254" t="s">
        <v>592</v>
      </c>
      <c r="B254" t="s">
        <v>21</v>
      </c>
      <c r="C254" t="s">
        <v>22</v>
      </c>
      <c r="D254" s="1" t="s">
        <v>22</v>
      </c>
      <c r="E254" t="s">
        <v>23</v>
      </c>
      <c r="F254" t="s">
        <v>24</v>
      </c>
      <c r="G254" t="s">
        <v>25</v>
      </c>
      <c r="H254" t="s">
        <v>23</v>
      </c>
      <c r="I254" t="s">
        <v>26</v>
      </c>
      <c r="J254" t="s">
        <v>593</v>
      </c>
      <c r="K254">
        <v>-12.212961</v>
      </c>
      <c r="L254">
        <v>-76.959329999999994</v>
      </c>
      <c r="M254" t="str">
        <f t="shared" ref="M254:M260" si="2">HYPERLINK("https://www.google.com/maps/search/?api=1&amp;query=-12.212961,-76.95933","Avenida Villa del Mar, Villa El Salvador, Lima")</f>
        <v>Avenida Villa del Mar, Villa El Salvador, Lima</v>
      </c>
      <c r="N254">
        <v>0</v>
      </c>
      <c r="O254">
        <v>100</v>
      </c>
      <c r="P254">
        <v>2779.6</v>
      </c>
      <c r="Q254" t="s">
        <v>579</v>
      </c>
      <c r="R254" t="s">
        <v>23</v>
      </c>
      <c r="S254" t="s">
        <v>23</v>
      </c>
      <c r="T254" t="s">
        <v>23</v>
      </c>
      <c r="U254" t="s">
        <v>23</v>
      </c>
    </row>
    <row r="255" spans="1:21" x14ac:dyDescent="0.25">
      <c r="A255" t="s">
        <v>594</v>
      </c>
      <c r="B255" t="s">
        <v>21</v>
      </c>
      <c r="C255" t="s">
        <v>22</v>
      </c>
      <c r="D255" s="1" t="s">
        <v>22</v>
      </c>
      <c r="E255" t="s">
        <v>23</v>
      </c>
      <c r="F255" t="s">
        <v>24</v>
      </c>
      <c r="G255" t="s">
        <v>25</v>
      </c>
      <c r="H255" t="s">
        <v>23</v>
      </c>
      <c r="I255" t="s">
        <v>26</v>
      </c>
      <c r="J255" t="s">
        <v>595</v>
      </c>
      <c r="K255">
        <v>-12.212961</v>
      </c>
      <c r="L255">
        <v>-76.959329999999994</v>
      </c>
      <c r="M255" t="str">
        <f t="shared" si="2"/>
        <v>Avenida Villa del Mar, Villa El Salvador, Lima</v>
      </c>
      <c r="N255">
        <v>0</v>
      </c>
      <c r="O255">
        <v>100</v>
      </c>
      <c r="P255">
        <v>2779.6</v>
      </c>
      <c r="Q255" t="s">
        <v>579</v>
      </c>
      <c r="R255" t="s">
        <v>23</v>
      </c>
      <c r="S255" t="s">
        <v>23</v>
      </c>
      <c r="T255" t="s">
        <v>23</v>
      </c>
      <c r="U255" t="s">
        <v>23</v>
      </c>
    </row>
    <row r="256" spans="1:21" x14ac:dyDescent="0.25">
      <c r="A256" t="s">
        <v>596</v>
      </c>
      <c r="B256" t="s">
        <v>21</v>
      </c>
      <c r="C256" t="s">
        <v>22</v>
      </c>
      <c r="D256" s="1" t="s">
        <v>22</v>
      </c>
      <c r="E256" t="s">
        <v>23</v>
      </c>
      <c r="F256" t="s">
        <v>24</v>
      </c>
      <c r="G256" t="s">
        <v>25</v>
      </c>
      <c r="H256" t="s">
        <v>23</v>
      </c>
      <c r="I256" t="s">
        <v>26</v>
      </c>
      <c r="J256" t="s">
        <v>597</v>
      </c>
      <c r="K256">
        <v>-12.212961</v>
      </c>
      <c r="L256">
        <v>-76.959329999999994</v>
      </c>
      <c r="M256" t="str">
        <f t="shared" si="2"/>
        <v>Avenida Villa del Mar, Villa El Salvador, Lima</v>
      </c>
      <c r="N256">
        <v>0</v>
      </c>
      <c r="O256">
        <v>100</v>
      </c>
      <c r="P256">
        <v>2779.6</v>
      </c>
      <c r="Q256" t="s">
        <v>579</v>
      </c>
      <c r="R256" t="s">
        <v>23</v>
      </c>
      <c r="S256" t="s">
        <v>23</v>
      </c>
      <c r="T256" t="s">
        <v>23</v>
      </c>
      <c r="U256" t="s">
        <v>23</v>
      </c>
    </row>
    <row r="257" spans="1:21" x14ac:dyDescent="0.25">
      <c r="A257" t="s">
        <v>598</v>
      </c>
      <c r="B257" t="s">
        <v>21</v>
      </c>
      <c r="C257" t="s">
        <v>22</v>
      </c>
      <c r="D257" s="1" t="s">
        <v>22</v>
      </c>
      <c r="E257" t="s">
        <v>23</v>
      </c>
      <c r="F257" t="s">
        <v>24</v>
      </c>
      <c r="G257" t="s">
        <v>25</v>
      </c>
      <c r="H257" t="s">
        <v>23</v>
      </c>
      <c r="I257" t="s">
        <v>26</v>
      </c>
      <c r="J257" t="s">
        <v>599</v>
      </c>
      <c r="K257">
        <v>-12.212961</v>
      </c>
      <c r="L257">
        <v>-76.959329999999994</v>
      </c>
      <c r="M257" t="str">
        <f t="shared" si="2"/>
        <v>Avenida Villa del Mar, Villa El Salvador, Lima</v>
      </c>
      <c r="N257">
        <v>0</v>
      </c>
      <c r="O257">
        <v>100</v>
      </c>
      <c r="P257">
        <v>2779.6</v>
      </c>
      <c r="Q257" t="s">
        <v>579</v>
      </c>
      <c r="R257" t="s">
        <v>23</v>
      </c>
      <c r="S257" t="s">
        <v>23</v>
      </c>
      <c r="T257" t="s">
        <v>23</v>
      </c>
      <c r="U257" t="s">
        <v>23</v>
      </c>
    </row>
    <row r="258" spans="1:21" x14ac:dyDescent="0.25">
      <c r="A258" t="s">
        <v>600</v>
      </c>
      <c r="B258" t="s">
        <v>21</v>
      </c>
      <c r="C258" t="s">
        <v>22</v>
      </c>
      <c r="D258" s="1" t="s">
        <v>22</v>
      </c>
      <c r="E258" t="s">
        <v>23</v>
      </c>
      <c r="F258" t="s">
        <v>24</v>
      </c>
      <c r="G258" t="s">
        <v>25</v>
      </c>
      <c r="H258" t="s">
        <v>23</v>
      </c>
      <c r="I258" t="s">
        <v>26</v>
      </c>
      <c r="J258" t="s">
        <v>601</v>
      </c>
      <c r="K258">
        <v>-12.212961</v>
      </c>
      <c r="L258">
        <v>-76.959329999999994</v>
      </c>
      <c r="M258" t="str">
        <f t="shared" si="2"/>
        <v>Avenida Villa del Mar, Villa El Salvador, Lima</v>
      </c>
      <c r="N258">
        <v>0</v>
      </c>
      <c r="O258">
        <v>100</v>
      </c>
      <c r="P258">
        <v>2779.6</v>
      </c>
      <c r="Q258" t="s">
        <v>579</v>
      </c>
      <c r="R258" t="s">
        <v>23</v>
      </c>
      <c r="S258" t="s">
        <v>23</v>
      </c>
      <c r="T258" t="s">
        <v>23</v>
      </c>
      <c r="U258" t="s">
        <v>23</v>
      </c>
    </row>
    <row r="259" spans="1:21" x14ac:dyDescent="0.25">
      <c r="A259" t="s">
        <v>602</v>
      </c>
      <c r="B259" t="s">
        <v>21</v>
      </c>
      <c r="C259" t="s">
        <v>22</v>
      </c>
      <c r="D259" s="1" t="s">
        <v>22</v>
      </c>
      <c r="E259" t="s">
        <v>23</v>
      </c>
      <c r="F259" t="s">
        <v>24</v>
      </c>
      <c r="G259" t="s">
        <v>25</v>
      </c>
      <c r="H259" t="s">
        <v>23</v>
      </c>
      <c r="I259" t="s">
        <v>26</v>
      </c>
      <c r="J259" t="s">
        <v>603</v>
      </c>
      <c r="K259">
        <v>-12.212961</v>
      </c>
      <c r="L259">
        <v>-76.959329999999994</v>
      </c>
      <c r="M259" t="str">
        <f t="shared" si="2"/>
        <v>Avenida Villa del Mar, Villa El Salvador, Lima</v>
      </c>
      <c r="N259">
        <v>0</v>
      </c>
      <c r="O259">
        <v>100</v>
      </c>
      <c r="P259">
        <v>2779.6</v>
      </c>
      <c r="Q259" t="s">
        <v>579</v>
      </c>
      <c r="R259" t="s">
        <v>23</v>
      </c>
      <c r="S259" t="s">
        <v>23</v>
      </c>
      <c r="T259" t="s">
        <v>23</v>
      </c>
      <c r="U259" t="s">
        <v>23</v>
      </c>
    </row>
    <row r="260" spans="1:21" x14ac:dyDescent="0.25">
      <c r="A260" t="s">
        <v>604</v>
      </c>
      <c r="B260" t="s">
        <v>21</v>
      </c>
      <c r="C260" t="s">
        <v>22</v>
      </c>
      <c r="D260" s="1" t="s">
        <v>22</v>
      </c>
      <c r="E260" t="s">
        <v>23</v>
      </c>
      <c r="F260" t="s">
        <v>24</v>
      </c>
      <c r="G260" t="s">
        <v>25</v>
      </c>
      <c r="H260" t="s">
        <v>23</v>
      </c>
      <c r="I260" t="s">
        <v>26</v>
      </c>
      <c r="J260" t="s">
        <v>605</v>
      </c>
      <c r="K260">
        <v>-12.212961</v>
      </c>
      <c r="L260">
        <v>-76.959329999999994</v>
      </c>
      <c r="M260" t="str">
        <f t="shared" si="2"/>
        <v>Avenida Villa del Mar, Villa El Salvador, Lima</v>
      </c>
      <c r="N260">
        <v>0</v>
      </c>
      <c r="O260">
        <v>100</v>
      </c>
      <c r="P260">
        <v>2779.6</v>
      </c>
      <c r="Q260" t="s">
        <v>579</v>
      </c>
      <c r="R260" t="s">
        <v>23</v>
      </c>
      <c r="S260" t="s">
        <v>23</v>
      </c>
      <c r="T260" t="s">
        <v>23</v>
      </c>
      <c r="U260" t="s">
        <v>23</v>
      </c>
    </row>
  </sheetData>
  <phoneticPr fontId="1" type="noConversion"/>
  <pageMargins left="0.7" right="0.7" top="0.75" bottom="0.75" header="0.3" footer="0.3"/>
  <ignoredErrors>
    <ignoredError sqref="A1:C1 E1:U260 A3:C260 A2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History</dc:title>
  <dc:subject>Report History</dc:subject>
  <dc:creator>Location World</dc:creator>
  <cp:lastModifiedBy>Operaciones 4 SLI Perú</cp:lastModifiedBy>
  <dcterms:modified xsi:type="dcterms:W3CDTF">2026-09-29T21:25:55Z</dcterms:modified>
</cp:coreProperties>
</file>