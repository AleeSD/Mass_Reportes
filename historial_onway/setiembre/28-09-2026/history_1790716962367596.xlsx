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sporte.ope4\Pictures\AS\Automatizaciones\MASS\REPORTE ALERTAS ONWAY\historial_onway\setiembre\28-09-2026\"/>
    </mc:Choice>
  </mc:AlternateContent>
  <xr:revisionPtr revIDLastSave="0" documentId="13_ncr:1_{7B3D1CD3-6D15-4E95-B326-3E1283A8C6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 His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0" i="1" l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<sst xmlns="http://schemas.openxmlformats.org/spreadsheetml/2006/main" count="6306" uniqueCount="987">
  <si>
    <t>Secuencia</t>
  </si>
  <si>
    <t>Grupo</t>
  </si>
  <si>
    <t>Alias</t>
  </si>
  <si>
    <t>Etiquetas</t>
  </si>
  <si>
    <t>IMEI</t>
  </si>
  <si>
    <t>Tipo de carrocería</t>
  </si>
  <si>
    <t>Empresa</t>
  </si>
  <si>
    <t>Fecha</t>
  </si>
  <si>
    <t>Hora</t>
  </si>
  <si>
    <t>Latitud</t>
  </si>
  <si>
    <t>Longitud</t>
  </si>
  <si>
    <t>Dirección</t>
  </si>
  <si>
    <t>Velocidad (Km/h)</t>
  </si>
  <si>
    <t>% Batería</t>
  </si>
  <si>
    <t>Odómetro (Km)</t>
  </si>
  <si>
    <t>Horómetro (Hrs)</t>
  </si>
  <si>
    <t>Alerta</t>
  </si>
  <si>
    <t>Zona/Marca</t>
  </si>
  <si>
    <t>Conductor</t>
  </si>
  <si>
    <t>Notas</t>
  </si>
  <si>
    <t>1</t>
  </si>
  <si>
    <t>MASS BSF</t>
  </si>
  <si>
    <t>CPH-709</t>
  </si>
  <si>
    <t/>
  </si>
  <si>
    <t>867162029835154</t>
  </si>
  <si>
    <t>TBD</t>
  </si>
  <si>
    <t>28/09/2026</t>
  </si>
  <si>
    <t>00:01:33</t>
  </si>
  <si>
    <t>1,999.32</t>
  </si>
  <si>
    <t>2</t>
  </si>
  <si>
    <t>00:31:33</t>
  </si>
  <si>
    <t>3</t>
  </si>
  <si>
    <t>01:01:33</t>
  </si>
  <si>
    <t>4</t>
  </si>
  <si>
    <t>01:31:34</t>
  </si>
  <si>
    <t>5</t>
  </si>
  <si>
    <t>02:01:34</t>
  </si>
  <si>
    <t>6</t>
  </si>
  <si>
    <t>02:31:35</t>
  </si>
  <si>
    <t>7</t>
  </si>
  <si>
    <t>03:01:36</t>
  </si>
  <si>
    <t>8</t>
  </si>
  <si>
    <t>03:31:37</t>
  </si>
  <si>
    <t>9</t>
  </si>
  <si>
    <t>04:01:37</t>
  </si>
  <si>
    <t>10</t>
  </si>
  <si>
    <t>04:31:37</t>
  </si>
  <si>
    <t>11</t>
  </si>
  <si>
    <t>05:01:37</t>
  </si>
  <si>
    <t>12</t>
  </si>
  <si>
    <t>05:31:38</t>
  </si>
  <si>
    <t>13</t>
  </si>
  <si>
    <t>06:01:38</t>
  </si>
  <si>
    <t>14</t>
  </si>
  <si>
    <t>06:31:38</t>
  </si>
  <si>
    <t>15</t>
  </si>
  <si>
    <t>07:01:38</t>
  </si>
  <si>
    <t>16</t>
  </si>
  <si>
    <t>07:31:38</t>
  </si>
  <si>
    <t>17</t>
  </si>
  <si>
    <t>08:01:38</t>
  </si>
  <si>
    <t>18</t>
  </si>
  <si>
    <t>08:30:46</t>
  </si>
  <si>
    <t>Vehículo encendido</t>
  </si>
  <si>
    <t>19</t>
  </si>
  <si>
    <t>08:30:51</t>
  </si>
  <si>
    <t>20</t>
  </si>
  <si>
    <t>08:31:48</t>
  </si>
  <si>
    <t>21</t>
  </si>
  <si>
    <t>08:32:48</t>
  </si>
  <si>
    <t>1,999.37</t>
  </si>
  <si>
    <t>22</t>
  </si>
  <si>
    <t>08:33:48</t>
  </si>
  <si>
    <t>23</t>
  </si>
  <si>
    <t>08:34:49</t>
  </si>
  <si>
    <t>24</t>
  </si>
  <si>
    <t>08:35:13</t>
  </si>
  <si>
    <t>25</t>
  </si>
  <si>
    <t>08:35:49</t>
  </si>
  <si>
    <t>26</t>
  </si>
  <si>
    <t>08:36:49</t>
  </si>
  <si>
    <t>1,999.42</t>
  </si>
  <si>
    <t>27</t>
  </si>
  <si>
    <t>08:37:49</t>
  </si>
  <si>
    <t>28</t>
  </si>
  <si>
    <t>08:38:49</t>
  </si>
  <si>
    <t>1,999.43</t>
  </si>
  <si>
    <t>29</t>
  </si>
  <si>
    <t>08:39:15</t>
  </si>
  <si>
    <t>1,999.47</t>
  </si>
  <si>
    <t>30</t>
  </si>
  <si>
    <t>08:39:18</t>
  </si>
  <si>
    <t>31</t>
  </si>
  <si>
    <t>08:39:49</t>
  </si>
  <si>
    <t>32</t>
  </si>
  <si>
    <t>08:40:49</t>
  </si>
  <si>
    <t>33</t>
  </si>
  <si>
    <t>08:41:06</t>
  </si>
  <si>
    <t>1,999.48</t>
  </si>
  <si>
    <t>34</t>
  </si>
  <si>
    <t>08:41:09</t>
  </si>
  <si>
    <t>35</t>
  </si>
  <si>
    <t>08:41:49</t>
  </si>
  <si>
    <t>36</t>
  </si>
  <si>
    <t>08:42:10</t>
  </si>
  <si>
    <t>37</t>
  </si>
  <si>
    <t>08:42:49</t>
  </si>
  <si>
    <t>38</t>
  </si>
  <si>
    <t>08:43:49</t>
  </si>
  <si>
    <t>1,999.52</t>
  </si>
  <si>
    <t>39</t>
  </si>
  <si>
    <t>08:44:49</t>
  </si>
  <si>
    <t>40</t>
  </si>
  <si>
    <t>08:45:03</t>
  </si>
  <si>
    <t>1,999.57</t>
  </si>
  <si>
    <t>41</t>
  </si>
  <si>
    <t>08:45:06</t>
  </si>
  <si>
    <t>42</t>
  </si>
  <si>
    <t>08:45:30</t>
  </si>
  <si>
    <t>43</t>
  </si>
  <si>
    <t>08:45:49</t>
  </si>
  <si>
    <t>44</t>
  </si>
  <si>
    <t>08:46:00</t>
  </si>
  <si>
    <t>45</t>
  </si>
  <si>
    <t>08:46:40</t>
  </si>
  <si>
    <t>46</t>
  </si>
  <si>
    <t>08:46:49</t>
  </si>
  <si>
    <t>47</t>
  </si>
  <si>
    <t>08:47:06</t>
  </si>
  <si>
    <t>48</t>
  </si>
  <si>
    <t>08:47:12</t>
  </si>
  <si>
    <t>49</t>
  </si>
  <si>
    <t>08:47:18</t>
  </si>
  <si>
    <t>1,999.58</t>
  </si>
  <si>
    <t>50</t>
  </si>
  <si>
    <t>08:47:24</t>
  </si>
  <si>
    <t>51</t>
  </si>
  <si>
    <t>08:47:49</t>
  </si>
  <si>
    <t>52</t>
  </si>
  <si>
    <t>08:48:49</t>
  </si>
  <si>
    <t>1,999.62</t>
  </si>
  <si>
    <t>53</t>
  </si>
  <si>
    <t>08:49:27</t>
  </si>
  <si>
    <t>54</t>
  </si>
  <si>
    <t>08:49:49</t>
  </si>
  <si>
    <t>55</t>
  </si>
  <si>
    <t>08:50:49</t>
  </si>
  <si>
    <t>1,999.63</t>
  </si>
  <si>
    <t>56</t>
  </si>
  <si>
    <t>08:51:49</t>
  </si>
  <si>
    <t>57</t>
  </si>
  <si>
    <t>08:52:49</t>
  </si>
  <si>
    <t>1,999.67</t>
  </si>
  <si>
    <t>58</t>
  </si>
  <si>
    <t>08:53:49</t>
  </si>
  <si>
    <t>59</t>
  </si>
  <si>
    <t>08:54:49</t>
  </si>
  <si>
    <t>1,999.72</t>
  </si>
  <si>
    <t>60</t>
  </si>
  <si>
    <t>08:55:49</t>
  </si>
  <si>
    <t>61</t>
  </si>
  <si>
    <t>08:56:49</t>
  </si>
  <si>
    <t>1,999.73</t>
  </si>
  <si>
    <t>62</t>
  </si>
  <si>
    <t>08:57:49</t>
  </si>
  <si>
    <t>1,999.77</t>
  </si>
  <si>
    <t>63</t>
  </si>
  <si>
    <t>08:58:49</t>
  </si>
  <si>
    <t>1,999.78</t>
  </si>
  <si>
    <t>64</t>
  </si>
  <si>
    <t>08:59:49</t>
  </si>
  <si>
    <t>65</t>
  </si>
  <si>
    <t>09:00:49</t>
  </si>
  <si>
    <t>66</t>
  </si>
  <si>
    <t>09:01:49</t>
  </si>
  <si>
    <t>1,999.82</t>
  </si>
  <si>
    <t>67</t>
  </si>
  <si>
    <t>09:02:49</t>
  </si>
  <si>
    <t>68</t>
  </si>
  <si>
    <t>09:03:49</t>
  </si>
  <si>
    <t>1,999.87</t>
  </si>
  <si>
    <t>69</t>
  </si>
  <si>
    <t>09:04:49</t>
  </si>
  <si>
    <t>70</t>
  </si>
  <si>
    <t>09:05:49</t>
  </si>
  <si>
    <t>1,999.88</t>
  </si>
  <si>
    <t>71</t>
  </si>
  <si>
    <t>09:06:49</t>
  </si>
  <si>
    <t>72</t>
  </si>
  <si>
    <t>09:07:49</t>
  </si>
  <si>
    <t>1,999.92</t>
  </si>
  <si>
    <t>73</t>
  </si>
  <si>
    <t>09:07:54</t>
  </si>
  <si>
    <t>1,999.93</t>
  </si>
  <si>
    <t>74</t>
  </si>
  <si>
    <t>09:08:01</t>
  </si>
  <si>
    <t>75</t>
  </si>
  <si>
    <t>09:08:03</t>
  </si>
  <si>
    <t>76</t>
  </si>
  <si>
    <t>09:08:37</t>
  </si>
  <si>
    <t>77</t>
  </si>
  <si>
    <t>09:08:40</t>
  </si>
  <si>
    <t>78</t>
  </si>
  <si>
    <t>09:08:49</t>
  </si>
  <si>
    <t>79</t>
  </si>
  <si>
    <t>80</t>
  </si>
  <si>
    <t>09:08:52</t>
  </si>
  <si>
    <t>81</t>
  </si>
  <si>
    <t>09:08:57</t>
  </si>
  <si>
    <t>82</t>
  </si>
  <si>
    <t>09:09:44</t>
  </si>
  <si>
    <t>1,999.97</t>
  </si>
  <si>
    <t>83</t>
  </si>
  <si>
    <t>09:10:44</t>
  </si>
  <si>
    <t>84</t>
  </si>
  <si>
    <t>09:11:03</t>
  </si>
  <si>
    <t>1,999.98</t>
  </si>
  <si>
    <t>85</t>
  </si>
  <si>
    <t>86</t>
  </si>
  <si>
    <t>09:11:18</t>
  </si>
  <si>
    <t>87</t>
  </si>
  <si>
    <t>Llegó a la zona</t>
  </si>
  <si>
    <t>MASS BSF 1</t>
  </si>
  <si>
    <t xml:space="preserve"> </t>
  </si>
  <si>
    <t>88</t>
  </si>
  <si>
    <t>09:11:59</t>
  </si>
  <si>
    <t>2,000.02</t>
  </si>
  <si>
    <t>89</t>
  </si>
  <si>
    <t>09:12:59</t>
  </si>
  <si>
    <t>90</t>
  </si>
  <si>
    <t>09:13:59</t>
  </si>
  <si>
    <t>91</t>
  </si>
  <si>
    <t>09:14:07</t>
  </si>
  <si>
    <t>92</t>
  </si>
  <si>
    <t>09:14:59</t>
  </si>
  <si>
    <t>2,000.03</t>
  </si>
  <si>
    <t>93</t>
  </si>
  <si>
    <t>09:15:31</t>
  </si>
  <si>
    <t>2,000.07</t>
  </si>
  <si>
    <t>94</t>
  </si>
  <si>
    <t>09:15:52</t>
  </si>
  <si>
    <t>95</t>
  </si>
  <si>
    <t>96</t>
  </si>
  <si>
    <t>09:15:57</t>
  </si>
  <si>
    <t>97</t>
  </si>
  <si>
    <t>09:16:24</t>
  </si>
  <si>
    <t>98</t>
  </si>
  <si>
    <t>09:16:39</t>
  </si>
  <si>
    <t>99</t>
  </si>
  <si>
    <t>09:16:49</t>
  </si>
  <si>
    <t>100</t>
  </si>
  <si>
    <t>09:17:12</t>
  </si>
  <si>
    <t>Vehículo apagado</t>
  </si>
  <si>
    <t>101</t>
  </si>
  <si>
    <t>09:17:15</t>
  </si>
  <si>
    <t>102</t>
  </si>
  <si>
    <t>09:22:53</t>
  </si>
  <si>
    <t>103</t>
  </si>
  <si>
    <t>09:23:00</t>
  </si>
  <si>
    <t>104</t>
  </si>
  <si>
    <t>09:23:48</t>
  </si>
  <si>
    <t>105</t>
  </si>
  <si>
    <t>09:23:53</t>
  </si>
  <si>
    <t>106</t>
  </si>
  <si>
    <t>2,000.12</t>
  </si>
  <si>
    <t>107</t>
  </si>
  <si>
    <t>09:24:24</t>
  </si>
  <si>
    <t>108</t>
  </si>
  <si>
    <t>09:24:49</t>
  </si>
  <si>
    <t>109</t>
  </si>
  <si>
    <t>09:24:56</t>
  </si>
  <si>
    <t>110</t>
  </si>
  <si>
    <t>111</t>
  </si>
  <si>
    <t>09:25:03</t>
  </si>
  <si>
    <t>112</t>
  </si>
  <si>
    <t>09:25:29</t>
  </si>
  <si>
    <t>2,000.13</t>
  </si>
  <si>
    <t>113</t>
  </si>
  <si>
    <t>09:25:54</t>
  </si>
  <si>
    <t>114</t>
  </si>
  <si>
    <t>09:26:03</t>
  </si>
  <si>
    <t>115</t>
  </si>
  <si>
    <t>09:26:54</t>
  </si>
  <si>
    <t>2,000.17</t>
  </si>
  <si>
    <t>116</t>
  </si>
  <si>
    <t>09:27:18</t>
  </si>
  <si>
    <t>117</t>
  </si>
  <si>
    <t>09:27:22</t>
  </si>
  <si>
    <t>118</t>
  </si>
  <si>
    <t>09:57:19</t>
  </si>
  <si>
    <t>119</t>
  </si>
  <si>
    <t>10:27:20</t>
  </si>
  <si>
    <t>120</t>
  </si>
  <si>
    <t>10:48:08</t>
  </si>
  <si>
    <t>121</t>
  </si>
  <si>
    <t>10:48:14</t>
  </si>
  <si>
    <t>122</t>
  </si>
  <si>
    <t>10:49:10</t>
  </si>
  <si>
    <t>123</t>
  </si>
  <si>
    <t>10:50:10</t>
  </si>
  <si>
    <t>124</t>
  </si>
  <si>
    <t>10:51:10</t>
  </si>
  <si>
    <t>125</t>
  </si>
  <si>
    <t>10:51:45</t>
  </si>
  <si>
    <t>2,000.22</t>
  </si>
  <si>
    <t>126</t>
  </si>
  <si>
    <t>10:51:49</t>
  </si>
  <si>
    <t>127</t>
  </si>
  <si>
    <t>11:21:45</t>
  </si>
  <si>
    <t>128</t>
  </si>
  <si>
    <t>11:44:38</t>
  </si>
  <si>
    <t>129</t>
  </si>
  <si>
    <t>11:44:44</t>
  </si>
  <si>
    <t>130</t>
  </si>
  <si>
    <t>11:45:41</t>
  </si>
  <si>
    <t>131</t>
  </si>
  <si>
    <t>11:46:41</t>
  </si>
  <si>
    <t>132</t>
  </si>
  <si>
    <t>11:47:41</t>
  </si>
  <si>
    <t>2,000.27</t>
  </si>
  <si>
    <t>133</t>
  </si>
  <si>
    <t>11:48:41</t>
  </si>
  <si>
    <t>2,000.28</t>
  </si>
  <si>
    <t>134</t>
  </si>
  <si>
    <t>11:49:08</t>
  </si>
  <si>
    <t>135</t>
  </si>
  <si>
    <t>11:49:18</t>
  </si>
  <si>
    <t>136</t>
  </si>
  <si>
    <t>11:49:41</t>
  </si>
  <si>
    <t>137</t>
  </si>
  <si>
    <t>11:50:41</t>
  </si>
  <si>
    <t>2,000.33</t>
  </si>
  <si>
    <t>138</t>
  </si>
  <si>
    <t>11:51:41</t>
  </si>
  <si>
    <t>139</t>
  </si>
  <si>
    <t>11:52:41</t>
  </si>
  <si>
    <t>140</t>
  </si>
  <si>
    <t>11:52:44</t>
  </si>
  <si>
    <t>Salió de zona</t>
  </si>
  <si>
    <t>141</t>
  </si>
  <si>
    <t>142</t>
  </si>
  <si>
    <t>11:52:56</t>
  </si>
  <si>
    <t>143</t>
  </si>
  <si>
    <t>11:53:41</t>
  </si>
  <si>
    <t>2,000.38</t>
  </si>
  <si>
    <t>144</t>
  </si>
  <si>
    <t>11:54:41</t>
  </si>
  <si>
    <t>145</t>
  </si>
  <si>
    <t>11:55:41</t>
  </si>
  <si>
    <t>146</t>
  </si>
  <si>
    <t>11:56:41</t>
  </si>
  <si>
    <t>147</t>
  </si>
  <si>
    <t>11:57:41</t>
  </si>
  <si>
    <t>2,000.43</t>
  </si>
  <si>
    <t>148</t>
  </si>
  <si>
    <t>11:58:41</t>
  </si>
  <si>
    <t>2,000.47</t>
  </si>
  <si>
    <t>149</t>
  </si>
  <si>
    <t>11:59:41</t>
  </si>
  <si>
    <t>150</t>
  </si>
  <si>
    <t>12:00:41</t>
  </si>
  <si>
    <t>151</t>
  </si>
  <si>
    <t>12:01:41</t>
  </si>
  <si>
    <t>2,000.52</t>
  </si>
  <si>
    <t>152</t>
  </si>
  <si>
    <t>12:02:41</t>
  </si>
  <si>
    <t>153</t>
  </si>
  <si>
    <t>12:03:41</t>
  </si>
  <si>
    <t>2,000.53</t>
  </si>
  <si>
    <t>154</t>
  </si>
  <si>
    <t>12:04:41</t>
  </si>
  <si>
    <t>155</t>
  </si>
  <si>
    <t>12:05:41</t>
  </si>
  <si>
    <t>2,000.57</t>
  </si>
  <si>
    <t>156</t>
  </si>
  <si>
    <t>12:06:41</t>
  </si>
  <si>
    <t>2,000.58</t>
  </si>
  <si>
    <t>157</t>
  </si>
  <si>
    <t>12:07:41</t>
  </si>
  <si>
    <t>158</t>
  </si>
  <si>
    <t>12:08:42</t>
  </si>
  <si>
    <t>2,000.62</t>
  </si>
  <si>
    <t>159</t>
  </si>
  <si>
    <t>12:09:42</t>
  </si>
  <si>
    <t>2,000.63</t>
  </si>
  <si>
    <t>160</t>
  </si>
  <si>
    <t>12:10:42</t>
  </si>
  <si>
    <t>161</t>
  </si>
  <si>
    <t>12:11:42</t>
  </si>
  <si>
    <t>2,000.67</t>
  </si>
  <si>
    <t>162</t>
  </si>
  <si>
    <t>12:12:03</t>
  </si>
  <si>
    <t>2,000.68</t>
  </si>
  <si>
    <t>163</t>
  </si>
  <si>
    <t>12:12:42</t>
  </si>
  <si>
    <t>164</t>
  </si>
  <si>
    <t>12:13:42</t>
  </si>
  <si>
    <t>165</t>
  </si>
  <si>
    <t>12:14:42</t>
  </si>
  <si>
    <t>2,000.73</t>
  </si>
  <si>
    <t>166</t>
  </si>
  <si>
    <t>12:15:42</t>
  </si>
  <si>
    <t>167</t>
  </si>
  <si>
    <t>12:16:42</t>
  </si>
  <si>
    <t>168</t>
  </si>
  <si>
    <t>12:17:42</t>
  </si>
  <si>
    <t>2,000.78</t>
  </si>
  <si>
    <t>169</t>
  </si>
  <si>
    <t>12:18:42</t>
  </si>
  <si>
    <t>170</t>
  </si>
  <si>
    <t>12:19:42</t>
  </si>
  <si>
    <t>171</t>
  </si>
  <si>
    <t>12:20:09</t>
  </si>
  <si>
    <t>2,000.82</t>
  </si>
  <si>
    <t>172</t>
  </si>
  <si>
    <t>12:20:42</t>
  </si>
  <si>
    <t>2,000.83</t>
  </si>
  <si>
    <t>173</t>
  </si>
  <si>
    <t>12:21:06</t>
  </si>
  <si>
    <t>174</t>
  </si>
  <si>
    <t>12:21:42</t>
  </si>
  <si>
    <t>175</t>
  </si>
  <si>
    <t>12:22:42</t>
  </si>
  <si>
    <t>2,000.87</t>
  </si>
  <si>
    <t>176</t>
  </si>
  <si>
    <t>12:23:42</t>
  </si>
  <si>
    <t>2,000.88</t>
  </si>
  <si>
    <t>177</t>
  </si>
  <si>
    <t>12:24:42</t>
  </si>
  <si>
    <t>178</t>
  </si>
  <si>
    <t>12:25:42</t>
  </si>
  <si>
    <t>2,000.92</t>
  </si>
  <si>
    <t>179</t>
  </si>
  <si>
    <t>12:26:42</t>
  </si>
  <si>
    <t>180</t>
  </si>
  <si>
    <t>12:27:42</t>
  </si>
  <si>
    <t>2,000.93</t>
  </si>
  <si>
    <t>181</t>
  </si>
  <si>
    <t>12:28:42</t>
  </si>
  <si>
    <t>1226-DEFENSOR1SJM MS</t>
  </si>
  <si>
    <t>182</t>
  </si>
  <si>
    <t>183</t>
  </si>
  <si>
    <t>12:28:45</t>
  </si>
  <si>
    <t>184</t>
  </si>
  <si>
    <t>185</t>
  </si>
  <si>
    <t>12:29:42</t>
  </si>
  <si>
    <t>2,000.97</t>
  </si>
  <si>
    <t>186</t>
  </si>
  <si>
    <t>12:30:06</t>
  </si>
  <si>
    <t>2,000.98</t>
  </si>
  <si>
    <t>187</t>
  </si>
  <si>
    <t>12:30:12</t>
  </si>
  <si>
    <t>188</t>
  </si>
  <si>
    <t>12:30:42</t>
  </si>
  <si>
    <t>189</t>
  </si>
  <si>
    <t>12:31:42</t>
  </si>
  <si>
    <t>2,001.02</t>
  </si>
  <si>
    <t>190</t>
  </si>
  <si>
    <t>12:32:42</t>
  </si>
  <si>
    <t>191</t>
  </si>
  <si>
    <t>12:33:42</t>
  </si>
  <si>
    <t>2,001.03</t>
  </si>
  <si>
    <t>192</t>
  </si>
  <si>
    <t>12:34:42</t>
  </si>
  <si>
    <t>193</t>
  </si>
  <si>
    <t>1029-MARIATE17VMT MS</t>
  </si>
  <si>
    <t>194</t>
  </si>
  <si>
    <t>12:35:42</t>
  </si>
  <si>
    <t>2,001.08</t>
  </si>
  <si>
    <t>195</t>
  </si>
  <si>
    <t>196</t>
  </si>
  <si>
    <t>12:36:42</t>
  </si>
  <si>
    <t>197</t>
  </si>
  <si>
    <t>12:37:42</t>
  </si>
  <si>
    <t>312-PRIMAVERA</t>
  </si>
  <si>
    <t>198</t>
  </si>
  <si>
    <t>199</t>
  </si>
  <si>
    <t>12:37:48</t>
  </si>
  <si>
    <t>2,001.12</t>
  </si>
  <si>
    <t>200</t>
  </si>
  <si>
    <t>12:38:00</t>
  </si>
  <si>
    <t>201</t>
  </si>
  <si>
    <t>12:38:03</t>
  </si>
  <si>
    <t>202</t>
  </si>
  <si>
    <t>12:38:35</t>
  </si>
  <si>
    <t>203</t>
  </si>
  <si>
    <t>12:38:39</t>
  </si>
  <si>
    <t>204</t>
  </si>
  <si>
    <t>12:40:10</t>
  </si>
  <si>
    <t>205</t>
  </si>
  <si>
    <t>12:40:18</t>
  </si>
  <si>
    <t>206</t>
  </si>
  <si>
    <t>12:40:22</t>
  </si>
  <si>
    <t>207</t>
  </si>
  <si>
    <t>12:40:26</t>
  </si>
  <si>
    <t>208</t>
  </si>
  <si>
    <t>13:10:22</t>
  </si>
  <si>
    <t>2,002.02</t>
  </si>
  <si>
    <t>209</t>
  </si>
  <si>
    <t>13:20:23</t>
  </si>
  <si>
    <t>210</t>
  </si>
  <si>
    <t>13:20:38</t>
  </si>
  <si>
    <t>211</t>
  </si>
  <si>
    <t>212</t>
  </si>
  <si>
    <t>13:21:38</t>
  </si>
  <si>
    <t>213</t>
  </si>
  <si>
    <t>13:22:38</t>
  </si>
  <si>
    <t>214</t>
  </si>
  <si>
    <t>13:23:38</t>
  </si>
  <si>
    <t>2,001.18</t>
  </si>
  <si>
    <t>215</t>
  </si>
  <si>
    <t>13:24:38</t>
  </si>
  <si>
    <t>216</t>
  </si>
  <si>
    <t>13:25:05</t>
  </si>
  <si>
    <t>2,001.20</t>
  </si>
  <si>
    <t>217</t>
  </si>
  <si>
    <t>13:25:08</t>
  </si>
  <si>
    <t>218</t>
  </si>
  <si>
    <t>13:25:29</t>
  </si>
  <si>
    <t>219</t>
  </si>
  <si>
    <t>220</t>
  </si>
  <si>
    <t>13:26:23</t>
  </si>
  <si>
    <t>2,001.22</t>
  </si>
  <si>
    <t>221</t>
  </si>
  <si>
    <t>13:26:28</t>
  </si>
  <si>
    <t>222</t>
  </si>
  <si>
    <t>13:26:41</t>
  </si>
  <si>
    <t>223</t>
  </si>
  <si>
    <t>13:26:44</t>
  </si>
  <si>
    <t>224</t>
  </si>
  <si>
    <t>13:27:28</t>
  </si>
  <si>
    <t>2,001.25</t>
  </si>
  <si>
    <t>857-JCM B32 VMT</t>
  </si>
  <si>
    <t>225</t>
  </si>
  <si>
    <t>226</t>
  </si>
  <si>
    <t>13:28:17</t>
  </si>
  <si>
    <t>227</t>
  </si>
  <si>
    <t>228</t>
  </si>
  <si>
    <t>13:28:23</t>
  </si>
  <si>
    <t>229</t>
  </si>
  <si>
    <t>13:28:28</t>
  </si>
  <si>
    <t>230</t>
  </si>
  <si>
    <t>13:29:28</t>
  </si>
  <si>
    <t>2,001.27</t>
  </si>
  <si>
    <t>231</t>
  </si>
  <si>
    <t>232</t>
  </si>
  <si>
    <t>13:30:28</t>
  </si>
  <si>
    <t>2,001.28</t>
  </si>
  <si>
    <t>233</t>
  </si>
  <si>
    <t>234</t>
  </si>
  <si>
    <t>13:31:28</t>
  </si>
  <si>
    <t>2,001.30</t>
  </si>
  <si>
    <t>235</t>
  </si>
  <si>
    <t>13:31:50</t>
  </si>
  <si>
    <t>2,001.32</t>
  </si>
  <si>
    <t>236</t>
  </si>
  <si>
    <t>13:32:28</t>
  </si>
  <si>
    <t>237</t>
  </si>
  <si>
    <t>13:33:28</t>
  </si>
  <si>
    <t>2,001.35</t>
  </si>
  <si>
    <t>Exceso de velocidad en segmento vial</t>
  </si>
  <si>
    <t>238</t>
  </si>
  <si>
    <t>13:34:28</t>
  </si>
  <si>
    <t>239</t>
  </si>
  <si>
    <t>13:35:28</t>
  </si>
  <si>
    <t>2,001.37</t>
  </si>
  <si>
    <t>240</t>
  </si>
  <si>
    <t>13:36:28</t>
  </si>
  <si>
    <t>2,001.38</t>
  </si>
  <si>
    <t>241</t>
  </si>
  <si>
    <t>13:37:01</t>
  </si>
  <si>
    <t>2,001.40</t>
  </si>
  <si>
    <t>242</t>
  </si>
  <si>
    <t>13:37:04</t>
  </si>
  <si>
    <t>243</t>
  </si>
  <si>
    <t>13:37:07</t>
  </si>
  <si>
    <t>244</t>
  </si>
  <si>
    <t>13:37:13</t>
  </si>
  <si>
    <t>245</t>
  </si>
  <si>
    <t>13:37:22</t>
  </si>
  <si>
    <t>246</t>
  </si>
  <si>
    <t>13:37:28</t>
  </si>
  <si>
    <t>247</t>
  </si>
  <si>
    <t>13:38:28</t>
  </si>
  <si>
    <t>2,001.42</t>
  </si>
  <si>
    <t>248</t>
  </si>
  <si>
    <t>13:39:28</t>
  </si>
  <si>
    <t>2,001.43</t>
  </si>
  <si>
    <t>249</t>
  </si>
  <si>
    <t>13:40:28</t>
  </si>
  <si>
    <t>2,001.45</t>
  </si>
  <si>
    <t>250</t>
  </si>
  <si>
    <t>13:41:28</t>
  </si>
  <si>
    <t>2,001.48</t>
  </si>
  <si>
    <t>251</t>
  </si>
  <si>
    <t>13:42:28</t>
  </si>
  <si>
    <t>2,001.50</t>
  </si>
  <si>
    <t>252</t>
  </si>
  <si>
    <t>13:43:28</t>
  </si>
  <si>
    <t>253</t>
  </si>
  <si>
    <t>13:44:28</t>
  </si>
  <si>
    <t>254</t>
  </si>
  <si>
    <t>13:45:28</t>
  </si>
  <si>
    <t>2,001.53</t>
  </si>
  <si>
    <t>255</t>
  </si>
  <si>
    <t>13:45:40</t>
  </si>
  <si>
    <t>256</t>
  </si>
  <si>
    <t>13:46:28</t>
  </si>
  <si>
    <t>257</t>
  </si>
  <si>
    <t>13:47:28</t>
  </si>
  <si>
    <t>2,001.57</t>
  </si>
  <si>
    <t>258</t>
  </si>
  <si>
    <t>13:48:28</t>
  </si>
  <si>
    <t>2,001.60</t>
  </si>
  <si>
    <t>259</t>
  </si>
  <si>
    <t>13:48:40</t>
  </si>
  <si>
    <t>Excedió el límite de velocidad</t>
  </si>
  <si>
    <t>260</t>
  </si>
  <si>
    <t>13:49:28</t>
  </si>
  <si>
    <t>261</t>
  </si>
  <si>
    <t>13:50:28</t>
  </si>
  <si>
    <t>2,001.62</t>
  </si>
  <si>
    <t>262</t>
  </si>
  <si>
    <t>13:51:28</t>
  </si>
  <si>
    <t>2,001.65</t>
  </si>
  <si>
    <t>263</t>
  </si>
  <si>
    <t>13:52:28</t>
  </si>
  <si>
    <t>2,001.67</t>
  </si>
  <si>
    <t>264</t>
  </si>
  <si>
    <t>13:52:46</t>
  </si>
  <si>
    <t>265</t>
  </si>
  <si>
    <t>13:53:28</t>
  </si>
  <si>
    <t>266</t>
  </si>
  <si>
    <t>13:54:28</t>
  </si>
  <si>
    <t>2,001.68</t>
  </si>
  <si>
    <t>267</t>
  </si>
  <si>
    <t>13:55:25</t>
  </si>
  <si>
    <t>2,001.72</t>
  </si>
  <si>
    <t>268</t>
  </si>
  <si>
    <t>13:55:28</t>
  </si>
  <si>
    <t>2,001.70</t>
  </si>
  <si>
    <t>269</t>
  </si>
  <si>
    <t>13:56:28</t>
  </si>
  <si>
    <t>270</t>
  </si>
  <si>
    <t>13:57:28</t>
  </si>
  <si>
    <t>2,001.73</t>
  </si>
  <si>
    <t>271</t>
  </si>
  <si>
    <t>13:57:46</t>
  </si>
  <si>
    <t>2,001.75</t>
  </si>
  <si>
    <t>272</t>
  </si>
  <si>
    <t>13:58:28</t>
  </si>
  <si>
    <t>2,001.77</t>
  </si>
  <si>
    <t>273</t>
  </si>
  <si>
    <t>13:59:29</t>
  </si>
  <si>
    <t>2,001.78</t>
  </si>
  <si>
    <t>274</t>
  </si>
  <si>
    <t>14:00:29</t>
  </si>
  <si>
    <t>275</t>
  </si>
  <si>
    <t>14:01:29</t>
  </si>
  <si>
    <t>2,001.80</t>
  </si>
  <si>
    <t>276</t>
  </si>
  <si>
    <t>14:02:10</t>
  </si>
  <si>
    <t>2,001.82</t>
  </si>
  <si>
    <t>277</t>
  </si>
  <si>
    <t>14:02:29</t>
  </si>
  <si>
    <t>278</t>
  </si>
  <si>
    <t>14:03:29</t>
  </si>
  <si>
    <t>2,001.83</t>
  </si>
  <si>
    <t>279</t>
  </si>
  <si>
    <t>14:03:39</t>
  </si>
  <si>
    <t>2,001.85</t>
  </si>
  <si>
    <t>280</t>
  </si>
  <si>
    <t>14:03:49</t>
  </si>
  <si>
    <t>281</t>
  </si>
  <si>
    <t>14:03:54</t>
  </si>
  <si>
    <t>282</t>
  </si>
  <si>
    <t>14:04:28</t>
  </si>
  <si>
    <t>2,001.87</t>
  </si>
  <si>
    <t>283</t>
  </si>
  <si>
    <t>284</t>
  </si>
  <si>
    <t>14:04:30</t>
  </si>
  <si>
    <t>285</t>
  </si>
  <si>
    <t>14:04:40</t>
  </si>
  <si>
    <t>286</t>
  </si>
  <si>
    <t>14:04:43</t>
  </si>
  <si>
    <t>287</t>
  </si>
  <si>
    <t>14:04:49</t>
  </si>
  <si>
    <t>288</t>
  </si>
  <si>
    <t>14:05:24</t>
  </si>
  <si>
    <t>289</t>
  </si>
  <si>
    <t>14:06:24</t>
  </si>
  <si>
    <t>2,001.88</t>
  </si>
  <si>
    <t>290</t>
  </si>
  <si>
    <t>14:06:45</t>
  </si>
  <si>
    <t>2,001.90</t>
  </si>
  <si>
    <t>291</t>
  </si>
  <si>
    <t>292</t>
  </si>
  <si>
    <t>14:06:55</t>
  </si>
  <si>
    <t>293</t>
  </si>
  <si>
    <t>294</t>
  </si>
  <si>
    <t>14:07:44</t>
  </si>
  <si>
    <t>295</t>
  </si>
  <si>
    <t>14:08:44</t>
  </si>
  <si>
    <t>296</t>
  </si>
  <si>
    <t>14:09:44</t>
  </si>
  <si>
    <t>2,001.93</t>
  </si>
  <si>
    <t>297</t>
  </si>
  <si>
    <t>14:10:33</t>
  </si>
  <si>
    <t>2,001.95</t>
  </si>
  <si>
    <t>298</t>
  </si>
  <si>
    <t>2,001.97</t>
  </si>
  <si>
    <t>299</t>
  </si>
  <si>
    <t>14:11:29</t>
  </si>
  <si>
    <t>300</t>
  </si>
  <si>
    <t>14:12:16</t>
  </si>
  <si>
    <t>2,001.98</t>
  </si>
  <si>
    <t>301</t>
  </si>
  <si>
    <t>14:12:21</t>
  </si>
  <si>
    <t>302</t>
  </si>
  <si>
    <t>14:12:29</t>
  </si>
  <si>
    <t>2,002.00</t>
  </si>
  <si>
    <t>303</t>
  </si>
  <si>
    <t>14:12:43</t>
  </si>
  <si>
    <t>304</t>
  </si>
  <si>
    <t>14:12:58</t>
  </si>
  <si>
    <t>305</t>
  </si>
  <si>
    <t>14:13:29</t>
  </si>
  <si>
    <t>306</t>
  </si>
  <si>
    <t>14:13:40</t>
  </si>
  <si>
    <t>307</t>
  </si>
  <si>
    <t>14:13:45</t>
  </si>
  <si>
    <t>308</t>
  </si>
  <si>
    <t>14:21:48</t>
  </si>
  <si>
    <t>309</t>
  </si>
  <si>
    <t>14:21:55</t>
  </si>
  <si>
    <t>310</t>
  </si>
  <si>
    <t>14:22:54</t>
  </si>
  <si>
    <t>311</t>
  </si>
  <si>
    <t>14:23:03</t>
  </si>
  <si>
    <t>2,002.03</t>
  </si>
  <si>
    <t>312</t>
  </si>
  <si>
    <t>14:23:06</t>
  </si>
  <si>
    <t>313</t>
  </si>
  <si>
    <t>14:23:21</t>
  </si>
  <si>
    <t>314</t>
  </si>
  <si>
    <t>14:23:42</t>
  </si>
  <si>
    <t>315</t>
  </si>
  <si>
    <t>14:23:49</t>
  </si>
  <si>
    <t>316</t>
  </si>
  <si>
    <t>317</t>
  </si>
  <si>
    <t>14:24:09</t>
  </si>
  <si>
    <t>318</t>
  </si>
  <si>
    <t>14:24:13</t>
  </si>
  <si>
    <t>319</t>
  </si>
  <si>
    <t>14:24:44</t>
  </si>
  <si>
    <t>2,002.05</t>
  </si>
  <si>
    <t>320</t>
  </si>
  <si>
    <t>14:24:49</t>
  </si>
  <si>
    <t>321</t>
  </si>
  <si>
    <t>14:24:54</t>
  </si>
  <si>
    <t>322</t>
  </si>
  <si>
    <t>14:54:49</t>
  </si>
  <si>
    <t>323</t>
  </si>
  <si>
    <t>15:24:49</t>
  </si>
  <si>
    <t>324</t>
  </si>
  <si>
    <t>15:54:49</t>
  </si>
  <si>
    <t>325</t>
  </si>
  <si>
    <t>16:02:42</t>
  </si>
  <si>
    <t>326</t>
  </si>
  <si>
    <t>16:02:49</t>
  </si>
  <si>
    <t>327</t>
  </si>
  <si>
    <t>16:03:44</t>
  </si>
  <si>
    <t>328</t>
  </si>
  <si>
    <t>16:04:04</t>
  </si>
  <si>
    <t>2,002.08</t>
  </si>
  <si>
    <t>329</t>
  </si>
  <si>
    <t>16:04:11</t>
  </si>
  <si>
    <t>330</t>
  </si>
  <si>
    <t>16:32:19</t>
  </si>
  <si>
    <t>331</t>
  </si>
  <si>
    <t>16:32:24</t>
  </si>
  <si>
    <t>332</t>
  </si>
  <si>
    <t>16:33:20</t>
  </si>
  <si>
    <t>333</t>
  </si>
  <si>
    <t>16:34:20</t>
  </si>
  <si>
    <t>334</t>
  </si>
  <si>
    <t>16:35:20</t>
  </si>
  <si>
    <t>2,002.13</t>
  </si>
  <si>
    <t>335</t>
  </si>
  <si>
    <t>16:35:59</t>
  </si>
  <si>
    <t>336</t>
  </si>
  <si>
    <t>16:36:02</t>
  </si>
  <si>
    <t>337</t>
  </si>
  <si>
    <t>17:06:00</t>
  </si>
  <si>
    <t>338</t>
  </si>
  <si>
    <t>17:15:43</t>
  </si>
  <si>
    <t>339</t>
  </si>
  <si>
    <t>17:15:49</t>
  </si>
  <si>
    <t>340</t>
  </si>
  <si>
    <t>17:16:45</t>
  </si>
  <si>
    <t>341</t>
  </si>
  <si>
    <t>17:17:45</t>
  </si>
  <si>
    <t>2,002.17</t>
  </si>
  <si>
    <t>342</t>
  </si>
  <si>
    <t>17:18:45</t>
  </si>
  <si>
    <t>2,002.18</t>
  </si>
  <si>
    <t>343</t>
  </si>
  <si>
    <t>17:19:01</t>
  </si>
  <si>
    <t>344</t>
  </si>
  <si>
    <t>17:19:45</t>
  </si>
  <si>
    <t>2,002.20</t>
  </si>
  <si>
    <t>345</t>
  </si>
  <si>
    <t>17:20:22</t>
  </si>
  <si>
    <t>346</t>
  </si>
  <si>
    <t>17:20:28</t>
  </si>
  <si>
    <t>347</t>
  </si>
  <si>
    <t>17:20:46</t>
  </si>
  <si>
    <t>348</t>
  </si>
  <si>
    <t>17:21:46</t>
  </si>
  <si>
    <t>2,002.23</t>
  </si>
  <si>
    <t>349</t>
  </si>
  <si>
    <t>17:22:46</t>
  </si>
  <si>
    <t>2,002.25</t>
  </si>
  <si>
    <t>350</t>
  </si>
  <si>
    <t>17:23:14</t>
  </si>
  <si>
    <t>2,002.27</t>
  </si>
  <si>
    <t>351</t>
  </si>
  <si>
    <t>352</t>
  </si>
  <si>
    <t>17:23:29</t>
  </si>
  <si>
    <t>353</t>
  </si>
  <si>
    <t>17:23:46</t>
  </si>
  <si>
    <t>354</t>
  </si>
  <si>
    <t>17:24:46</t>
  </si>
  <si>
    <t>2,002.28</t>
  </si>
  <si>
    <t>355</t>
  </si>
  <si>
    <t>17:25:46</t>
  </si>
  <si>
    <t>2,002.30</t>
  </si>
  <si>
    <t>356</t>
  </si>
  <si>
    <t>17:26:46</t>
  </si>
  <si>
    <t>2,002.32</t>
  </si>
  <si>
    <t>357</t>
  </si>
  <si>
    <t>17:27:46</t>
  </si>
  <si>
    <t>2,002.33</t>
  </si>
  <si>
    <t>358</t>
  </si>
  <si>
    <t>17:28:46</t>
  </si>
  <si>
    <t>2,002.35</t>
  </si>
  <si>
    <t>359</t>
  </si>
  <si>
    <t>17:29:46</t>
  </si>
  <si>
    <t>360</t>
  </si>
  <si>
    <t>17:30:46</t>
  </si>
  <si>
    <t>2,002.38</t>
  </si>
  <si>
    <t>361</t>
  </si>
  <si>
    <t>17:31:46</t>
  </si>
  <si>
    <t>2,002.40</t>
  </si>
  <si>
    <t>362</t>
  </si>
  <si>
    <t>17:32:46</t>
  </si>
  <si>
    <t>2,002.42</t>
  </si>
  <si>
    <t>363</t>
  </si>
  <si>
    <t>17:33:46</t>
  </si>
  <si>
    <t>2,002.43</t>
  </si>
  <si>
    <t>364</t>
  </si>
  <si>
    <t>17:34:17</t>
  </si>
  <si>
    <t>2,002.47</t>
  </si>
  <si>
    <t>365</t>
  </si>
  <si>
    <t>17:34:46</t>
  </si>
  <si>
    <t>366</t>
  </si>
  <si>
    <t>17:34:49</t>
  </si>
  <si>
    <t>367</t>
  </si>
  <si>
    <t>17:34:59</t>
  </si>
  <si>
    <t>368</t>
  </si>
  <si>
    <t>17:35:46</t>
  </si>
  <si>
    <t>369</t>
  </si>
  <si>
    <t>17:36:46</t>
  </si>
  <si>
    <t>2,002.48</t>
  </si>
  <si>
    <t>370</t>
  </si>
  <si>
    <t>17:37:46</t>
  </si>
  <si>
    <t>2,002.52</t>
  </si>
  <si>
    <t>371</t>
  </si>
  <si>
    <t>17:38:46</t>
  </si>
  <si>
    <t>372</t>
  </si>
  <si>
    <t>17:39:46</t>
  </si>
  <si>
    <t>2,002.53</t>
  </si>
  <si>
    <t>373</t>
  </si>
  <si>
    <t>17:40:46</t>
  </si>
  <si>
    <t>374</t>
  </si>
  <si>
    <t>17:41:46</t>
  </si>
  <si>
    <t>2,002.57</t>
  </si>
  <si>
    <t>375</t>
  </si>
  <si>
    <t>17:42:46</t>
  </si>
  <si>
    <t>2,002.58</t>
  </si>
  <si>
    <t>376</t>
  </si>
  <si>
    <t>17:43:46</t>
  </si>
  <si>
    <t>2,002.62</t>
  </si>
  <si>
    <t>377</t>
  </si>
  <si>
    <t>17:44:35</t>
  </si>
  <si>
    <t>378</t>
  </si>
  <si>
    <t>17:44:46</t>
  </si>
  <si>
    <t>379</t>
  </si>
  <si>
    <t>17:45:46</t>
  </si>
  <si>
    <t>2,002.63</t>
  </si>
  <si>
    <t>380</t>
  </si>
  <si>
    <t>17:46:37</t>
  </si>
  <si>
    <t>2,002.65</t>
  </si>
  <si>
    <t>381</t>
  </si>
  <si>
    <t>17:46:40</t>
  </si>
  <si>
    <t>382</t>
  </si>
  <si>
    <t>17:46:46</t>
  </si>
  <si>
    <t>383</t>
  </si>
  <si>
    <t>17:47:46</t>
  </si>
  <si>
    <t>384</t>
  </si>
  <si>
    <t>17:48:46</t>
  </si>
  <si>
    <t>385</t>
  </si>
  <si>
    <t>17:49:46</t>
  </si>
  <si>
    <t>2,002.70</t>
  </si>
  <si>
    <t>386</t>
  </si>
  <si>
    <t>17:50:46</t>
  </si>
  <si>
    <t>2,002.72</t>
  </si>
  <si>
    <t>387</t>
  </si>
  <si>
    <t>17:51:41</t>
  </si>
  <si>
    <t>2,002.73</t>
  </si>
  <si>
    <t>388</t>
  </si>
  <si>
    <t>17:51:46</t>
  </si>
  <si>
    <t>389</t>
  </si>
  <si>
    <t>17:51:56</t>
  </si>
  <si>
    <t>390</t>
  </si>
  <si>
    <t>17:52:46</t>
  </si>
  <si>
    <t>391</t>
  </si>
  <si>
    <t>17:53:46</t>
  </si>
  <si>
    <t>2,002.78</t>
  </si>
  <si>
    <t>392</t>
  </si>
  <si>
    <t>17:54:23</t>
  </si>
  <si>
    <t>393</t>
  </si>
  <si>
    <t>17:54:35</t>
  </si>
  <si>
    <t>394</t>
  </si>
  <si>
    <t>17:54:46</t>
  </si>
  <si>
    <t>2,002.82</t>
  </si>
  <si>
    <t>395</t>
  </si>
  <si>
    <t>BASE-OSLOGISTICS</t>
  </si>
  <si>
    <t>396</t>
  </si>
  <si>
    <t>17:55:23</t>
  </si>
  <si>
    <t>397</t>
  </si>
  <si>
    <t>17:55:46</t>
  </si>
  <si>
    <t>398</t>
  </si>
  <si>
    <t>17:56:23</t>
  </si>
  <si>
    <t>399</t>
  </si>
  <si>
    <t>17:56:31</t>
  </si>
  <si>
    <t>400</t>
  </si>
  <si>
    <t>17:56:34</t>
  </si>
  <si>
    <t>401</t>
  </si>
  <si>
    <t>17:56:47</t>
  </si>
  <si>
    <t>402</t>
  </si>
  <si>
    <t>17:57:05</t>
  </si>
  <si>
    <t>2,002.83</t>
  </si>
  <si>
    <t>403</t>
  </si>
  <si>
    <t>17:57:10</t>
  </si>
  <si>
    <t>404</t>
  </si>
  <si>
    <t>18:05:39</t>
  </si>
  <si>
    <t>405</t>
  </si>
  <si>
    <t>18:05:45</t>
  </si>
  <si>
    <t>406</t>
  </si>
  <si>
    <t>18:06:23</t>
  </si>
  <si>
    <t>407</t>
  </si>
  <si>
    <t>18:06:26</t>
  </si>
  <si>
    <t>408</t>
  </si>
  <si>
    <t>18:36:22</t>
  </si>
  <si>
    <t>409</t>
  </si>
  <si>
    <t>19:06:22</t>
  </si>
  <si>
    <t>410</t>
  </si>
  <si>
    <t>19:36:22</t>
  </si>
  <si>
    <t>411</t>
  </si>
  <si>
    <t>20:06:22</t>
  </si>
  <si>
    <t>412</t>
  </si>
  <si>
    <t>20:36:23</t>
  </si>
  <si>
    <t>413</t>
  </si>
  <si>
    <t>21:01:49</t>
  </si>
  <si>
    <t>414</t>
  </si>
  <si>
    <t>415</t>
  </si>
  <si>
    <t>21:31:45</t>
  </si>
  <si>
    <t>416</t>
  </si>
  <si>
    <t>22:01:46</t>
  </si>
  <si>
    <t>417</t>
  </si>
  <si>
    <t>22:31:46</t>
  </si>
  <si>
    <t>418</t>
  </si>
  <si>
    <t>23:01:46</t>
  </si>
  <si>
    <t>419</t>
  </si>
  <si>
    <t>23:31:46</t>
  </si>
  <si>
    <t>Placa/Patente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</si>
</sst>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0"/>
  <sheetViews>
    <sheetView tabSelected="1" topLeftCell="A2" workbookViewId="0">
      <selection activeCell="D2" sqref="D2:D420"/>
    </sheetView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986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23</v>
      </c>
      <c r="I2" t="s">
        <v>26</v>
      </c>
      <c r="J2" t="s">
        <v>27</v>
      </c>
      <c r="K2">
        <v>-12.212975</v>
      </c>
      <c r="L2">
        <v>-76.959029999999998</v>
      </c>
      <c r="M2" t="str">
        <f t="shared" ref="M2:M19" si="0">HYPERLINK("https://www.google.com/maps/search/?api=1&amp;query=-12.212975,-76.95903","Avenida Villa del Mar, Villa El Salvador, Lima")</f>
        <v>Avenida Villa del Mar, Villa El Salvador, Lima</v>
      </c>
      <c r="N2">
        <v>0</v>
      </c>
      <c r="O2">
        <v>100</v>
      </c>
      <c r="P2">
        <v>1550.5</v>
      </c>
      <c r="Q2" t="s">
        <v>28</v>
      </c>
      <c r="R2" t="s">
        <v>23</v>
      </c>
      <c r="S2" t="s">
        <v>23</v>
      </c>
      <c r="T2" t="s">
        <v>23</v>
      </c>
      <c r="U2" t="s">
        <v>23</v>
      </c>
    </row>
    <row r="3" spans="1:21" x14ac:dyDescent="0.25">
      <c r="A3" t="s">
        <v>29</v>
      </c>
      <c r="B3" t="s">
        <v>21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23</v>
      </c>
      <c r="I3" t="s">
        <v>26</v>
      </c>
      <c r="J3" t="s">
        <v>30</v>
      </c>
      <c r="K3">
        <v>-12.212975</v>
      </c>
      <c r="L3">
        <v>-76.959029999999998</v>
      </c>
      <c r="M3" t="str">
        <f t="shared" si="0"/>
        <v>Avenida Villa del Mar, Villa El Salvador, Lima</v>
      </c>
      <c r="N3">
        <v>0</v>
      </c>
      <c r="O3">
        <v>100</v>
      </c>
      <c r="P3">
        <v>1550.5</v>
      </c>
      <c r="Q3" t="s">
        <v>28</v>
      </c>
      <c r="R3" t="s">
        <v>23</v>
      </c>
      <c r="S3" t="s">
        <v>23</v>
      </c>
      <c r="T3" t="s">
        <v>23</v>
      </c>
      <c r="U3" t="s">
        <v>23</v>
      </c>
    </row>
    <row r="4" spans="1:21" x14ac:dyDescent="0.25">
      <c r="A4" t="s">
        <v>31</v>
      </c>
      <c r="B4" t="s">
        <v>21</v>
      </c>
      <c r="C4" t="s">
        <v>22</v>
      </c>
      <c r="D4" t="s">
        <v>22</v>
      </c>
      <c r="E4" t="s">
        <v>23</v>
      </c>
      <c r="F4" t="s">
        <v>24</v>
      </c>
      <c r="G4" t="s">
        <v>25</v>
      </c>
      <c r="H4" t="s">
        <v>23</v>
      </c>
      <c r="I4" t="s">
        <v>26</v>
      </c>
      <c r="J4" t="s">
        <v>32</v>
      </c>
      <c r="K4">
        <v>-12.212975</v>
      </c>
      <c r="L4">
        <v>-76.959029999999998</v>
      </c>
      <c r="M4" t="str">
        <f t="shared" si="0"/>
        <v>Avenida Villa del Mar, Villa El Salvador, Lima</v>
      </c>
      <c r="N4">
        <v>0</v>
      </c>
      <c r="O4">
        <v>100</v>
      </c>
      <c r="P4">
        <v>1550.5</v>
      </c>
      <c r="Q4" t="s">
        <v>28</v>
      </c>
      <c r="R4" t="s">
        <v>23</v>
      </c>
      <c r="S4" t="s">
        <v>23</v>
      </c>
      <c r="T4" t="s">
        <v>23</v>
      </c>
      <c r="U4" t="s">
        <v>23</v>
      </c>
    </row>
    <row r="5" spans="1:21" x14ac:dyDescent="0.25">
      <c r="A5" t="s">
        <v>33</v>
      </c>
      <c r="B5" t="s">
        <v>21</v>
      </c>
      <c r="C5" t="s">
        <v>22</v>
      </c>
      <c r="D5" t="s">
        <v>22</v>
      </c>
      <c r="E5" t="s">
        <v>23</v>
      </c>
      <c r="F5" t="s">
        <v>24</v>
      </c>
      <c r="G5" t="s">
        <v>25</v>
      </c>
      <c r="H5" t="s">
        <v>23</v>
      </c>
      <c r="I5" t="s">
        <v>26</v>
      </c>
      <c r="J5" t="s">
        <v>34</v>
      </c>
      <c r="K5">
        <v>-12.212975</v>
      </c>
      <c r="L5">
        <v>-76.959029999999998</v>
      </c>
      <c r="M5" t="str">
        <f t="shared" si="0"/>
        <v>Avenida Villa del Mar, Villa El Salvador, Lima</v>
      </c>
      <c r="N5">
        <v>0</v>
      </c>
      <c r="O5">
        <v>100</v>
      </c>
      <c r="P5">
        <v>1550.5</v>
      </c>
      <c r="Q5" t="s">
        <v>28</v>
      </c>
      <c r="R5" t="s">
        <v>23</v>
      </c>
      <c r="S5" t="s">
        <v>23</v>
      </c>
      <c r="T5" t="s">
        <v>23</v>
      </c>
      <c r="U5" t="s">
        <v>23</v>
      </c>
    </row>
    <row r="6" spans="1:21" x14ac:dyDescent="0.25">
      <c r="A6" t="s">
        <v>35</v>
      </c>
      <c r="B6" t="s">
        <v>21</v>
      </c>
      <c r="C6" t="s">
        <v>22</v>
      </c>
      <c r="D6" t="s">
        <v>22</v>
      </c>
      <c r="E6" t="s">
        <v>23</v>
      </c>
      <c r="F6" t="s">
        <v>24</v>
      </c>
      <c r="G6" t="s">
        <v>25</v>
      </c>
      <c r="H6" t="s">
        <v>23</v>
      </c>
      <c r="I6" t="s">
        <v>26</v>
      </c>
      <c r="J6" t="s">
        <v>36</v>
      </c>
      <c r="K6">
        <v>-12.212975</v>
      </c>
      <c r="L6">
        <v>-76.959029999999998</v>
      </c>
      <c r="M6" t="str">
        <f t="shared" si="0"/>
        <v>Avenida Villa del Mar, Villa El Salvador, Lima</v>
      </c>
      <c r="N6">
        <v>0</v>
      </c>
      <c r="O6">
        <v>100</v>
      </c>
      <c r="P6">
        <v>1550.5</v>
      </c>
      <c r="Q6" t="s">
        <v>28</v>
      </c>
      <c r="R6" t="s">
        <v>23</v>
      </c>
      <c r="S6" t="s">
        <v>23</v>
      </c>
      <c r="T6" t="s">
        <v>23</v>
      </c>
      <c r="U6" t="s">
        <v>23</v>
      </c>
    </row>
    <row r="7" spans="1:21" x14ac:dyDescent="0.25">
      <c r="A7" t="s">
        <v>37</v>
      </c>
      <c r="B7" t="s">
        <v>21</v>
      </c>
      <c r="C7" t="s">
        <v>22</v>
      </c>
      <c r="D7" t="s">
        <v>22</v>
      </c>
      <c r="E7" t="s">
        <v>23</v>
      </c>
      <c r="F7" t="s">
        <v>24</v>
      </c>
      <c r="G7" t="s">
        <v>25</v>
      </c>
      <c r="H7" t="s">
        <v>23</v>
      </c>
      <c r="I7" t="s">
        <v>26</v>
      </c>
      <c r="J7" t="s">
        <v>38</v>
      </c>
      <c r="K7">
        <v>-12.212975</v>
      </c>
      <c r="L7">
        <v>-76.959029999999998</v>
      </c>
      <c r="M7" t="str">
        <f t="shared" si="0"/>
        <v>Avenida Villa del Mar, Villa El Salvador, Lima</v>
      </c>
      <c r="N7">
        <v>0</v>
      </c>
      <c r="O7">
        <v>100</v>
      </c>
      <c r="P7">
        <v>1550.5</v>
      </c>
      <c r="Q7" t="s">
        <v>28</v>
      </c>
      <c r="R7" t="s">
        <v>23</v>
      </c>
      <c r="S7" t="s">
        <v>23</v>
      </c>
      <c r="T7" t="s">
        <v>23</v>
      </c>
      <c r="U7" t="s">
        <v>23</v>
      </c>
    </row>
    <row r="8" spans="1:21" x14ac:dyDescent="0.25">
      <c r="A8" t="s">
        <v>39</v>
      </c>
      <c r="B8" t="s">
        <v>21</v>
      </c>
      <c r="C8" t="s">
        <v>22</v>
      </c>
      <c r="D8" t="s">
        <v>22</v>
      </c>
      <c r="E8" t="s">
        <v>23</v>
      </c>
      <c r="F8" t="s">
        <v>24</v>
      </c>
      <c r="G8" t="s">
        <v>25</v>
      </c>
      <c r="H8" t="s">
        <v>23</v>
      </c>
      <c r="I8" t="s">
        <v>26</v>
      </c>
      <c r="J8" t="s">
        <v>40</v>
      </c>
      <c r="K8">
        <v>-12.212975</v>
      </c>
      <c r="L8">
        <v>-76.959029999999998</v>
      </c>
      <c r="M8" t="str">
        <f t="shared" si="0"/>
        <v>Avenida Villa del Mar, Villa El Salvador, Lima</v>
      </c>
      <c r="N8">
        <v>0</v>
      </c>
      <c r="O8">
        <v>100</v>
      </c>
      <c r="P8">
        <v>1550.5</v>
      </c>
      <c r="Q8" t="s">
        <v>28</v>
      </c>
      <c r="R8" t="s">
        <v>23</v>
      </c>
      <c r="S8" t="s">
        <v>23</v>
      </c>
      <c r="T8" t="s">
        <v>23</v>
      </c>
      <c r="U8" t="s">
        <v>23</v>
      </c>
    </row>
    <row r="9" spans="1:21" x14ac:dyDescent="0.25">
      <c r="A9" t="s">
        <v>41</v>
      </c>
      <c r="B9" t="s">
        <v>21</v>
      </c>
      <c r="C9" t="s">
        <v>22</v>
      </c>
      <c r="D9" t="s">
        <v>22</v>
      </c>
      <c r="E9" t="s">
        <v>23</v>
      </c>
      <c r="F9" t="s">
        <v>24</v>
      </c>
      <c r="G9" t="s">
        <v>25</v>
      </c>
      <c r="H9" t="s">
        <v>23</v>
      </c>
      <c r="I9" t="s">
        <v>26</v>
      </c>
      <c r="J9" t="s">
        <v>42</v>
      </c>
      <c r="K9">
        <v>-12.212975</v>
      </c>
      <c r="L9">
        <v>-76.959029999999998</v>
      </c>
      <c r="M9" t="str">
        <f t="shared" si="0"/>
        <v>Avenida Villa del Mar, Villa El Salvador, Lima</v>
      </c>
      <c r="N9">
        <v>0</v>
      </c>
      <c r="O9">
        <v>100</v>
      </c>
      <c r="P9">
        <v>1550.5</v>
      </c>
      <c r="Q9" t="s">
        <v>28</v>
      </c>
      <c r="R9" t="s">
        <v>23</v>
      </c>
      <c r="S9" t="s">
        <v>23</v>
      </c>
      <c r="T9" t="s">
        <v>23</v>
      </c>
      <c r="U9" t="s">
        <v>23</v>
      </c>
    </row>
    <row r="10" spans="1:21" x14ac:dyDescent="0.25">
      <c r="A10" t="s">
        <v>43</v>
      </c>
      <c r="B10" t="s">
        <v>21</v>
      </c>
      <c r="C10" t="s">
        <v>22</v>
      </c>
      <c r="D10" t="s">
        <v>22</v>
      </c>
      <c r="E10" t="s">
        <v>23</v>
      </c>
      <c r="F10" t="s">
        <v>24</v>
      </c>
      <c r="G10" t="s">
        <v>25</v>
      </c>
      <c r="H10" t="s">
        <v>23</v>
      </c>
      <c r="I10" t="s">
        <v>26</v>
      </c>
      <c r="J10" t="s">
        <v>44</v>
      </c>
      <c r="K10">
        <v>-12.212975</v>
      </c>
      <c r="L10">
        <v>-76.959029999999998</v>
      </c>
      <c r="M10" t="str">
        <f t="shared" si="0"/>
        <v>Avenida Villa del Mar, Villa El Salvador, Lima</v>
      </c>
      <c r="N10">
        <v>0</v>
      </c>
      <c r="O10">
        <v>100</v>
      </c>
      <c r="P10">
        <v>1550.5</v>
      </c>
      <c r="Q10" t="s">
        <v>28</v>
      </c>
      <c r="R10" t="s">
        <v>23</v>
      </c>
      <c r="S10" t="s">
        <v>23</v>
      </c>
      <c r="T10" t="s">
        <v>23</v>
      </c>
      <c r="U10" t="s">
        <v>23</v>
      </c>
    </row>
    <row r="11" spans="1:21" x14ac:dyDescent="0.25">
      <c r="A11" t="s">
        <v>45</v>
      </c>
      <c r="B11" t="s">
        <v>21</v>
      </c>
      <c r="C11" t="s">
        <v>22</v>
      </c>
      <c r="D11" t="s">
        <v>22</v>
      </c>
      <c r="E11" t="s">
        <v>23</v>
      </c>
      <c r="F11" t="s">
        <v>24</v>
      </c>
      <c r="G11" t="s">
        <v>25</v>
      </c>
      <c r="H11" t="s">
        <v>23</v>
      </c>
      <c r="I11" t="s">
        <v>26</v>
      </c>
      <c r="J11" t="s">
        <v>46</v>
      </c>
      <c r="K11">
        <v>-12.212975</v>
      </c>
      <c r="L11">
        <v>-76.959029999999998</v>
      </c>
      <c r="M11" t="str">
        <f t="shared" si="0"/>
        <v>Avenida Villa del Mar, Villa El Salvador, Lima</v>
      </c>
      <c r="N11">
        <v>0</v>
      </c>
      <c r="O11">
        <v>100</v>
      </c>
      <c r="P11">
        <v>1550.5</v>
      </c>
      <c r="Q11" t="s">
        <v>28</v>
      </c>
      <c r="R11" t="s">
        <v>23</v>
      </c>
      <c r="S11" t="s">
        <v>23</v>
      </c>
      <c r="T11" t="s">
        <v>23</v>
      </c>
      <c r="U11" t="s">
        <v>23</v>
      </c>
    </row>
    <row r="12" spans="1:21" x14ac:dyDescent="0.25">
      <c r="A12" t="s">
        <v>47</v>
      </c>
      <c r="B12" t="s">
        <v>21</v>
      </c>
      <c r="C12" t="s">
        <v>22</v>
      </c>
      <c r="D12" t="s">
        <v>22</v>
      </c>
      <c r="E12" t="s">
        <v>23</v>
      </c>
      <c r="F12" t="s">
        <v>24</v>
      </c>
      <c r="G12" t="s">
        <v>25</v>
      </c>
      <c r="H12" t="s">
        <v>23</v>
      </c>
      <c r="I12" t="s">
        <v>26</v>
      </c>
      <c r="J12" t="s">
        <v>48</v>
      </c>
      <c r="K12">
        <v>-12.212975</v>
      </c>
      <c r="L12">
        <v>-76.959029999999998</v>
      </c>
      <c r="M12" t="str">
        <f t="shared" si="0"/>
        <v>Avenida Villa del Mar, Villa El Salvador, Lima</v>
      </c>
      <c r="N12">
        <v>0</v>
      </c>
      <c r="O12">
        <v>100</v>
      </c>
      <c r="P12">
        <v>1550.5</v>
      </c>
      <c r="Q12" t="s">
        <v>28</v>
      </c>
      <c r="R12" t="s">
        <v>23</v>
      </c>
      <c r="S12" t="s">
        <v>23</v>
      </c>
      <c r="T12" t="s">
        <v>23</v>
      </c>
      <c r="U12" t="s">
        <v>23</v>
      </c>
    </row>
    <row r="13" spans="1:21" x14ac:dyDescent="0.25">
      <c r="A13" t="s">
        <v>49</v>
      </c>
      <c r="B13" t="s">
        <v>21</v>
      </c>
      <c r="C13" t="s">
        <v>22</v>
      </c>
      <c r="D13" t="s">
        <v>22</v>
      </c>
      <c r="E13" t="s">
        <v>23</v>
      </c>
      <c r="F13" t="s">
        <v>24</v>
      </c>
      <c r="G13" t="s">
        <v>25</v>
      </c>
      <c r="H13" t="s">
        <v>23</v>
      </c>
      <c r="I13" t="s">
        <v>26</v>
      </c>
      <c r="J13" t="s">
        <v>50</v>
      </c>
      <c r="K13">
        <v>-12.212975</v>
      </c>
      <c r="L13">
        <v>-76.959029999999998</v>
      </c>
      <c r="M13" t="str">
        <f t="shared" si="0"/>
        <v>Avenida Villa del Mar, Villa El Salvador, Lima</v>
      </c>
      <c r="N13">
        <v>0</v>
      </c>
      <c r="O13">
        <v>100</v>
      </c>
      <c r="P13">
        <v>1550.5</v>
      </c>
      <c r="Q13" t="s">
        <v>28</v>
      </c>
      <c r="R13" t="s">
        <v>23</v>
      </c>
      <c r="S13" t="s">
        <v>23</v>
      </c>
      <c r="T13" t="s">
        <v>23</v>
      </c>
      <c r="U13" t="s">
        <v>23</v>
      </c>
    </row>
    <row r="14" spans="1:21" x14ac:dyDescent="0.25">
      <c r="A14" t="s">
        <v>51</v>
      </c>
      <c r="B14" t="s">
        <v>21</v>
      </c>
      <c r="C14" t="s">
        <v>22</v>
      </c>
      <c r="D14" t="s">
        <v>22</v>
      </c>
      <c r="E14" t="s">
        <v>23</v>
      </c>
      <c r="F14" t="s">
        <v>24</v>
      </c>
      <c r="G14" t="s">
        <v>25</v>
      </c>
      <c r="H14" t="s">
        <v>23</v>
      </c>
      <c r="I14" t="s">
        <v>26</v>
      </c>
      <c r="J14" t="s">
        <v>52</v>
      </c>
      <c r="K14">
        <v>-12.212975</v>
      </c>
      <c r="L14">
        <v>-76.959029999999998</v>
      </c>
      <c r="M14" t="str">
        <f t="shared" si="0"/>
        <v>Avenida Villa del Mar, Villa El Salvador, Lima</v>
      </c>
      <c r="N14">
        <v>0</v>
      </c>
      <c r="O14">
        <v>100</v>
      </c>
      <c r="P14">
        <v>1550.5</v>
      </c>
      <c r="Q14" t="s">
        <v>28</v>
      </c>
      <c r="R14" t="s">
        <v>23</v>
      </c>
      <c r="S14" t="s">
        <v>23</v>
      </c>
      <c r="T14" t="s">
        <v>23</v>
      </c>
      <c r="U14" t="s">
        <v>23</v>
      </c>
    </row>
    <row r="15" spans="1:21" x14ac:dyDescent="0.25">
      <c r="A15" t="s">
        <v>53</v>
      </c>
      <c r="B15" t="s">
        <v>21</v>
      </c>
      <c r="C15" t="s">
        <v>22</v>
      </c>
      <c r="D15" t="s">
        <v>22</v>
      </c>
      <c r="E15" t="s">
        <v>23</v>
      </c>
      <c r="F15" t="s">
        <v>24</v>
      </c>
      <c r="G15" t="s">
        <v>25</v>
      </c>
      <c r="H15" t="s">
        <v>23</v>
      </c>
      <c r="I15" t="s">
        <v>26</v>
      </c>
      <c r="J15" t="s">
        <v>54</v>
      </c>
      <c r="K15">
        <v>-12.212975</v>
      </c>
      <c r="L15">
        <v>-76.959029999999998</v>
      </c>
      <c r="M15" t="str">
        <f t="shared" si="0"/>
        <v>Avenida Villa del Mar, Villa El Salvador, Lima</v>
      </c>
      <c r="N15">
        <v>0</v>
      </c>
      <c r="O15">
        <v>100</v>
      </c>
      <c r="P15">
        <v>1550.5</v>
      </c>
      <c r="Q15" t="s">
        <v>28</v>
      </c>
      <c r="R15" t="s">
        <v>23</v>
      </c>
      <c r="S15" t="s">
        <v>23</v>
      </c>
      <c r="T15" t="s">
        <v>23</v>
      </c>
      <c r="U15" t="s">
        <v>23</v>
      </c>
    </row>
    <row r="16" spans="1:21" x14ac:dyDescent="0.25">
      <c r="A16" t="s">
        <v>55</v>
      </c>
      <c r="B16" t="s">
        <v>21</v>
      </c>
      <c r="C16" t="s">
        <v>22</v>
      </c>
      <c r="D16" t="s">
        <v>22</v>
      </c>
      <c r="E16" t="s">
        <v>23</v>
      </c>
      <c r="F16" t="s">
        <v>24</v>
      </c>
      <c r="G16" t="s">
        <v>25</v>
      </c>
      <c r="H16" t="s">
        <v>23</v>
      </c>
      <c r="I16" t="s">
        <v>26</v>
      </c>
      <c r="J16" t="s">
        <v>56</v>
      </c>
      <c r="K16">
        <v>-12.212975</v>
      </c>
      <c r="L16">
        <v>-76.959029999999998</v>
      </c>
      <c r="M16" t="str">
        <f t="shared" si="0"/>
        <v>Avenida Villa del Mar, Villa El Salvador, Lima</v>
      </c>
      <c r="N16">
        <v>0</v>
      </c>
      <c r="O16">
        <v>100</v>
      </c>
      <c r="P16">
        <v>1550.5</v>
      </c>
      <c r="Q16" t="s">
        <v>28</v>
      </c>
      <c r="R16" t="s">
        <v>23</v>
      </c>
      <c r="S16" t="s">
        <v>23</v>
      </c>
      <c r="T16" t="s">
        <v>23</v>
      </c>
      <c r="U16" t="s">
        <v>23</v>
      </c>
    </row>
    <row r="17" spans="1:21" x14ac:dyDescent="0.25">
      <c r="A17" t="s">
        <v>57</v>
      </c>
      <c r="B17" t="s">
        <v>21</v>
      </c>
      <c r="C17" t="s">
        <v>22</v>
      </c>
      <c r="D17" t="s">
        <v>22</v>
      </c>
      <c r="E17" t="s">
        <v>23</v>
      </c>
      <c r="F17" t="s">
        <v>24</v>
      </c>
      <c r="G17" t="s">
        <v>25</v>
      </c>
      <c r="H17" t="s">
        <v>23</v>
      </c>
      <c r="I17" t="s">
        <v>26</v>
      </c>
      <c r="J17" t="s">
        <v>58</v>
      </c>
      <c r="K17">
        <v>-12.212975</v>
      </c>
      <c r="L17">
        <v>-76.959029999999998</v>
      </c>
      <c r="M17" t="str">
        <f t="shared" si="0"/>
        <v>Avenida Villa del Mar, Villa El Salvador, Lima</v>
      </c>
      <c r="N17">
        <v>0</v>
      </c>
      <c r="O17">
        <v>100</v>
      </c>
      <c r="P17">
        <v>1550.5</v>
      </c>
      <c r="Q17" t="s">
        <v>28</v>
      </c>
      <c r="R17" t="s">
        <v>23</v>
      </c>
      <c r="S17" t="s">
        <v>23</v>
      </c>
      <c r="T17" t="s">
        <v>23</v>
      </c>
      <c r="U17" t="s">
        <v>23</v>
      </c>
    </row>
    <row r="18" spans="1:21" x14ac:dyDescent="0.25">
      <c r="A18" t="s">
        <v>59</v>
      </c>
      <c r="B18" t="s">
        <v>21</v>
      </c>
      <c r="C18" t="s">
        <v>22</v>
      </c>
      <c r="D18" t="s">
        <v>22</v>
      </c>
      <c r="E18" t="s">
        <v>23</v>
      </c>
      <c r="F18" t="s">
        <v>24</v>
      </c>
      <c r="G18" t="s">
        <v>25</v>
      </c>
      <c r="H18" t="s">
        <v>23</v>
      </c>
      <c r="I18" t="s">
        <v>26</v>
      </c>
      <c r="J18" t="s">
        <v>60</v>
      </c>
      <c r="K18">
        <v>-12.212975</v>
      </c>
      <c r="L18">
        <v>-76.959029999999998</v>
      </c>
      <c r="M18" t="str">
        <f t="shared" si="0"/>
        <v>Avenida Villa del Mar, Villa El Salvador, Lima</v>
      </c>
      <c r="N18">
        <v>0</v>
      </c>
      <c r="O18">
        <v>100</v>
      </c>
      <c r="P18">
        <v>1550.5</v>
      </c>
      <c r="Q18" t="s">
        <v>28</v>
      </c>
      <c r="R18" t="s">
        <v>23</v>
      </c>
      <c r="S18" t="s">
        <v>23</v>
      </c>
      <c r="T18" t="s">
        <v>23</v>
      </c>
      <c r="U18" t="s">
        <v>23</v>
      </c>
    </row>
    <row r="19" spans="1:21" x14ac:dyDescent="0.25">
      <c r="A19" t="s">
        <v>61</v>
      </c>
      <c r="B19" t="s">
        <v>21</v>
      </c>
      <c r="C19" t="s">
        <v>22</v>
      </c>
      <c r="D19" t="s">
        <v>22</v>
      </c>
      <c r="E19" t="s">
        <v>23</v>
      </c>
      <c r="F19" t="s">
        <v>24</v>
      </c>
      <c r="G19" t="s">
        <v>25</v>
      </c>
      <c r="H19" t="s">
        <v>23</v>
      </c>
      <c r="I19" t="s">
        <v>26</v>
      </c>
      <c r="J19" t="s">
        <v>62</v>
      </c>
      <c r="K19">
        <v>-12.212975</v>
      </c>
      <c r="L19">
        <v>-76.959029999999998</v>
      </c>
      <c r="M19" t="str">
        <f t="shared" si="0"/>
        <v>Avenida Villa del Mar, Villa El Salvador, Lima</v>
      </c>
      <c r="N19">
        <v>0</v>
      </c>
      <c r="O19">
        <v>100</v>
      </c>
      <c r="P19">
        <v>1550.5</v>
      </c>
      <c r="Q19" t="s">
        <v>28</v>
      </c>
      <c r="R19" t="s">
        <v>63</v>
      </c>
      <c r="S19" t="s">
        <v>23</v>
      </c>
      <c r="T19" t="s">
        <v>23</v>
      </c>
      <c r="U19" t="s">
        <v>23</v>
      </c>
    </row>
    <row r="20" spans="1:21" x14ac:dyDescent="0.25">
      <c r="A20" t="s">
        <v>64</v>
      </c>
      <c r="B20" t="s">
        <v>21</v>
      </c>
      <c r="C20" t="s">
        <v>22</v>
      </c>
      <c r="D20" t="s">
        <v>22</v>
      </c>
      <c r="E20" t="s">
        <v>23</v>
      </c>
      <c r="F20" t="s">
        <v>24</v>
      </c>
      <c r="G20" t="s">
        <v>25</v>
      </c>
      <c r="H20" t="s">
        <v>23</v>
      </c>
      <c r="I20" t="s">
        <v>26</v>
      </c>
      <c r="J20" t="s">
        <v>65</v>
      </c>
      <c r="K20">
        <v>-12.212904999999999</v>
      </c>
      <c r="L20">
        <v>-76.959350000000001</v>
      </c>
      <c r="M20" t="str">
        <f>HYPERLINK("https://www.google.com/maps/search/?api=1&amp;query=-12.212905,-76.95935","Avenida Villa del Mar, Villa El Salvador, Lima")</f>
        <v>Avenida Villa del Mar, Villa El Salvador, Lima</v>
      </c>
      <c r="N20">
        <v>0.1</v>
      </c>
      <c r="O20">
        <v>100</v>
      </c>
      <c r="P20">
        <v>1550.5</v>
      </c>
      <c r="Q20" t="s">
        <v>28</v>
      </c>
      <c r="R20" t="s">
        <v>23</v>
      </c>
      <c r="S20" t="s">
        <v>23</v>
      </c>
      <c r="T20" t="s">
        <v>23</v>
      </c>
      <c r="U20" t="s">
        <v>23</v>
      </c>
    </row>
    <row r="21" spans="1:21" x14ac:dyDescent="0.25">
      <c r="A21" t="s">
        <v>66</v>
      </c>
      <c r="B21" t="s">
        <v>21</v>
      </c>
      <c r="C21" t="s">
        <v>22</v>
      </c>
      <c r="D21" t="s">
        <v>22</v>
      </c>
      <c r="E21" t="s">
        <v>23</v>
      </c>
      <c r="F21" t="s">
        <v>24</v>
      </c>
      <c r="G21" t="s">
        <v>25</v>
      </c>
      <c r="H21" t="s">
        <v>23</v>
      </c>
      <c r="I21" t="s">
        <v>26</v>
      </c>
      <c r="J21" t="s">
        <v>67</v>
      </c>
      <c r="K21">
        <v>-12.212904999999999</v>
      </c>
      <c r="L21">
        <v>-76.959350000000001</v>
      </c>
      <c r="M21" t="str">
        <f>HYPERLINK("https://www.google.com/maps/search/?api=1&amp;query=-12.212905,-76.95935","Avenida Villa del Mar, Villa El Salvador, Lima")</f>
        <v>Avenida Villa del Mar, Villa El Salvador, Lima</v>
      </c>
      <c r="N21">
        <v>0</v>
      </c>
      <c r="O21">
        <v>100</v>
      </c>
      <c r="P21">
        <v>1550.5</v>
      </c>
      <c r="Q21" t="s">
        <v>28</v>
      </c>
      <c r="R21" t="s">
        <v>23</v>
      </c>
      <c r="S21" t="s">
        <v>23</v>
      </c>
      <c r="T21" t="s">
        <v>23</v>
      </c>
      <c r="U21" t="s">
        <v>23</v>
      </c>
    </row>
    <row r="22" spans="1:21" x14ac:dyDescent="0.25">
      <c r="A22" t="s">
        <v>68</v>
      </c>
      <c r="B22" t="s">
        <v>21</v>
      </c>
      <c r="C22" t="s">
        <v>22</v>
      </c>
      <c r="D22" t="s">
        <v>22</v>
      </c>
      <c r="E22" t="s">
        <v>23</v>
      </c>
      <c r="F22" t="s">
        <v>24</v>
      </c>
      <c r="G22" t="s">
        <v>25</v>
      </c>
      <c r="H22" t="s">
        <v>23</v>
      </c>
      <c r="I22" t="s">
        <v>26</v>
      </c>
      <c r="J22" t="s">
        <v>69</v>
      </c>
      <c r="K22">
        <v>-12.212904999999999</v>
      </c>
      <c r="L22">
        <v>-76.959350000000001</v>
      </c>
      <c r="M22" t="str">
        <f>HYPERLINK("https://www.google.com/maps/search/?api=1&amp;query=-12.212905,-76.95935","Avenida Villa del Mar, Villa El Salvador, Lima")</f>
        <v>Avenida Villa del Mar, Villa El Salvador, Lima</v>
      </c>
      <c r="N22">
        <v>0</v>
      </c>
      <c r="O22">
        <v>100</v>
      </c>
      <c r="P22">
        <v>1550.5</v>
      </c>
      <c r="Q22" t="s">
        <v>70</v>
      </c>
      <c r="R22" t="s">
        <v>23</v>
      </c>
      <c r="S22" t="s">
        <v>23</v>
      </c>
      <c r="T22" t="s">
        <v>23</v>
      </c>
      <c r="U22" t="s">
        <v>23</v>
      </c>
    </row>
    <row r="23" spans="1:21" x14ac:dyDescent="0.25">
      <c r="A23" t="s">
        <v>71</v>
      </c>
      <c r="B23" t="s">
        <v>21</v>
      </c>
      <c r="C23" t="s">
        <v>22</v>
      </c>
      <c r="D23" t="s">
        <v>22</v>
      </c>
      <c r="E23" t="s">
        <v>23</v>
      </c>
      <c r="F23" t="s">
        <v>24</v>
      </c>
      <c r="G23" t="s">
        <v>25</v>
      </c>
      <c r="H23" t="s">
        <v>23</v>
      </c>
      <c r="I23" t="s">
        <v>26</v>
      </c>
      <c r="J23" t="s">
        <v>72</v>
      </c>
      <c r="K23">
        <v>-12.212904999999999</v>
      </c>
      <c r="L23">
        <v>-76.959350000000001</v>
      </c>
      <c r="M23" t="str">
        <f>HYPERLINK("https://www.google.com/maps/search/?api=1&amp;query=-12.212905,-76.95935","Avenida Villa del Mar, Villa El Salvador, Lima")</f>
        <v>Avenida Villa del Mar, Villa El Salvador, Lima</v>
      </c>
      <c r="N23">
        <v>0</v>
      </c>
      <c r="O23">
        <v>100</v>
      </c>
      <c r="P23">
        <v>1550.5</v>
      </c>
      <c r="Q23" t="s">
        <v>70</v>
      </c>
      <c r="R23" t="s">
        <v>23</v>
      </c>
      <c r="S23" t="s">
        <v>23</v>
      </c>
      <c r="T23" t="s">
        <v>23</v>
      </c>
      <c r="U23" t="s">
        <v>23</v>
      </c>
    </row>
    <row r="24" spans="1:21" x14ac:dyDescent="0.25">
      <c r="A24" t="s">
        <v>73</v>
      </c>
      <c r="B24" t="s">
        <v>21</v>
      </c>
      <c r="C24" t="s">
        <v>22</v>
      </c>
      <c r="D24" t="s">
        <v>22</v>
      </c>
      <c r="E24" t="s">
        <v>23</v>
      </c>
      <c r="F24" t="s">
        <v>24</v>
      </c>
      <c r="G24" t="s">
        <v>25</v>
      </c>
      <c r="H24" t="s">
        <v>23</v>
      </c>
      <c r="I24" t="s">
        <v>26</v>
      </c>
      <c r="J24" t="s">
        <v>74</v>
      </c>
      <c r="K24">
        <v>-12.212904999999999</v>
      </c>
      <c r="L24">
        <v>-76.959350000000001</v>
      </c>
      <c r="M24" t="str">
        <f>HYPERLINK("https://www.google.com/maps/search/?api=1&amp;query=-12.212905,-76.95935","Avenida Villa del Mar, Villa El Salvador, Lima")</f>
        <v>Avenida Villa del Mar, Villa El Salvador, Lima</v>
      </c>
      <c r="N24">
        <v>0</v>
      </c>
      <c r="O24">
        <v>100</v>
      </c>
      <c r="P24">
        <v>1550.5</v>
      </c>
      <c r="Q24" t="s">
        <v>70</v>
      </c>
      <c r="R24" t="s">
        <v>23</v>
      </c>
      <c r="S24" t="s">
        <v>23</v>
      </c>
      <c r="T24" t="s">
        <v>23</v>
      </c>
      <c r="U24" t="s">
        <v>23</v>
      </c>
    </row>
    <row r="25" spans="1:21" x14ac:dyDescent="0.25">
      <c r="A25" t="s">
        <v>75</v>
      </c>
      <c r="B25" t="s">
        <v>21</v>
      </c>
      <c r="C25" t="s">
        <v>22</v>
      </c>
      <c r="D25" t="s">
        <v>22</v>
      </c>
      <c r="E25" t="s">
        <v>23</v>
      </c>
      <c r="F25" t="s">
        <v>24</v>
      </c>
      <c r="G25" t="s">
        <v>25</v>
      </c>
      <c r="H25" t="s">
        <v>23</v>
      </c>
      <c r="I25" t="s">
        <v>26</v>
      </c>
      <c r="J25" t="s">
        <v>76</v>
      </c>
      <c r="K25">
        <v>-12.212974000000001</v>
      </c>
      <c r="L25">
        <v>-76.959370000000007</v>
      </c>
      <c r="M25" t="str">
        <f>HYPERLINK("https://www.google.com/maps/search/?api=1&amp;query=-12.212974,-76.95937","Avenida Villa del Mar, Villa El Salvador, Lima")</f>
        <v>Avenida Villa del Mar, Villa El Salvador, Lima</v>
      </c>
      <c r="N25">
        <v>3.9</v>
      </c>
      <c r="O25">
        <v>100</v>
      </c>
      <c r="P25">
        <v>1550.5</v>
      </c>
      <c r="Q25" t="s">
        <v>70</v>
      </c>
      <c r="R25" t="s">
        <v>23</v>
      </c>
      <c r="S25" t="s">
        <v>23</v>
      </c>
      <c r="T25" t="s">
        <v>23</v>
      </c>
      <c r="U25" t="s">
        <v>23</v>
      </c>
    </row>
    <row r="26" spans="1:21" x14ac:dyDescent="0.25">
      <c r="A26" t="s">
        <v>77</v>
      </c>
      <c r="B26" t="s">
        <v>21</v>
      </c>
      <c r="C26" t="s">
        <v>22</v>
      </c>
      <c r="D26" t="s">
        <v>22</v>
      </c>
      <c r="E26" t="s">
        <v>23</v>
      </c>
      <c r="F26" t="s">
        <v>24</v>
      </c>
      <c r="G26" t="s">
        <v>25</v>
      </c>
      <c r="H26" t="s">
        <v>23</v>
      </c>
      <c r="I26" t="s">
        <v>26</v>
      </c>
      <c r="J26" t="s">
        <v>78</v>
      </c>
      <c r="K26">
        <v>-12.212989</v>
      </c>
      <c r="L26">
        <v>-76.959400000000002</v>
      </c>
      <c r="M26" t="str">
        <f>HYPERLINK("https://www.google.com/maps/search/?api=1&amp;query=-12.212989,-76.9594","Avenida Villa del Mar, Villa El Salvador, Lima")</f>
        <v>Avenida Villa del Mar, Villa El Salvador, Lima</v>
      </c>
      <c r="N26">
        <v>0</v>
      </c>
      <c r="O26">
        <v>100</v>
      </c>
      <c r="P26">
        <v>1550.5</v>
      </c>
      <c r="Q26" t="s">
        <v>70</v>
      </c>
      <c r="R26" t="s">
        <v>23</v>
      </c>
      <c r="S26" t="s">
        <v>23</v>
      </c>
      <c r="T26" t="s">
        <v>23</v>
      </c>
      <c r="U26" t="s">
        <v>23</v>
      </c>
    </row>
    <row r="27" spans="1:21" x14ac:dyDescent="0.25">
      <c r="A27" t="s">
        <v>79</v>
      </c>
      <c r="B27" t="s">
        <v>21</v>
      </c>
      <c r="C27" t="s">
        <v>22</v>
      </c>
      <c r="D27" t="s">
        <v>22</v>
      </c>
      <c r="E27" t="s">
        <v>23</v>
      </c>
      <c r="F27" t="s">
        <v>24</v>
      </c>
      <c r="G27" t="s">
        <v>25</v>
      </c>
      <c r="H27" t="s">
        <v>23</v>
      </c>
      <c r="I27" t="s">
        <v>26</v>
      </c>
      <c r="J27" t="s">
        <v>80</v>
      </c>
      <c r="K27">
        <v>-12.213334</v>
      </c>
      <c r="L27">
        <v>-76.960139999999996</v>
      </c>
      <c r="M27" t="str">
        <f>HYPERLINK("https://www.google.com/maps/search/?api=1&amp;query=-12.213334,-76.96014","Avenida Villa del Mar, Villa El Salvador, Lima")</f>
        <v>Avenida Villa del Mar, Villa El Salvador, Lima</v>
      </c>
      <c r="N27">
        <v>8.6</v>
      </c>
      <c r="O27">
        <v>100</v>
      </c>
      <c r="P27">
        <v>1550.5</v>
      </c>
      <c r="Q27" t="s">
        <v>81</v>
      </c>
      <c r="R27" t="s">
        <v>23</v>
      </c>
      <c r="S27" t="s">
        <v>23</v>
      </c>
      <c r="T27" t="s">
        <v>23</v>
      </c>
      <c r="U27" t="s">
        <v>23</v>
      </c>
    </row>
    <row r="28" spans="1:21" x14ac:dyDescent="0.25">
      <c r="A28" t="s">
        <v>82</v>
      </c>
      <c r="B28" t="s">
        <v>21</v>
      </c>
      <c r="C28" t="s">
        <v>22</v>
      </c>
      <c r="D28" t="s">
        <v>22</v>
      </c>
      <c r="E28" t="s">
        <v>23</v>
      </c>
      <c r="F28" t="s">
        <v>24</v>
      </c>
      <c r="G28" t="s">
        <v>25</v>
      </c>
      <c r="H28" t="s">
        <v>23</v>
      </c>
      <c r="I28" t="s">
        <v>26</v>
      </c>
      <c r="J28" t="s">
        <v>83</v>
      </c>
      <c r="K28">
        <v>-12.214183</v>
      </c>
      <c r="L28">
        <v>-76.961460000000002</v>
      </c>
      <c r="M28" t="str">
        <f>HYPERLINK("https://www.google.com/maps/search/?api=1&amp;query=-12.214183,-76.96146","Avenida Villa del Mar, Villa El Salvador, Lima")</f>
        <v>Avenida Villa del Mar, Villa El Salvador, Lima</v>
      </c>
      <c r="N28">
        <v>8.6999999999999993</v>
      </c>
      <c r="O28">
        <v>100</v>
      </c>
      <c r="P28">
        <v>1550.6</v>
      </c>
      <c r="Q28" t="s">
        <v>81</v>
      </c>
      <c r="R28" t="s">
        <v>23</v>
      </c>
      <c r="S28" t="s">
        <v>23</v>
      </c>
      <c r="T28" t="s">
        <v>23</v>
      </c>
      <c r="U28" t="s">
        <v>23</v>
      </c>
    </row>
    <row r="29" spans="1:21" x14ac:dyDescent="0.25">
      <c r="A29" t="s">
        <v>84</v>
      </c>
      <c r="B29" t="s">
        <v>21</v>
      </c>
      <c r="C29" t="s">
        <v>22</v>
      </c>
      <c r="D29" t="s">
        <v>22</v>
      </c>
      <c r="E29" t="s">
        <v>23</v>
      </c>
      <c r="F29" t="s">
        <v>24</v>
      </c>
      <c r="G29" t="s">
        <v>25</v>
      </c>
      <c r="H29" t="s">
        <v>23</v>
      </c>
      <c r="I29" t="s">
        <v>26</v>
      </c>
      <c r="J29" t="s">
        <v>85</v>
      </c>
      <c r="K29">
        <v>-12.215113000000001</v>
      </c>
      <c r="L29">
        <v>-76.963049999999996</v>
      </c>
      <c r="M29" t="str">
        <f>HYPERLINK("https://www.google.com/maps/search/?api=1&amp;query=-12.215113,-76.96305","Avenida Villa del Mar, Villa El Salvador, Lima")</f>
        <v>Avenida Villa del Mar, Villa El Salvador, Lima</v>
      </c>
      <c r="N29">
        <v>11</v>
      </c>
      <c r="O29">
        <v>100</v>
      </c>
      <c r="P29">
        <v>1550.8</v>
      </c>
      <c r="Q29" t="s">
        <v>86</v>
      </c>
      <c r="R29" t="s">
        <v>23</v>
      </c>
      <c r="S29" t="s">
        <v>23</v>
      </c>
      <c r="T29" t="s">
        <v>23</v>
      </c>
      <c r="U29" t="s">
        <v>23</v>
      </c>
    </row>
    <row r="30" spans="1:21" x14ac:dyDescent="0.25">
      <c r="A30" t="s">
        <v>87</v>
      </c>
      <c r="B30" t="s">
        <v>21</v>
      </c>
      <c r="C30" t="s">
        <v>22</v>
      </c>
      <c r="D30" t="s">
        <v>22</v>
      </c>
      <c r="E30" t="s">
        <v>23</v>
      </c>
      <c r="F30" t="s">
        <v>24</v>
      </c>
      <c r="G30" t="s">
        <v>25</v>
      </c>
      <c r="H30" t="s">
        <v>23</v>
      </c>
      <c r="I30" t="s">
        <v>26</v>
      </c>
      <c r="J30" t="s">
        <v>88</v>
      </c>
      <c r="K30">
        <v>-12.215510999999999</v>
      </c>
      <c r="L30">
        <v>-76.96387</v>
      </c>
      <c r="M30" t="str">
        <f>HYPERLINK("https://www.google.com/maps/search/?api=1&amp;query=-12.215511,-76.96387","Avenida Los Forestales, Villa El Salvador, Lima")</f>
        <v>Avenida Los Forestales, Villa El Salvador, Lima</v>
      </c>
      <c r="N30">
        <v>11.4</v>
      </c>
      <c r="O30">
        <v>100</v>
      </c>
      <c r="P30">
        <v>1551</v>
      </c>
      <c r="Q30" t="s">
        <v>89</v>
      </c>
      <c r="R30" t="s">
        <v>23</v>
      </c>
      <c r="S30" t="s">
        <v>23</v>
      </c>
      <c r="T30" t="s">
        <v>23</v>
      </c>
      <c r="U30" t="s">
        <v>23</v>
      </c>
    </row>
    <row r="31" spans="1:21" x14ac:dyDescent="0.25">
      <c r="A31" t="s">
        <v>90</v>
      </c>
      <c r="B31" t="s">
        <v>21</v>
      </c>
      <c r="C31" t="s">
        <v>22</v>
      </c>
      <c r="D31" t="s">
        <v>22</v>
      </c>
      <c r="E31" t="s">
        <v>23</v>
      </c>
      <c r="F31" t="s">
        <v>24</v>
      </c>
      <c r="G31" t="s">
        <v>25</v>
      </c>
      <c r="H31" t="s">
        <v>23</v>
      </c>
      <c r="I31" t="s">
        <v>26</v>
      </c>
      <c r="J31" t="s">
        <v>91</v>
      </c>
      <c r="K31">
        <v>-12.215420999999999</v>
      </c>
      <c r="L31">
        <v>-76.963890000000006</v>
      </c>
      <c r="M31" t="str">
        <f>HYPERLINK("https://www.google.com/maps/search/?api=1&amp;query=-12.215421,-76.96389","Avenida Los Forestales, Villa El Salvador, Lima")</f>
        <v>Avenida Los Forestales, Villa El Salvador, Lima</v>
      </c>
      <c r="N31">
        <v>12.9</v>
      </c>
      <c r="O31">
        <v>100</v>
      </c>
      <c r="P31">
        <v>1551</v>
      </c>
      <c r="Q31" t="s">
        <v>89</v>
      </c>
      <c r="R31" t="s">
        <v>23</v>
      </c>
      <c r="S31" t="s">
        <v>23</v>
      </c>
      <c r="T31" t="s">
        <v>23</v>
      </c>
      <c r="U31" t="s">
        <v>23</v>
      </c>
    </row>
    <row r="32" spans="1:21" x14ac:dyDescent="0.25">
      <c r="A32" t="s">
        <v>92</v>
      </c>
      <c r="B32" t="s">
        <v>21</v>
      </c>
      <c r="C32" t="s">
        <v>22</v>
      </c>
      <c r="D32" t="s">
        <v>22</v>
      </c>
      <c r="E32" t="s">
        <v>23</v>
      </c>
      <c r="F32" t="s">
        <v>24</v>
      </c>
      <c r="G32" t="s">
        <v>25</v>
      </c>
      <c r="H32" t="s">
        <v>23</v>
      </c>
      <c r="I32" t="s">
        <v>26</v>
      </c>
      <c r="J32" t="s">
        <v>93</v>
      </c>
      <c r="K32">
        <v>-12.214242</v>
      </c>
      <c r="L32">
        <v>-76.963800000000006</v>
      </c>
      <c r="M32" t="str">
        <f>HYPERLINK("https://www.google.com/maps/search/?api=1&amp;query=-12.214242,-76.9638","Avenida Los Forestales, Villa El Salvador, Lima")</f>
        <v>Avenida Los Forestales, Villa El Salvador, Lima</v>
      </c>
      <c r="N32">
        <v>17.3</v>
      </c>
      <c r="O32">
        <v>100</v>
      </c>
      <c r="P32">
        <v>1551</v>
      </c>
      <c r="Q32" t="s">
        <v>89</v>
      </c>
      <c r="R32" t="s">
        <v>23</v>
      </c>
      <c r="S32" t="s">
        <v>23</v>
      </c>
      <c r="T32" t="s">
        <v>23</v>
      </c>
      <c r="U32" t="s">
        <v>23</v>
      </c>
    </row>
    <row r="33" spans="1:21" x14ac:dyDescent="0.25">
      <c r="A33" t="s">
        <v>94</v>
      </c>
      <c r="B33" t="s">
        <v>21</v>
      </c>
      <c r="C33" t="s">
        <v>22</v>
      </c>
      <c r="D33" t="s">
        <v>22</v>
      </c>
      <c r="E33" t="s">
        <v>23</v>
      </c>
      <c r="F33" t="s">
        <v>24</v>
      </c>
      <c r="G33" t="s">
        <v>25</v>
      </c>
      <c r="H33" t="s">
        <v>23</v>
      </c>
      <c r="I33" t="s">
        <v>26</v>
      </c>
      <c r="J33" t="s">
        <v>95</v>
      </c>
      <c r="K33">
        <v>-12.212211999999999</v>
      </c>
      <c r="L33">
        <v>-76.963660000000004</v>
      </c>
      <c r="M33" t="str">
        <f>HYPERLINK("https://www.google.com/maps/search/?api=1&amp;query=-12.212212,-76.96366","Avenida Los Forestales, Villa El Salvador, Lima")</f>
        <v>Avenida Los Forestales, Villa El Salvador, Lima</v>
      </c>
      <c r="N33">
        <v>1</v>
      </c>
      <c r="O33">
        <v>100</v>
      </c>
      <c r="P33">
        <v>1551.2</v>
      </c>
      <c r="Q33" t="s">
        <v>89</v>
      </c>
      <c r="R33" t="s">
        <v>23</v>
      </c>
      <c r="S33" t="s">
        <v>23</v>
      </c>
      <c r="T33" t="s">
        <v>23</v>
      </c>
      <c r="U33" t="s">
        <v>23</v>
      </c>
    </row>
    <row r="34" spans="1:21" x14ac:dyDescent="0.25">
      <c r="A34" t="s">
        <v>96</v>
      </c>
      <c r="B34" t="s">
        <v>21</v>
      </c>
      <c r="C34" t="s">
        <v>22</v>
      </c>
      <c r="D34" t="s">
        <v>22</v>
      </c>
      <c r="E34" t="s">
        <v>23</v>
      </c>
      <c r="F34" t="s">
        <v>24</v>
      </c>
      <c r="G34" t="s">
        <v>25</v>
      </c>
      <c r="H34" t="s">
        <v>23</v>
      </c>
      <c r="I34" t="s">
        <v>26</v>
      </c>
      <c r="J34" t="s">
        <v>97</v>
      </c>
      <c r="K34">
        <v>-12.212076</v>
      </c>
      <c r="L34">
        <v>-76.96369</v>
      </c>
      <c r="M34" t="str">
        <f>HYPERLINK("https://www.google.com/maps/search/?api=1&amp;query=-12.212076,-76.96369","Avenida Los Forestales, Villa El Salvador, Lima")</f>
        <v>Avenida Los Forestales, Villa El Salvador, Lima</v>
      </c>
      <c r="N34">
        <v>7.7</v>
      </c>
      <c r="O34">
        <v>100</v>
      </c>
      <c r="P34">
        <v>1551.5</v>
      </c>
      <c r="Q34" t="s">
        <v>98</v>
      </c>
      <c r="R34" t="s">
        <v>23</v>
      </c>
      <c r="S34" t="s">
        <v>23</v>
      </c>
      <c r="T34" t="s">
        <v>23</v>
      </c>
      <c r="U34" t="s">
        <v>23</v>
      </c>
    </row>
    <row r="35" spans="1:21" x14ac:dyDescent="0.25">
      <c r="A35" t="s">
        <v>99</v>
      </c>
      <c r="B35" t="s">
        <v>21</v>
      </c>
      <c r="C35" t="s">
        <v>22</v>
      </c>
      <c r="D35" t="s">
        <v>22</v>
      </c>
      <c r="E35" t="s">
        <v>23</v>
      </c>
      <c r="F35" t="s">
        <v>24</v>
      </c>
      <c r="G35" t="s">
        <v>25</v>
      </c>
      <c r="H35" t="s">
        <v>23</v>
      </c>
      <c r="I35" t="s">
        <v>26</v>
      </c>
      <c r="J35" t="s">
        <v>100</v>
      </c>
      <c r="K35">
        <v>-12.212085999999999</v>
      </c>
      <c r="L35">
        <v>-76.963775999999996</v>
      </c>
      <c r="M35" t="str">
        <f>HYPERLINK("https://www.google.com/maps/search/?api=1&amp;query=-12.212086,-76.963776","Avenida El Sol, Villa El Salvador, Lima")</f>
        <v>Avenida El Sol, Villa El Salvador, Lima</v>
      </c>
      <c r="N35">
        <v>15.4</v>
      </c>
      <c r="O35">
        <v>100</v>
      </c>
      <c r="P35">
        <v>1551.5</v>
      </c>
      <c r="Q35" t="s">
        <v>98</v>
      </c>
      <c r="R35" t="s">
        <v>23</v>
      </c>
      <c r="S35" t="s">
        <v>23</v>
      </c>
      <c r="T35" t="s">
        <v>23</v>
      </c>
      <c r="U35" t="s">
        <v>23</v>
      </c>
    </row>
    <row r="36" spans="1:21" x14ac:dyDescent="0.25">
      <c r="A36" t="s">
        <v>101</v>
      </c>
      <c r="B36" t="s">
        <v>21</v>
      </c>
      <c r="C36" t="s">
        <v>22</v>
      </c>
      <c r="D36" t="s">
        <v>22</v>
      </c>
      <c r="E36" t="s">
        <v>23</v>
      </c>
      <c r="F36" t="s">
        <v>24</v>
      </c>
      <c r="G36" t="s">
        <v>25</v>
      </c>
      <c r="H36" t="s">
        <v>23</v>
      </c>
      <c r="I36" t="s">
        <v>26</v>
      </c>
      <c r="J36" t="s">
        <v>102</v>
      </c>
      <c r="K36">
        <v>-12.213571999999999</v>
      </c>
      <c r="L36">
        <v>-76.965959999999995</v>
      </c>
      <c r="M36" t="str">
        <f>HYPERLINK("https://www.google.com/maps/search/?api=1&amp;query=-12.213572,-76.96596","Avenida El Sol, Villa El Salvador, Lima")</f>
        <v>Avenida El Sol, Villa El Salvador, Lima</v>
      </c>
      <c r="N36">
        <v>35.299999999999997</v>
      </c>
      <c r="O36">
        <v>100</v>
      </c>
      <c r="P36">
        <v>1551.5</v>
      </c>
      <c r="Q36" t="s">
        <v>98</v>
      </c>
      <c r="R36" t="s">
        <v>23</v>
      </c>
      <c r="S36" t="s">
        <v>23</v>
      </c>
      <c r="T36" t="s">
        <v>23</v>
      </c>
      <c r="U36" t="s">
        <v>23</v>
      </c>
    </row>
    <row r="37" spans="1:21" x14ac:dyDescent="0.25">
      <c r="A37" t="s">
        <v>103</v>
      </c>
      <c r="B37" t="s">
        <v>21</v>
      </c>
      <c r="C37" t="s">
        <v>22</v>
      </c>
      <c r="D37" t="s">
        <v>22</v>
      </c>
      <c r="E37" t="s">
        <v>23</v>
      </c>
      <c r="F37" t="s">
        <v>24</v>
      </c>
      <c r="G37" t="s">
        <v>25</v>
      </c>
      <c r="H37" t="s">
        <v>23</v>
      </c>
      <c r="I37" t="s">
        <v>26</v>
      </c>
      <c r="J37" t="s">
        <v>104</v>
      </c>
      <c r="K37">
        <v>-12.215256</v>
      </c>
      <c r="L37">
        <v>-76.967489999999998</v>
      </c>
      <c r="M37" t="str">
        <f>HYPERLINK("https://www.google.com/maps/search/?api=1&amp;query=-12.215256,-76.96749","Avenida El Sol, Villa El Salvador, Lima")</f>
        <v>Avenida El Sol, Villa El Salvador, Lima</v>
      </c>
      <c r="N37">
        <v>30.8</v>
      </c>
      <c r="O37">
        <v>100</v>
      </c>
      <c r="P37">
        <v>1551.8</v>
      </c>
      <c r="Q37" t="s">
        <v>98</v>
      </c>
      <c r="R37" t="s">
        <v>23</v>
      </c>
      <c r="S37" t="s">
        <v>23</v>
      </c>
      <c r="T37" t="s">
        <v>23</v>
      </c>
      <c r="U37" t="s">
        <v>23</v>
      </c>
    </row>
    <row r="38" spans="1:21" x14ac:dyDescent="0.25">
      <c r="A38" t="s">
        <v>105</v>
      </c>
      <c r="B38" t="s">
        <v>21</v>
      </c>
      <c r="C38" t="s">
        <v>22</v>
      </c>
      <c r="D38" t="s">
        <v>22</v>
      </c>
      <c r="E38" t="s">
        <v>23</v>
      </c>
      <c r="F38" t="s">
        <v>24</v>
      </c>
      <c r="G38" t="s">
        <v>25</v>
      </c>
      <c r="H38" t="s">
        <v>23</v>
      </c>
      <c r="I38" t="s">
        <v>26</v>
      </c>
      <c r="J38" t="s">
        <v>106</v>
      </c>
      <c r="K38">
        <v>-12.216659</v>
      </c>
      <c r="L38">
        <v>-76.968575000000001</v>
      </c>
      <c r="M38" t="str">
        <f>HYPERLINK("https://www.google.com/maps/search/?api=1&amp;query=-12.216659,-76.968575","Avenida El Sol, Villa El Salvador, Lima")</f>
        <v>Avenida El Sol, Villa El Salvador, Lima</v>
      </c>
      <c r="N38">
        <v>8.6</v>
      </c>
      <c r="O38">
        <v>100</v>
      </c>
      <c r="P38">
        <v>1551.8</v>
      </c>
      <c r="Q38" t="s">
        <v>98</v>
      </c>
      <c r="R38" t="s">
        <v>23</v>
      </c>
      <c r="S38" t="s">
        <v>23</v>
      </c>
      <c r="T38" t="s">
        <v>23</v>
      </c>
      <c r="U38" t="s">
        <v>23</v>
      </c>
    </row>
    <row r="39" spans="1:21" x14ac:dyDescent="0.25">
      <c r="A39" t="s">
        <v>107</v>
      </c>
      <c r="B39" t="s">
        <v>21</v>
      </c>
      <c r="C39" t="s">
        <v>22</v>
      </c>
      <c r="D39" t="s">
        <v>22</v>
      </c>
      <c r="E39" t="s">
        <v>23</v>
      </c>
      <c r="F39" t="s">
        <v>24</v>
      </c>
      <c r="G39" t="s">
        <v>25</v>
      </c>
      <c r="H39" t="s">
        <v>23</v>
      </c>
      <c r="I39" t="s">
        <v>26</v>
      </c>
      <c r="J39" t="s">
        <v>108</v>
      </c>
      <c r="K39">
        <v>-12.218169</v>
      </c>
      <c r="L39">
        <v>-76.970200000000006</v>
      </c>
      <c r="M39" t="str">
        <f>HYPERLINK("https://www.google.com/maps/search/?api=1&amp;query=-12.218169,-76.9702","Avenida El Sol, Villa El Salvador, Lima")</f>
        <v>Avenida El Sol, Villa El Salvador, Lima</v>
      </c>
      <c r="N39">
        <v>27.6</v>
      </c>
      <c r="O39">
        <v>100</v>
      </c>
      <c r="P39">
        <v>1552.2</v>
      </c>
      <c r="Q39" t="s">
        <v>109</v>
      </c>
      <c r="R39" t="s">
        <v>23</v>
      </c>
      <c r="S39" t="s">
        <v>23</v>
      </c>
      <c r="T39" t="s">
        <v>23</v>
      </c>
      <c r="U39" t="s">
        <v>23</v>
      </c>
    </row>
    <row r="40" spans="1:21" x14ac:dyDescent="0.25">
      <c r="A40" t="s">
        <v>110</v>
      </c>
      <c r="B40" t="s">
        <v>21</v>
      </c>
      <c r="C40" t="s">
        <v>22</v>
      </c>
      <c r="D40" t="s">
        <v>22</v>
      </c>
      <c r="E40" t="s">
        <v>23</v>
      </c>
      <c r="F40" t="s">
        <v>24</v>
      </c>
      <c r="G40" t="s">
        <v>25</v>
      </c>
      <c r="H40" t="s">
        <v>23</v>
      </c>
      <c r="I40" t="s">
        <v>26</v>
      </c>
      <c r="J40" t="s">
        <v>111</v>
      </c>
      <c r="K40">
        <v>-12.221726</v>
      </c>
      <c r="L40">
        <v>-76.974019999999996</v>
      </c>
      <c r="M40" t="str">
        <f>HYPERLINK("https://www.google.com/maps/search/?api=1&amp;query=-12.221726,-76.97402","Avenida El Sol, Villa El Salvador, Lima")</f>
        <v>Avenida El Sol, Villa El Salvador, Lima</v>
      </c>
      <c r="N40">
        <v>30.9</v>
      </c>
      <c r="O40">
        <v>100</v>
      </c>
      <c r="P40">
        <v>1552.5</v>
      </c>
      <c r="Q40" t="s">
        <v>109</v>
      </c>
      <c r="R40" t="s">
        <v>23</v>
      </c>
      <c r="S40" t="s">
        <v>23</v>
      </c>
      <c r="T40" t="s">
        <v>23</v>
      </c>
      <c r="U40" t="s">
        <v>23</v>
      </c>
    </row>
    <row r="41" spans="1:21" x14ac:dyDescent="0.25">
      <c r="A41" t="s">
        <v>112</v>
      </c>
      <c r="B41" t="s">
        <v>21</v>
      </c>
      <c r="C41" t="s">
        <v>22</v>
      </c>
      <c r="D41" t="s">
        <v>22</v>
      </c>
      <c r="E41" t="s">
        <v>23</v>
      </c>
      <c r="F41" t="s">
        <v>24</v>
      </c>
      <c r="G41" t="s">
        <v>25</v>
      </c>
      <c r="H41" t="s">
        <v>23</v>
      </c>
      <c r="I41" t="s">
        <v>26</v>
      </c>
      <c r="J41" t="s">
        <v>113</v>
      </c>
      <c r="K41">
        <v>-12.222097</v>
      </c>
      <c r="L41">
        <v>-76.974469999999997</v>
      </c>
      <c r="M41" t="str">
        <f>HYPERLINK("https://www.google.com/maps/search/?api=1&amp;query=-12.222097,-76.97447","Avenida El Sol, Villa El Salvador, Lima")</f>
        <v>Avenida El Sol, Villa El Salvador, Lima</v>
      </c>
      <c r="N41">
        <v>9.6</v>
      </c>
      <c r="O41">
        <v>100</v>
      </c>
      <c r="P41">
        <v>1553.5</v>
      </c>
      <c r="Q41" t="s">
        <v>114</v>
      </c>
      <c r="R41" t="s">
        <v>23</v>
      </c>
      <c r="S41" t="s">
        <v>23</v>
      </c>
      <c r="T41" t="s">
        <v>23</v>
      </c>
      <c r="U41" t="s">
        <v>23</v>
      </c>
    </row>
    <row r="42" spans="1:21" x14ac:dyDescent="0.25">
      <c r="A42" t="s">
        <v>115</v>
      </c>
      <c r="B42" t="s">
        <v>21</v>
      </c>
      <c r="C42" t="s">
        <v>22</v>
      </c>
      <c r="D42" t="s">
        <v>22</v>
      </c>
      <c r="E42" t="s">
        <v>23</v>
      </c>
      <c r="F42" t="s">
        <v>24</v>
      </c>
      <c r="G42" t="s">
        <v>25</v>
      </c>
      <c r="H42" t="s">
        <v>23</v>
      </c>
      <c r="I42" t="s">
        <v>26</v>
      </c>
      <c r="J42" t="s">
        <v>116</v>
      </c>
      <c r="K42">
        <v>-12.222037</v>
      </c>
      <c r="L42">
        <v>-76.974549999999994</v>
      </c>
      <c r="M42" t="str">
        <f>HYPERLINK("https://www.google.com/maps/search/?api=1&amp;query=-12.222037,-76.97455","Antigua Panamericana Sur, Villa El Salvador, Lima")</f>
        <v>Antigua Panamericana Sur, Villa El Salvador, Lima</v>
      </c>
      <c r="N42">
        <v>13.5</v>
      </c>
      <c r="O42">
        <v>100</v>
      </c>
      <c r="P42">
        <v>1553.5</v>
      </c>
      <c r="Q42" t="s">
        <v>114</v>
      </c>
      <c r="R42" t="s">
        <v>23</v>
      </c>
      <c r="S42" t="s">
        <v>23</v>
      </c>
      <c r="T42" t="s">
        <v>23</v>
      </c>
      <c r="U42" t="s">
        <v>23</v>
      </c>
    </row>
    <row r="43" spans="1:21" x14ac:dyDescent="0.25">
      <c r="A43" t="s">
        <v>117</v>
      </c>
      <c r="B43" t="s">
        <v>21</v>
      </c>
      <c r="C43" t="s">
        <v>22</v>
      </c>
      <c r="D43" t="s">
        <v>22</v>
      </c>
      <c r="E43" t="s">
        <v>23</v>
      </c>
      <c r="F43" t="s">
        <v>24</v>
      </c>
      <c r="G43" t="s">
        <v>25</v>
      </c>
      <c r="H43" t="s">
        <v>23</v>
      </c>
      <c r="I43" t="s">
        <v>26</v>
      </c>
      <c r="J43" t="s">
        <v>118</v>
      </c>
      <c r="K43">
        <v>-12.220518</v>
      </c>
      <c r="L43">
        <v>-76.975700000000003</v>
      </c>
      <c r="M43" t="str">
        <f>HYPERLINK("https://www.google.com/maps/search/?api=1&amp;query=-12.220518,-76.9757","Antigua Panamericana Sur, Villa El Salvador, Lima")</f>
        <v>Antigua Panamericana Sur, Villa El Salvador, Lima</v>
      </c>
      <c r="N43">
        <v>40</v>
      </c>
      <c r="O43">
        <v>100</v>
      </c>
      <c r="P43">
        <v>1553.5</v>
      </c>
      <c r="Q43" t="s">
        <v>114</v>
      </c>
      <c r="R43" t="s">
        <v>23</v>
      </c>
      <c r="S43" t="s">
        <v>23</v>
      </c>
      <c r="T43" t="s">
        <v>23</v>
      </c>
      <c r="U43" t="s">
        <v>23</v>
      </c>
    </row>
    <row r="44" spans="1:21" x14ac:dyDescent="0.25">
      <c r="A44" t="s">
        <v>119</v>
      </c>
      <c r="B44" t="s">
        <v>21</v>
      </c>
      <c r="C44" t="s">
        <v>22</v>
      </c>
      <c r="D44" t="s">
        <v>22</v>
      </c>
      <c r="E44" t="s">
        <v>23</v>
      </c>
      <c r="F44" t="s">
        <v>24</v>
      </c>
      <c r="G44" t="s">
        <v>25</v>
      </c>
      <c r="H44" t="s">
        <v>23</v>
      </c>
      <c r="I44" t="s">
        <v>26</v>
      </c>
      <c r="J44" t="s">
        <v>120</v>
      </c>
      <c r="K44">
        <v>-12.219360999999999</v>
      </c>
      <c r="L44">
        <v>-76.975719999999995</v>
      </c>
      <c r="M44" t="str">
        <f>HYPERLINK("https://www.google.com/maps/search/?api=1&amp;query=-12.219361,-76.97572","Antigua Panamericana Sur, Villa El Salvador, Lima")</f>
        <v>Antigua Panamericana Sur, Villa El Salvador, Lima</v>
      </c>
      <c r="N44">
        <v>28.5</v>
      </c>
      <c r="O44">
        <v>100</v>
      </c>
      <c r="P44">
        <v>1553.5</v>
      </c>
      <c r="Q44" t="s">
        <v>114</v>
      </c>
      <c r="R44" t="s">
        <v>23</v>
      </c>
      <c r="S44" t="s">
        <v>23</v>
      </c>
      <c r="T44" t="s">
        <v>23</v>
      </c>
      <c r="U44" t="s">
        <v>23</v>
      </c>
    </row>
    <row r="45" spans="1:21" x14ac:dyDescent="0.25">
      <c r="A45" t="s">
        <v>121</v>
      </c>
      <c r="B45" t="s">
        <v>21</v>
      </c>
      <c r="C45" t="s">
        <v>22</v>
      </c>
      <c r="D45" t="s">
        <v>22</v>
      </c>
      <c r="E45" t="s">
        <v>23</v>
      </c>
      <c r="F45" t="s">
        <v>24</v>
      </c>
      <c r="G45" t="s">
        <v>25</v>
      </c>
      <c r="H45" t="s">
        <v>23</v>
      </c>
      <c r="I45" t="s">
        <v>26</v>
      </c>
      <c r="J45" t="s">
        <v>122</v>
      </c>
      <c r="K45">
        <v>-12.218194</v>
      </c>
      <c r="L45">
        <v>-76.976119999999995</v>
      </c>
      <c r="M45" t="str">
        <f>HYPERLINK("https://www.google.com/maps/search/?api=1&amp;query=-12.218194,-76.97612","Villa El Salvador, Lima")</f>
        <v>Villa El Salvador, Lima</v>
      </c>
      <c r="N45">
        <v>41.9</v>
      </c>
      <c r="O45">
        <v>100</v>
      </c>
      <c r="P45">
        <v>1553.5</v>
      </c>
      <c r="Q45" t="s">
        <v>114</v>
      </c>
      <c r="R45" t="s">
        <v>23</v>
      </c>
      <c r="S45" t="s">
        <v>23</v>
      </c>
      <c r="T45" t="s">
        <v>23</v>
      </c>
      <c r="U45" t="s">
        <v>23</v>
      </c>
    </row>
    <row r="46" spans="1:21" x14ac:dyDescent="0.25">
      <c r="A46" t="s">
        <v>123</v>
      </c>
      <c r="B46" t="s">
        <v>21</v>
      </c>
      <c r="C46" t="s">
        <v>22</v>
      </c>
      <c r="D46" t="s">
        <v>22</v>
      </c>
      <c r="E46" t="s">
        <v>23</v>
      </c>
      <c r="F46" t="s">
        <v>24</v>
      </c>
      <c r="G46" t="s">
        <v>25</v>
      </c>
      <c r="H46" t="s">
        <v>23</v>
      </c>
      <c r="I46" t="s">
        <v>26</v>
      </c>
      <c r="J46" t="s">
        <v>124</v>
      </c>
      <c r="K46">
        <v>-12.217254000000001</v>
      </c>
      <c r="L46">
        <v>-76.979519999999994</v>
      </c>
      <c r="M46" t="str">
        <f>HYPERLINK("https://www.google.com/maps/search/?api=1&amp;query=-12.217254,-76.97952","Avenida Caminos del Inca, Chorrillos, Lima")</f>
        <v>Avenida Caminos del Inca, Chorrillos, Lima</v>
      </c>
      <c r="N46">
        <v>48.2</v>
      </c>
      <c r="O46">
        <v>100</v>
      </c>
      <c r="P46">
        <v>1553.5</v>
      </c>
      <c r="Q46" t="s">
        <v>114</v>
      </c>
      <c r="R46" t="s">
        <v>23</v>
      </c>
      <c r="S46" t="s">
        <v>23</v>
      </c>
      <c r="T46" t="s">
        <v>23</v>
      </c>
      <c r="U46" t="s">
        <v>23</v>
      </c>
    </row>
    <row r="47" spans="1:21" x14ac:dyDescent="0.25">
      <c r="A47" t="s">
        <v>125</v>
      </c>
      <c r="B47" t="s">
        <v>21</v>
      </c>
      <c r="C47" t="s">
        <v>22</v>
      </c>
      <c r="D47" t="s">
        <v>22</v>
      </c>
      <c r="E47" t="s">
        <v>23</v>
      </c>
      <c r="F47" t="s">
        <v>24</v>
      </c>
      <c r="G47" t="s">
        <v>25</v>
      </c>
      <c r="H47" t="s">
        <v>23</v>
      </c>
      <c r="I47" t="s">
        <v>26</v>
      </c>
      <c r="J47" t="s">
        <v>126</v>
      </c>
      <c r="K47">
        <v>-12.216766</v>
      </c>
      <c r="L47">
        <v>-76.980009999999993</v>
      </c>
      <c r="M47" t="str">
        <f>HYPERLINK("https://www.google.com/maps/search/?api=1&amp;query=-12.216766,-76.98001","Avenida Caminos del Inca, Chorrillos, Lima")</f>
        <v>Avenida Caminos del Inca, Chorrillos, Lima</v>
      </c>
      <c r="N47">
        <v>43</v>
      </c>
      <c r="O47">
        <v>100</v>
      </c>
      <c r="P47">
        <v>1553.5</v>
      </c>
      <c r="Q47" t="s">
        <v>114</v>
      </c>
      <c r="R47" t="s">
        <v>23</v>
      </c>
      <c r="S47" t="s">
        <v>23</v>
      </c>
      <c r="T47" t="s">
        <v>23</v>
      </c>
      <c r="U47" t="s">
        <v>23</v>
      </c>
    </row>
    <row r="48" spans="1:21" x14ac:dyDescent="0.25">
      <c r="A48" t="s">
        <v>127</v>
      </c>
      <c r="B48" t="s">
        <v>21</v>
      </c>
      <c r="C48" t="s">
        <v>22</v>
      </c>
      <c r="D48" t="s">
        <v>22</v>
      </c>
      <c r="E48" t="s">
        <v>23</v>
      </c>
      <c r="F48" t="s">
        <v>24</v>
      </c>
      <c r="G48" t="s">
        <v>25</v>
      </c>
      <c r="H48" t="s">
        <v>23</v>
      </c>
      <c r="I48" t="s">
        <v>26</v>
      </c>
      <c r="J48" t="s">
        <v>128</v>
      </c>
      <c r="K48">
        <v>-12.215707999999999</v>
      </c>
      <c r="L48">
        <v>-76.981059999999999</v>
      </c>
      <c r="M48" t="str">
        <f>HYPERLINK("https://www.google.com/maps/search/?api=1&amp;query=-12.215708,-76.98106","Avenida Caminos del Inca, Chorrillos, Lima")</f>
        <v>Avenida Caminos del Inca, Chorrillos, Lima</v>
      </c>
      <c r="N48">
        <v>14.7</v>
      </c>
      <c r="O48">
        <v>100</v>
      </c>
      <c r="P48">
        <v>1553.5</v>
      </c>
      <c r="Q48" t="s">
        <v>114</v>
      </c>
      <c r="R48" t="s">
        <v>23</v>
      </c>
      <c r="S48" t="s">
        <v>23</v>
      </c>
      <c r="T48" t="s">
        <v>23</v>
      </c>
      <c r="U48" t="s">
        <v>23</v>
      </c>
    </row>
    <row r="49" spans="1:21" x14ac:dyDescent="0.25">
      <c r="A49" t="s">
        <v>129</v>
      </c>
      <c r="B49" t="s">
        <v>21</v>
      </c>
      <c r="C49" t="s">
        <v>22</v>
      </c>
      <c r="D49" t="s">
        <v>22</v>
      </c>
      <c r="E49" t="s">
        <v>23</v>
      </c>
      <c r="F49" t="s">
        <v>24</v>
      </c>
      <c r="G49" t="s">
        <v>25</v>
      </c>
      <c r="H49" t="s">
        <v>23</v>
      </c>
      <c r="I49" t="s">
        <v>26</v>
      </c>
      <c r="J49" t="s">
        <v>130</v>
      </c>
      <c r="K49">
        <v>-12.215790999999999</v>
      </c>
      <c r="L49">
        <v>-76.981155000000001</v>
      </c>
      <c r="M49" t="str">
        <f>HYPERLINK("https://www.google.com/maps/search/?api=1&amp;query=-12.215791,-76.981155","Avenida Caminos del Inca, Chorrillos, Lima")</f>
        <v>Avenida Caminos del Inca, Chorrillos, Lima</v>
      </c>
      <c r="N49">
        <v>5.2</v>
      </c>
      <c r="O49">
        <v>100</v>
      </c>
      <c r="P49">
        <v>1553.5</v>
      </c>
      <c r="Q49" t="s">
        <v>114</v>
      </c>
      <c r="R49" t="s">
        <v>23</v>
      </c>
      <c r="S49" t="s">
        <v>23</v>
      </c>
      <c r="T49" t="s">
        <v>23</v>
      </c>
      <c r="U49" t="s">
        <v>23</v>
      </c>
    </row>
    <row r="50" spans="1:21" x14ac:dyDescent="0.25">
      <c r="A50" t="s">
        <v>131</v>
      </c>
      <c r="B50" t="s">
        <v>21</v>
      </c>
      <c r="C50" t="s">
        <v>22</v>
      </c>
      <c r="D50" t="s">
        <v>22</v>
      </c>
      <c r="E50" t="s">
        <v>23</v>
      </c>
      <c r="F50" t="s">
        <v>24</v>
      </c>
      <c r="G50" t="s">
        <v>25</v>
      </c>
      <c r="H50" t="s">
        <v>23</v>
      </c>
      <c r="I50" t="s">
        <v>26</v>
      </c>
      <c r="J50" t="s">
        <v>132</v>
      </c>
      <c r="K50">
        <v>-12.215895</v>
      </c>
      <c r="L50">
        <v>-76.981129999999993</v>
      </c>
      <c r="M50" t="str">
        <f>HYPERLINK("https://www.google.com/maps/search/?api=1&amp;query=-12.215895,-76.98113","Prolongación Huaylas, Chorrillos, Lima")</f>
        <v>Prolongación Huaylas, Chorrillos, Lima</v>
      </c>
      <c r="N50">
        <v>12.2</v>
      </c>
      <c r="O50">
        <v>100</v>
      </c>
      <c r="P50">
        <v>1554.1</v>
      </c>
      <c r="Q50" t="s">
        <v>133</v>
      </c>
      <c r="R50" t="s">
        <v>23</v>
      </c>
      <c r="S50" t="s">
        <v>23</v>
      </c>
      <c r="T50" t="s">
        <v>23</v>
      </c>
      <c r="U50" t="s">
        <v>23</v>
      </c>
    </row>
    <row r="51" spans="1:21" x14ac:dyDescent="0.25">
      <c r="A51" t="s">
        <v>134</v>
      </c>
      <c r="B51" t="s">
        <v>21</v>
      </c>
      <c r="C51" t="s">
        <v>22</v>
      </c>
      <c r="D51" t="s">
        <v>22</v>
      </c>
      <c r="E51" t="s">
        <v>23</v>
      </c>
      <c r="F51" t="s">
        <v>24</v>
      </c>
      <c r="G51" t="s">
        <v>25</v>
      </c>
      <c r="H51" t="s">
        <v>23</v>
      </c>
      <c r="I51" t="s">
        <v>26</v>
      </c>
      <c r="J51" t="s">
        <v>135</v>
      </c>
      <c r="K51">
        <v>-12.216006999999999</v>
      </c>
      <c r="L51">
        <v>-76.980919999999998</v>
      </c>
      <c r="M51" t="str">
        <f>HYPERLINK("https://www.google.com/maps/search/?api=1&amp;query=-12.216007,-76.98092","Avenida Caminos del Inca, Chorrillos, Lima")</f>
        <v>Avenida Caminos del Inca, Chorrillos, Lima</v>
      </c>
      <c r="N51">
        <v>20</v>
      </c>
      <c r="O51">
        <v>100</v>
      </c>
      <c r="P51">
        <v>1554.1</v>
      </c>
      <c r="Q51" t="s">
        <v>133</v>
      </c>
      <c r="R51" t="s">
        <v>23</v>
      </c>
      <c r="S51" t="s">
        <v>23</v>
      </c>
      <c r="T51" t="s">
        <v>23</v>
      </c>
      <c r="U51" t="s">
        <v>23</v>
      </c>
    </row>
    <row r="52" spans="1:21" x14ac:dyDescent="0.25">
      <c r="A52" t="s">
        <v>136</v>
      </c>
      <c r="B52" t="s">
        <v>21</v>
      </c>
      <c r="C52" t="s">
        <v>22</v>
      </c>
      <c r="D52" t="s">
        <v>22</v>
      </c>
      <c r="E52" t="s">
        <v>23</v>
      </c>
      <c r="F52" t="s">
        <v>24</v>
      </c>
      <c r="G52" t="s">
        <v>25</v>
      </c>
      <c r="H52" t="s">
        <v>23</v>
      </c>
      <c r="I52" t="s">
        <v>26</v>
      </c>
      <c r="J52" t="s">
        <v>137</v>
      </c>
      <c r="K52">
        <v>-12.217269</v>
      </c>
      <c r="L52">
        <v>-76.979579999999999</v>
      </c>
      <c r="M52" t="str">
        <f>HYPERLINK("https://www.google.com/maps/search/?api=1&amp;query=-12.217269,-76.97958","Avenida Caminos del Inca, Chorrillos, Lima")</f>
        <v>Avenida Caminos del Inca, Chorrillos, Lima</v>
      </c>
      <c r="N52">
        <v>42.1</v>
      </c>
      <c r="O52">
        <v>100</v>
      </c>
      <c r="P52">
        <v>1554.1</v>
      </c>
      <c r="Q52" t="s">
        <v>133</v>
      </c>
      <c r="R52" t="s">
        <v>23</v>
      </c>
      <c r="S52" t="s">
        <v>23</v>
      </c>
      <c r="T52" t="s">
        <v>23</v>
      </c>
      <c r="U52" t="s">
        <v>23</v>
      </c>
    </row>
    <row r="53" spans="1:21" x14ac:dyDescent="0.25">
      <c r="A53" t="s">
        <v>138</v>
      </c>
      <c r="B53" t="s">
        <v>21</v>
      </c>
      <c r="C53" t="s">
        <v>22</v>
      </c>
      <c r="D53" t="s">
        <v>22</v>
      </c>
      <c r="E53" t="s">
        <v>23</v>
      </c>
      <c r="F53" t="s">
        <v>24</v>
      </c>
      <c r="G53" t="s">
        <v>25</v>
      </c>
      <c r="H53" t="s">
        <v>23</v>
      </c>
      <c r="I53" t="s">
        <v>26</v>
      </c>
      <c r="J53" t="s">
        <v>139</v>
      </c>
      <c r="K53">
        <v>-12.222829000000001</v>
      </c>
      <c r="L53">
        <v>-76.97439</v>
      </c>
      <c r="M53" t="str">
        <f>HYPERLINK("https://www.google.com/maps/search/?api=1&amp;query=-12.222829,-76.97439","Carretera Panamericana Sur, Chorrillos, Lima")</f>
        <v>Carretera Panamericana Sur, Chorrillos, Lima</v>
      </c>
      <c r="N53">
        <v>52.2</v>
      </c>
      <c r="O53">
        <v>100</v>
      </c>
      <c r="P53">
        <v>1554.5</v>
      </c>
      <c r="Q53" t="s">
        <v>140</v>
      </c>
      <c r="R53" t="s">
        <v>23</v>
      </c>
      <c r="S53" t="s">
        <v>23</v>
      </c>
      <c r="T53" t="s">
        <v>23</v>
      </c>
      <c r="U53" t="s">
        <v>23</v>
      </c>
    </row>
    <row r="54" spans="1:21" x14ac:dyDescent="0.25">
      <c r="A54" t="s">
        <v>141</v>
      </c>
      <c r="B54" t="s">
        <v>21</v>
      </c>
      <c r="C54" t="s">
        <v>22</v>
      </c>
      <c r="D54" t="s">
        <v>22</v>
      </c>
      <c r="E54" t="s">
        <v>23</v>
      </c>
      <c r="F54" t="s">
        <v>24</v>
      </c>
      <c r="G54" t="s">
        <v>25</v>
      </c>
      <c r="H54" t="s">
        <v>23</v>
      </c>
      <c r="I54" t="s">
        <v>26</v>
      </c>
      <c r="J54" t="s">
        <v>142</v>
      </c>
      <c r="K54">
        <v>-12.226451000000001</v>
      </c>
      <c r="L54">
        <v>-76.971146000000005</v>
      </c>
      <c r="M54" t="str">
        <f>HYPERLINK("https://www.google.com/maps/search/?api=1&amp;query=-12.226451,-76.971146","Carretera Panamericana Sur, Villa El Salvador, Lima")</f>
        <v>Carretera Panamericana Sur, Villa El Salvador, Lima</v>
      </c>
      <c r="N54">
        <v>23.1</v>
      </c>
      <c r="O54">
        <v>100</v>
      </c>
      <c r="P54">
        <v>1555.3</v>
      </c>
      <c r="Q54" t="s">
        <v>140</v>
      </c>
      <c r="R54" t="s">
        <v>23</v>
      </c>
      <c r="S54" t="s">
        <v>23</v>
      </c>
      <c r="T54" t="s">
        <v>23</v>
      </c>
      <c r="U54" t="s">
        <v>23</v>
      </c>
    </row>
    <row r="55" spans="1:21" x14ac:dyDescent="0.25">
      <c r="A55" t="s">
        <v>143</v>
      </c>
      <c r="B55" t="s">
        <v>21</v>
      </c>
      <c r="C55" t="s">
        <v>22</v>
      </c>
      <c r="D55" t="s">
        <v>22</v>
      </c>
      <c r="E55" t="s">
        <v>23</v>
      </c>
      <c r="F55" t="s">
        <v>24</v>
      </c>
      <c r="G55" t="s">
        <v>25</v>
      </c>
      <c r="H55" t="s">
        <v>23</v>
      </c>
      <c r="I55" t="s">
        <v>26</v>
      </c>
      <c r="J55" t="s">
        <v>144</v>
      </c>
      <c r="K55">
        <v>-12.227436000000001</v>
      </c>
      <c r="L55">
        <v>-76.970179999999999</v>
      </c>
      <c r="M55" t="str">
        <f>HYPERLINK("https://www.google.com/maps/search/?api=1&amp;query=-12.227436,-76.97018","Carretera Panamericana Sur, Villa El Salvador, Lima")</f>
        <v>Carretera Panamericana Sur, Villa El Salvador, Lima</v>
      </c>
      <c r="N55">
        <v>39.1</v>
      </c>
      <c r="O55">
        <v>100</v>
      </c>
      <c r="P55">
        <v>1555.3</v>
      </c>
      <c r="Q55" t="s">
        <v>140</v>
      </c>
      <c r="R55" t="s">
        <v>23</v>
      </c>
      <c r="S55" t="s">
        <v>23</v>
      </c>
      <c r="T55" t="s">
        <v>23</v>
      </c>
      <c r="U55" t="s">
        <v>23</v>
      </c>
    </row>
    <row r="56" spans="1:21" x14ac:dyDescent="0.25">
      <c r="A56" t="s">
        <v>145</v>
      </c>
      <c r="B56" t="s">
        <v>21</v>
      </c>
      <c r="C56" t="s">
        <v>22</v>
      </c>
      <c r="D56" t="s">
        <v>22</v>
      </c>
      <c r="E56" t="s">
        <v>23</v>
      </c>
      <c r="F56" t="s">
        <v>24</v>
      </c>
      <c r="G56" t="s">
        <v>25</v>
      </c>
      <c r="H56" t="s">
        <v>23</v>
      </c>
      <c r="I56" t="s">
        <v>26</v>
      </c>
      <c r="J56" t="s">
        <v>146</v>
      </c>
      <c r="K56">
        <v>-12.232429</v>
      </c>
      <c r="L56">
        <v>-76.963449999999995</v>
      </c>
      <c r="M56" t="str">
        <f>HYPERLINK("https://www.google.com/maps/search/?api=1&amp;query=-12.232429,-76.96345","Carretera Panamericana Sur, Villa El Salvador, Lima")</f>
        <v>Carretera Panamericana Sur, Villa El Salvador, Lima</v>
      </c>
      <c r="N56">
        <v>67</v>
      </c>
      <c r="O56">
        <v>100</v>
      </c>
      <c r="P56">
        <v>1556</v>
      </c>
      <c r="Q56" t="s">
        <v>147</v>
      </c>
      <c r="R56" t="s">
        <v>23</v>
      </c>
      <c r="S56" t="s">
        <v>23</v>
      </c>
      <c r="T56" t="s">
        <v>23</v>
      </c>
      <c r="U56" t="s">
        <v>23</v>
      </c>
    </row>
    <row r="57" spans="1:21" x14ac:dyDescent="0.25">
      <c r="A57" t="s">
        <v>148</v>
      </c>
      <c r="B57" t="s">
        <v>21</v>
      </c>
      <c r="C57" t="s">
        <v>22</v>
      </c>
      <c r="D57" t="s">
        <v>22</v>
      </c>
      <c r="E57" t="s">
        <v>23</v>
      </c>
      <c r="F57" t="s">
        <v>24</v>
      </c>
      <c r="G57" t="s">
        <v>25</v>
      </c>
      <c r="H57" t="s">
        <v>23</v>
      </c>
      <c r="I57" t="s">
        <v>26</v>
      </c>
      <c r="J57" t="s">
        <v>149</v>
      </c>
      <c r="K57">
        <v>-12.237273999999999</v>
      </c>
      <c r="L57">
        <v>-76.954049999999995</v>
      </c>
      <c r="M57" t="str">
        <f>HYPERLINK("https://www.google.com/maps/search/?api=1&amp;query=-12.237274,-76.95405","Carretera Panamericana Sur, Villa El Salvador, Lima")</f>
        <v>Carretera Panamericana Sur, Villa El Salvador, Lima</v>
      </c>
      <c r="N57">
        <v>70.5</v>
      </c>
      <c r="O57">
        <v>100</v>
      </c>
      <c r="P57">
        <v>1557</v>
      </c>
      <c r="Q57" t="s">
        <v>147</v>
      </c>
      <c r="R57" t="s">
        <v>23</v>
      </c>
      <c r="S57" t="s">
        <v>23</v>
      </c>
      <c r="T57" t="s">
        <v>23</v>
      </c>
      <c r="U57" t="s">
        <v>23</v>
      </c>
    </row>
    <row r="58" spans="1:21" x14ac:dyDescent="0.25">
      <c r="A58" t="s">
        <v>150</v>
      </c>
      <c r="B58" t="s">
        <v>21</v>
      </c>
      <c r="C58" t="s">
        <v>22</v>
      </c>
      <c r="D58" t="s">
        <v>22</v>
      </c>
      <c r="E58" t="s">
        <v>23</v>
      </c>
      <c r="F58" t="s">
        <v>24</v>
      </c>
      <c r="G58" t="s">
        <v>25</v>
      </c>
      <c r="H58" t="s">
        <v>23</v>
      </c>
      <c r="I58" t="s">
        <v>26</v>
      </c>
      <c r="J58" t="s">
        <v>151</v>
      </c>
      <c r="K58">
        <v>-12.242068</v>
      </c>
      <c r="L58">
        <v>-76.944800000000001</v>
      </c>
      <c r="M58" t="str">
        <f>HYPERLINK("https://www.google.com/maps/search/?api=1&amp;query=-12.242068,-76.9448","Carretera Panamericana Sur, Villa El Salvador, Lima")</f>
        <v>Carretera Panamericana Sur, Villa El Salvador, Lima</v>
      </c>
      <c r="N58">
        <v>60.3</v>
      </c>
      <c r="O58">
        <v>100</v>
      </c>
      <c r="P58">
        <v>1558.1</v>
      </c>
      <c r="Q58" t="s">
        <v>152</v>
      </c>
      <c r="R58" t="s">
        <v>23</v>
      </c>
      <c r="S58" t="s">
        <v>23</v>
      </c>
      <c r="T58" t="s">
        <v>23</v>
      </c>
      <c r="U58" t="s">
        <v>23</v>
      </c>
    </row>
    <row r="59" spans="1:21" x14ac:dyDescent="0.25">
      <c r="A59" t="s">
        <v>153</v>
      </c>
      <c r="B59" t="s">
        <v>21</v>
      </c>
      <c r="C59" t="s">
        <v>22</v>
      </c>
      <c r="D59" t="s">
        <v>22</v>
      </c>
      <c r="E59" t="s">
        <v>23</v>
      </c>
      <c r="F59" t="s">
        <v>24</v>
      </c>
      <c r="G59" t="s">
        <v>25</v>
      </c>
      <c r="H59" t="s">
        <v>23</v>
      </c>
      <c r="I59" t="s">
        <v>26</v>
      </c>
      <c r="J59" t="s">
        <v>154</v>
      </c>
      <c r="K59">
        <v>-12.246584</v>
      </c>
      <c r="L59">
        <v>-76.936099999999996</v>
      </c>
      <c r="M59" t="str">
        <f>HYPERLINK("https://www.google.com/maps/search/?api=1&amp;query=-12.246584,-76.9361","Carretera Panamericana Sur, Lurín, Lima")</f>
        <v>Carretera Panamericana Sur, Lurín, Lima</v>
      </c>
      <c r="N59">
        <v>62.6</v>
      </c>
      <c r="O59">
        <v>100</v>
      </c>
      <c r="P59">
        <v>1559.2</v>
      </c>
      <c r="Q59" t="s">
        <v>152</v>
      </c>
      <c r="R59" t="s">
        <v>23</v>
      </c>
      <c r="S59" t="s">
        <v>23</v>
      </c>
      <c r="T59" t="s">
        <v>23</v>
      </c>
      <c r="U59" t="s">
        <v>23</v>
      </c>
    </row>
    <row r="60" spans="1:21" x14ac:dyDescent="0.25">
      <c r="A60" t="s">
        <v>155</v>
      </c>
      <c r="B60" t="s">
        <v>21</v>
      </c>
      <c r="C60" t="s">
        <v>22</v>
      </c>
      <c r="D60" t="s">
        <v>22</v>
      </c>
      <c r="E60" t="s">
        <v>23</v>
      </c>
      <c r="F60" t="s">
        <v>24</v>
      </c>
      <c r="G60" t="s">
        <v>25</v>
      </c>
      <c r="H60" t="s">
        <v>23</v>
      </c>
      <c r="I60" t="s">
        <v>26</v>
      </c>
      <c r="J60" t="s">
        <v>156</v>
      </c>
      <c r="K60">
        <v>-12.251756</v>
      </c>
      <c r="L60">
        <v>-76.928894</v>
      </c>
      <c r="M60" t="str">
        <f>HYPERLINK("https://www.google.com/maps/search/?api=1&amp;query=-12.251756,-76.928894","Carretera Panamericana Sur, Lurín, Lima")</f>
        <v>Carretera Panamericana Sur, Lurín, Lima</v>
      </c>
      <c r="N60">
        <v>59.8</v>
      </c>
      <c r="O60">
        <v>100</v>
      </c>
      <c r="P60">
        <v>1560.3</v>
      </c>
      <c r="Q60" t="s">
        <v>157</v>
      </c>
      <c r="R60" t="s">
        <v>23</v>
      </c>
      <c r="S60" t="s">
        <v>23</v>
      </c>
      <c r="T60" t="s">
        <v>23</v>
      </c>
      <c r="U60" t="s">
        <v>23</v>
      </c>
    </row>
    <row r="61" spans="1:21" x14ac:dyDescent="0.25">
      <c r="A61" t="s">
        <v>158</v>
      </c>
      <c r="B61" t="s">
        <v>21</v>
      </c>
      <c r="C61" t="s">
        <v>22</v>
      </c>
      <c r="D61" t="s">
        <v>22</v>
      </c>
      <c r="E61" t="s">
        <v>23</v>
      </c>
      <c r="F61" t="s">
        <v>24</v>
      </c>
      <c r="G61" t="s">
        <v>25</v>
      </c>
      <c r="H61" t="s">
        <v>23</v>
      </c>
      <c r="I61" t="s">
        <v>26</v>
      </c>
      <c r="J61" t="s">
        <v>159</v>
      </c>
      <c r="K61">
        <v>-12.257057</v>
      </c>
      <c r="L61">
        <v>-76.920240000000007</v>
      </c>
      <c r="M61" t="str">
        <f>HYPERLINK("https://www.google.com/maps/search/?api=1&amp;query=-12.257057,-76.92024","Carretera Panamericana Sur, Lurín, Lima")</f>
        <v>Carretera Panamericana Sur, Lurín, Lima</v>
      </c>
      <c r="N61">
        <v>71.099999999999994</v>
      </c>
      <c r="O61">
        <v>100</v>
      </c>
      <c r="P61">
        <v>1561.3</v>
      </c>
      <c r="Q61" t="s">
        <v>157</v>
      </c>
      <c r="R61" t="s">
        <v>23</v>
      </c>
      <c r="S61" t="s">
        <v>23</v>
      </c>
      <c r="T61" t="s">
        <v>23</v>
      </c>
      <c r="U61" t="s">
        <v>23</v>
      </c>
    </row>
    <row r="62" spans="1:21" x14ac:dyDescent="0.25">
      <c r="A62" t="s">
        <v>160</v>
      </c>
      <c r="B62" t="s">
        <v>21</v>
      </c>
      <c r="C62" t="s">
        <v>22</v>
      </c>
      <c r="D62" t="s">
        <v>22</v>
      </c>
      <c r="E62" t="s">
        <v>23</v>
      </c>
      <c r="F62" t="s">
        <v>24</v>
      </c>
      <c r="G62" t="s">
        <v>25</v>
      </c>
      <c r="H62" t="s">
        <v>23</v>
      </c>
      <c r="I62" t="s">
        <v>26</v>
      </c>
      <c r="J62" t="s">
        <v>161</v>
      </c>
      <c r="K62">
        <v>-12.262732</v>
      </c>
      <c r="L62">
        <v>-76.911230000000003</v>
      </c>
      <c r="M62" t="str">
        <f>HYPERLINK("https://www.google.com/maps/search/?api=1&amp;query=-12.262732,-76.91123","Carretera Panamericana Sur, Lurín, Lima")</f>
        <v>Carretera Panamericana Sur, Lurín, Lima</v>
      </c>
      <c r="N62">
        <v>72.599999999999994</v>
      </c>
      <c r="O62">
        <v>100</v>
      </c>
      <c r="P62">
        <v>1562.4</v>
      </c>
      <c r="Q62" t="s">
        <v>162</v>
      </c>
      <c r="R62" t="s">
        <v>23</v>
      </c>
      <c r="S62" t="s">
        <v>23</v>
      </c>
      <c r="T62" t="s">
        <v>23</v>
      </c>
      <c r="U62" t="s">
        <v>23</v>
      </c>
    </row>
    <row r="63" spans="1:21" x14ac:dyDescent="0.25">
      <c r="A63" t="s">
        <v>163</v>
      </c>
      <c r="B63" t="s">
        <v>21</v>
      </c>
      <c r="C63" t="s">
        <v>22</v>
      </c>
      <c r="D63" t="s">
        <v>22</v>
      </c>
      <c r="E63" t="s">
        <v>23</v>
      </c>
      <c r="F63" t="s">
        <v>24</v>
      </c>
      <c r="G63" t="s">
        <v>25</v>
      </c>
      <c r="H63" t="s">
        <v>23</v>
      </c>
      <c r="I63" t="s">
        <v>26</v>
      </c>
      <c r="J63" t="s">
        <v>164</v>
      </c>
      <c r="K63">
        <v>-12.268373</v>
      </c>
      <c r="L63">
        <v>-76.902244999999994</v>
      </c>
      <c r="M63" t="str">
        <f>HYPERLINK("https://www.google.com/maps/search/?api=1&amp;query=-12.268373,-76.902245","Carretera Panamericana Sur, Lurín, Lima")</f>
        <v>Carretera Panamericana Sur, Lurín, Lima</v>
      </c>
      <c r="N63">
        <v>66.7</v>
      </c>
      <c r="O63">
        <v>100</v>
      </c>
      <c r="P63">
        <v>1563.6</v>
      </c>
      <c r="Q63" t="s">
        <v>165</v>
      </c>
      <c r="R63" t="s">
        <v>23</v>
      </c>
      <c r="S63" t="s">
        <v>23</v>
      </c>
      <c r="T63" t="s">
        <v>23</v>
      </c>
      <c r="U63" t="s">
        <v>23</v>
      </c>
    </row>
    <row r="64" spans="1:21" x14ac:dyDescent="0.25">
      <c r="A64" t="s">
        <v>166</v>
      </c>
      <c r="B64" t="s">
        <v>21</v>
      </c>
      <c r="C64" t="s">
        <v>22</v>
      </c>
      <c r="D64" t="s">
        <v>22</v>
      </c>
      <c r="E64" t="s">
        <v>23</v>
      </c>
      <c r="F64" t="s">
        <v>24</v>
      </c>
      <c r="G64" t="s">
        <v>25</v>
      </c>
      <c r="H64" t="s">
        <v>23</v>
      </c>
      <c r="I64" t="s">
        <v>26</v>
      </c>
      <c r="J64" t="s">
        <v>167</v>
      </c>
      <c r="K64">
        <v>-12.274206</v>
      </c>
      <c r="L64">
        <v>-76.892970000000005</v>
      </c>
      <c r="M64" t="str">
        <f>HYPERLINK("https://www.google.com/maps/search/?api=1&amp;query=-12.274206,-76.89297","Carretera Panamericana Sur, Lurín, Lima")</f>
        <v>Carretera Panamericana Sur, Lurín, Lima</v>
      </c>
      <c r="N64">
        <v>73.3</v>
      </c>
      <c r="O64">
        <v>100</v>
      </c>
      <c r="P64">
        <v>1566</v>
      </c>
      <c r="Q64" t="s">
        <v>168</v>
      </c>
      <c r="R64" t="s">
        <v>23</v>
      </c>
      <c r="S64" t="s">
        <v>23</v>
      </c>
      <c r="T64" t="s">
        <v>23</v>
      </c>
      <c r="U64" t="s">
        <v>23</v>
      </c>
    </row>
    <row r="65" spans="1:21" x14ac:dyDescent="0.25">
      <c r="A65" t="s">
        <v>169</v>
      </c>
      <c r="B65" t="s">
        <v>21</v>
      </c>
      <c r="C65" t="s">
        <v>22</v>
      </c>
      <c r="D65" t="s">
        <v>22</v>
      </c>
      <c r="E65" t="s">
        <v>23</v>
      </c>
      <c r="F65" t="s">
        <v>24</v>
      </c>
      <c r="G65" t="s">
        <v>25</v>
      </c>
      <c r="H65" t="s">
        <v>23</v>
      </c>
      <c r="I65" t="s">
        <v>26</v>
      </c>
      <c r="J65" t="s">
        <v>170</v>
      </c>
      <c r="K65">
        <v>-12.280336999999999</v>
      </c>
      <c r="L65">
        <v>-76.883194000000003</v>
      </c>
      <c r="M65" t="str">
        <f>HYPERLINK("https://www.google.com/maps/search/?api=1&amp;query=-12.280337,-76.883194","Carretera Panamericana Sur, Lurín, Lima")</f>
        <v>Carretera Panamericana Sur, Lurín, Lima</v>
      </c>
      <c r="N65">
        <v>75.2</v>
      </c>
      <c r="O65">
        <v>100</v>
      </c>
      <c r="P65">
        <v>1566</v>
      </c>
      <c r="Q65" t="s">
        <v>168</v>
      </c>
      <c r="R65" t="s">
        <v>23</v>
      </c>
      <c r="S65" t="s">
        <v>23</v>
      </c>
      <c r="T65" t="s">
        <v>23</v>
      </c>
      <c r="U65" t="s">
        <v>23</v>
      </c>
    </row>
    <row r="66" spans="1:21" x14ac:dyDescent="0.25">
      <c r="A66" t="s">
        <v>171</v>
      </c>
      <c r="B66" t="s">
        <v>21</v>
      </c>
      <c r="C66" t="s">
        <v>22</v>
      </c>
      <c r="D66" t="s">
        <v>22</v>
      </c>
      <c r="E66" t="s">
        <v>23</v>
      </c>
      <c r="F66" t="s">
        <v>24</v>
      </c>
      <c r="G66" t="s">
        <v>25</v>
      </c>
      <c r="H66" t="s">
        <v>23</v>
      </c>
      <c r="I66" t="s">
        <v>26</v>
      </c>
      <c r="J66" t="s">
        <v>172</v>
      </c>
      <c r="K66">
        <v>-12.286579</v>
      </c>
      <c r="L66">
        <v>-76.873244999999997</v>
      </c>
      <c r="M66" t="str">
        <f>HYPERLINK("https://www.google.com/maps/search/?api=1&amp;query=-12.286579,-76.873245","Carretera Panamericana Sur, Lurín, Lima")</f>
        <v>Carretera Panamericana Sur, Lurín, Lima</v>
      </c>
      <c r="N66">
        <v>73.3</v>
      </c>
      <c r="O66">
        <v>100</v>
      </c>
      <c r="P66">
        <v>1567.3</v>
      </c>
      <c r="Q66" t="s">
        <v>168</v>
      </c>
      <c r="R66" t="s">
        <v>23</v>
      </c>
      <c r="S66" t="s">
        <v>23</v>
      </c>
      <c r="T66" t="s">
        <v>23</v>
      </c>
      <c r="U66" t="s">
        <v>23</v>
      </c>
    </row>
    <row r="67" spans="1:21" x14ac:dyDescent="0.25">
      <c r="A67" t="s">
        <v>173</v>
      </c>
      <c r="B67" t="s">
        <v>21</v>
      </c>
      <c r="C67" t="s">
        <v>22</v>
      </c>
      <c r="D67" t="s">
        <v>22</v>
      </c>
      <c r="E67" t="s">
        <v>23</v>
      </c>
      <c r="F67" t="s">
        <v>24</v>
      </c>
      <c r="G67" t="s">
        <v>25</v>
      </c>
      <c r="H67" t="s">
        <v>23</v>
      </c>
      <c r="I67" t="s">
        <v>26</v>
      </c>
      <c r="J67" t="s">
        <v>174</v>
      </c>
      <c r="K67">
        <v>-12.292688999999999</v>
      </c>
      <c r="L67">
        <v>-76.863500000000002</v>
      </c>
      <c r="M67" t="str">
        <f>HYPERLINK("https://www.google.com/maps/search/?api=1&amp;query=-12.292689,-76.8635","Carretera Panamericana Sur, Lurín, Lima")</f>
        <v>Carretera Panamericana Sur, Lurín, Lima</v>
      </c>
      <c r="N67">
        <v>72</v>
      </c>
      <c r="O67">
        <v>100</v>
      </c>
      <c r="P67">
        <v>1568.5</v>
      </c>
      <c r="Q67" t="s">
        <v>175</v>
      </c>
      <c r="R67" t="s">
        <v>23</v>
      </c>
      <c r="S67" t="s">
        <v>23</v>
      </c>
      <c r="T67" t="s">
        <v>23</v>
      </c>
      <c r="U67" t="s">
        <v>23</v>
      </c>
    </row>
    <row r="68" spans="1:21" x14ac:dyDescent="0.25">
      <c r="A68" t="s">
        <v>176</v>
      </c>
      <c r="B68" t="s">
        <v>21</v>
      </c>
      <c r="C68" t="s">
        <v>22</v>
      </c>
      <c r="D68" t="s">
        <v>22</v>
      </c>
      <c r="E68" t="s">
        <v>23</v>
      </c>
      <c r="F68" t="s">
        <v>24</v>
      </c>
      <c r="G68" t="s">
        <v>25</v>
      </c>
      <c r="H68" t="s">
        <v>23</v>
      </c>
      <c r="I68" t="s">
        <v>26</v>
      </c>
      <c r="J68" t="s">
        <v>177</v>
      </c>
      <c r="K68">
        <v>-12.297817</v>
      </c>
      <c r="L68">
        <v>-76.854069999999993</v>
      </c>
      <c r="M68" t="str">
        <f>HYPERLINK("https://www.google.com/maps/search/?api=1&amp;query=-12.297817,-76.85407","Carretera Panamericana Sur, Lurín, Lima")</f>
        <v>Carretera Panamericana Sur, Lurín, Lima</v>
      </c>
      <c r="N68">
        <v>64.7</v>
      </c>
      <c r="O68">
        <v>100</v>
      </c>
      <c r="P68">
        <v>1569.8</v>
      </c>
      <c r="Q68" t="s">
        <v>175</v>
      </c>
      <c r="R68" t="s">
        <v>23</v>
      </c>
      <c r="S68" t="s">
        <v>23</v>
      </c>
      <c r="T68" t="s">
        <v>23</v>
      </c>
      <c r="U68" t="s">
        <v>23</v>
      </c>
    </row>
    <row r="69" spans="1:21" x14ac:dyDescent="0.25">
      <c r="A69" t="s">
        <v>178</v>
      </c>
      <c r="B69" t="s">
        <v>21</v>
      </c>
      <c r="C69" t="s">
        <v>22</v>
      </c>
      <c r="D69" t="s">
        <v>22</v>
      </c>
      <c r="E69" t="s">
        <v>23</v>
      </c>
      <c r="F69" t="s">
        <v>24</v>
      </c>
      <c r="G69" t="s">
        <v>25</v>
      </c>
      <c r="H69" t="s">
        <v>23</v>
      </c>
      <c r="I69" t="s">
        <v>26</v>
      </c>
      <c r="J69" t="s">
        <v>179</v>
      </c>
      <c r="K69">
        <v>-12.301873000000001</v>
      </c>
      <c r="L69">
        <v>-76.844949999999997</v>
      </c>
      <c r="M69" t="str">
        <f>HYPERLINK("https://www.google.com/maps/search/?api=1&amp;query=-12.301873,-76.84495","Antigua Panamericana Sur, Lurín, Lima")</f>
        <v>Antigua Panamericana Sur, Lurín, Lima</v>
      </c>
      <c r="N69">
        <v>69.599999999999994</v>
      </c>
      <c r="O69">
        <v>100</v>
      </c>
      <c r="P69">
        <v>1572.1</v>
      </c>
      <c r="Q69" t="s">
        <v>180</v>
      </c>
      <c r="R69" t="s">
        <v>23</v>
      </c>
      <c r="S69" t="s">
        <v>23</v>
      </c>
      <c r="T69" t="s">
        <v>23</v>
      </c>
      <c r="U69" t="s">
        <v>23</v>
      </c>
    </row>
    <row r="70" spans="1:21" x14ac:dyDescent="0.25">
      <c r="A70" t="s">
        <v>181</v>
      </c>
      <c r="B70" t="s">
        <v>21</v>
      </c>
      <c r="C70" t="s">
        <v>22</v>
      </c>
      <c r="D70" t="s">
        <v>22</v>
      </c>
      <c r="E70" t="s">
        <v>23</v>
      </c>
      <c r="F70" t="s">
        <v>24</v>
      </c>
      <c r="G70" t="s">
        <v>25</v>
      </c>
      <c r="H70" t="s">
        <v>23</v>
      </c>
      <c r="I70" t="s">
        <v>26</v>
      </c>
      <c r="J70" t="s">
        <v>182</v>
      </c>
      <c r="K70">
        <v>-12.30772</v>
      </c>
      <c r="L70">
        <v>-76.837190000000007</v>
      </c>
      <c r="M70" t="str">
        <f>HYPERLINK("https://www.google.com/maps/search/?api=1&amp;query=-12.30772,-76.83719","Carretera Panamericana Sur, Punta Hermosa, Lima")</f>
        <v>Carretera Panamericana Sur, Punta Hermosa, Lima</v>
      </c>
      <c r="N70">
        <v>66.599999999999994</v>
      </c>
      <c r="O70">
        <v>100</v>
      </c>
      <c r="P70">
        <v>1572.1</v>
      </c>
      <c r="Q70" t="s">
        <v>180</v>
      </c>
      <c r="R70" t="s">
        <v>23</v>
      </c>
      <c r="S70" t="s">
        <v>23</v>
      </c>
      <c r="T70" t="s">
        <v>23</v>
      </c>
      <c r="U70" t="s">
        <v>23</v>
      </c>
    </row>
    <row r="71" spans="1:21" x14ac:dyDescent="0.25">
      <c r="A71" t="s">
        <v>183</v>
      </c>
      <c r="B71" t="s">
        <v>21</v>
      </c>
      <c r="C71" t="s">
        <v>22</v>
      </c>
      <c r="D71" t="s">
        <v>22</v>
      </c>
      <c r="E71" t="s">
        <v>23</v>
      </c>
      <c r="F71" t="s">
        <v>24</v>
      </c>
      <c r="G71" t="s">
        <v>25</v>
      </c>
      <c r="H71" t="s">
        <v>23</v>
      </c>
      <c r="I71" t="s">
        <v>26</v>
      </c>
      <c r="J71" t="s">
        <v>184</v>
      </c>
      <c r="K71">
        <v>-12.316432000000001</v>
      </c>
      <c r="L71">
        <v>-76.831314000000006</v>
      </c>
      <c r="M71" t="str">
        <f>HYPERLINK("https://www.google.com/maps/search/?api=1&amp;query=-12.316432,-76.831314","Carretera Panamericana Sur, Punta Hermosa, Lima")</f>
        <v>Carretera Panamericana Sur, Punta Hermosa, Lima</v>
      </c>
      <c r="N71">
        <v>71.900000000000006</v>
      </c>
      <c r="O71">
        <v>100</v>
      </c>
      <c r="P71">
        <v>1573.2</v>
      </c>
      <c r="Q71" t="s">
        <v>185</v>
      </c>
      <c r="R71" t="s">
        <v>23</v>
      </c>
      <c r="S71" t="s">
        <v>23</v>
      </c>
      <c r="T71" t="s">
        <v>23</v>
      </c>
      <c r="U71" t="s">
        <v>23</v>
      </c>
    </row>
    <row r="72" spans="1:21" x14ac:dyDescent="0.25">
      <c r="A72" t="s">
        <v>186</v>
      </c>
      <c r="B72" t="s">
        <v>21</v>
      </c>
      <c r="C72" t="s">
        <v>22</v>
      </c>
      <c r="D72" t="s">
        <v>22</v>
      </c>
      <c r="E72" t="s">
        <v>23</v>
      </c>
      <c r="F72" t="s">
        <v>24</v>
      </c>
      <c r="G72" t="s">
        <v>25</v>
      </c>
      <c r="H72" t="s">
        <v>23</v>
      </c>
      <c r="I72" t="s">
        <v>26</v>
      </c>
      <c r="J72" t="s">
        <v>187</v>
      </c>
      <c r="K72">
        <v>-12.325499000000001</v>
      </c>
      <c r="L72">
        <v>-76.82526</v>
      </c>
      <c r="M72" t="str">
        <f>HYPERLINK("https://www.google.com/maps/search/?api=1&amp;query=-12.325499,-76.82526","Carretera Panamericana Sur, Punta Hermosa, Lima")</f>
        <v>Carretera Panamericana Sur, Punta Hermosa, Lima</v>
      </c>
      <c r="N72">
        <v>69.8</v>
      </c>
      <c r="O72">
        <v>100</v>
      </c>
      <c r="P72">
        <v>1574.3</v>
      </c>
      <c r="Q72" t="s">
        <v>185</v>
      </c>
      <c r="R72" t="s">
        <v>23</v>
      </c>
      <c r="S72" t="s">
        <v>23</v>
      </c>
      <c r="T72" t="s">
        <v>23</v>
      </c>
      <c r="U72" t="s">
        <v>23</v>
      </c>
    </row>
    <row r="73" spans="1:21" x14ac:dyDescent="0.25">
      <c r="A73" t="s">
        <v>188</v>
      </c>
      <c r="B73" t="s">
        <v>21</v>
      </c>
      <c r="C73" t="s">
        <v>22</v>
      </c>
      <c r="D73" t="s">
        <v>22</v>
      </c>
      <c r="E73" t="s">
        <v>23</v>
      </c>
      <c r="F73" t="s">
        <v>24</v>
      </c>
      <c r="G73" t="s">
        <v>25</v>
      </c>
      <c r="H73" t="s">
        <v>23</v>
      </c>
      <c r="I73" t="s">
        <v>26</v>
      </c>
      <c r="J73" t="s">
        <v>189</v>
      </c>
      <c r="K73">
        <v>-12.334702999999999</v>
      </c>
      <c r="L73">
        <v>-76.819214000000002</v>
      </c>
      <c r="M73" t="str">
        <f>HYPERLINK("https://www.google.com/maps/search/?api=1&amp;query=-12.334703,-76.819214","Carretera Panamericana Sur, Punta Hermosa, Lima")</f>
        <v>Carretera Panamericana Sur, Punta Hermosa, Lima</v>
      </c>
      <c r="N73">
        <v>52.6</v>
      </c>
      <c r="O73">
        <v>100</v>
      </c>
      <c r="P73">
        <v>1575.5</v>
      </c>
      <c r="Q73" t="s">
        <v>190</v>
      </c>
      <c r="R73" t="s">
        <v>23</v>
      </c>
      <c r="S73" t="s">
        <v>23</v>
      </c>
      <c r="T73" t="s">
        <v>23</v>
      </c>
      <c r="U73" t="s">
        <v>23</v>
      </c>
    </row>
    <row r="74" spans="1:21" x14ac:dyDescent="0.25">
      <c r="A74" t="s">
        <v>191</v>
      </c>
      <c r="B74" t="s">
        <v>21</v>
      </c>
      <c r="C74" t="s">
        <v>22</v>
      </c>
      <c r="D74" t="s">
        <v>22</v>
      </c>
      <c r="E74" t="s">
        <v>23</v>
      </c>
      <c r="F74" t="s">
        <v>24</v>
      </c>
      <c r="G74" t="s">
        <v>25</v>
      </c>
      <c r="H74" t="s">
        <v>23</v>
      </c>
      <c r="I74" t="s">
        <v>26</v>
      </c>
      <c r="J74" t="s">
        <v>192</v>
      </c>
      <c r="K74">
        <v>-12.335516</v>
      </c>
      <c r="L74">
        <v>-76.818799999999996</v>
      </c>
      <c r="M74" t="str">
        <f>HYPERLINK("https://www.google.com/maps/search/?api=1&amp;query=-12.335516,-76.8188","Carretera Panamericana Sur, Punta Hermosa, Lima")</f>
        <v>Carretera Panamericana Sur, Punta Hermosa, Lima</v>
      </c>
      <c r="N74">
        <v>31.9</v>
      </c>
      <c r="O74">
        <v>100</v>
      </c>
      <c r="P74">
        <v>1576.8</v>
      </c>
      <c r="Q74" t="s">
        <v>193</v>
      </c>
      <c r="R74" t="s">
        <v>23</v>
      </c>
      <c r="S74" t="s">
        <v>23</v>
      </c>
      <c r="T74" t="s">
        <v>23</v>
      </c>
      <c r="U74" t="s">
        <v>23</v>
      </c>
    </row>
    <row r="75" spans="1:21" x14ac:dyDescent="0.25">
      <c r="A75" t="s">
        <v>194</v>
      </c>
      <c r="B75" t="s">
        <v>21</v>
      </c>
      <c r="C75" t="s">
        <v>22</v>
      </c>
      <c r="D75" t="s">
        <v>22</v>
      </c>
      <c r="E75" t="s">
        <v>23</v>
      </c>
      <c r="F75" t="s">
        <v>24</v>
      </c>
      <c r="G75" t="s">
        <v>25</v>
      </c>
      <c r="H75" t="s">
        <v>23</v>
      </c>
      <c r="I75" t="s">
        <v>26</v>
      </c>
      <c r="J75" t="s">
        <v>195</v>
      </c>
      <c r="K75">
        <v>-12.335855</v>
      </c>
      <c r="L75">
        <v>-76.819000000000003</v>
      </c>
      <c r="M75" t="str">
        <f>HYPERLINK("https://www.google.com/maps/search/?api=1&amp;query=-12.335855,-76.819","Antigua Panamericana Sur, Punta Hermosa, Lima")</f>
        <v>Antigua Panamericana Sur, Punta Hermosa, Lima</v>
      </c>
      <c r="N75">
        <v>23.7</v>
      </c>
      <c r="O75">
        <v>100</v>
      </c>
      <c r="P75">
        <v>1576.8</v>
      </c>
      <c r="Q75" t="s">
        <v>193</v>
      </c>
      <c r="R75" t="s">
        <v>23</v>
      </c>
      <c r="S75" t="s">
        <v>23</v>
      </c>
      <c r="T75" t="s">
        <v>23</v>
      </c>
      <c r="U75" t="s">
        <v>23</v>
      </c>
    </row>
    <row r="76" spans="1:21" x14ac:dyDescent="0.25">
      <c r="A76" t="s">
        <v>196</v>
      </c>
      <c r="B76" t="s">
        <v>21</v>
      </c>
      <c r="C76" t="s">
        <v>22</v>
      </c>
      <c r="D76" t="s">
        <v>22</v>
      </c>
      <c r="E76" t="s">
        <v>23</v>
      </c>
      <c r="F76" t="s">
        <v>24</v>
      </c>
      <c r="G76" t="s">
        <v>25</v>
      </c>
      <c r="H76" t="s">
        <v>23</v>
      </c>
      <c r="I76" t="s">
        <v>26</v>
      </c>
      <c r="J76" t="s">
        <v>197</v>
      </c>
      <c r="K76">
        <v>-12.335827</v>
      </c>
      <c r="L76">
        <v>-76.819159999999997</v>
      </c>
      <c r="M76" t="str">
        <f>HYPERLINK("https://www.google.com/maps/search/?api=1&amp;query=-12.335827,-76.81916","Antigua Panamericana Sur, Punta Hermosa, Lima")</f>
        <v>Antigua Panamericana Sur, Punta Hermosa, Lima</v>
      </c>
      <c r="N76">
        <v>21.3</v>
      </c>
      <c r="O76">
        <v>100</v>
      </c>
      <c r="P76">
        <v>1576.8</v>
      </c>
      <c r="Q76" t="s">
        <v>193</v>
      </c>
      <c r="R76" t="s">
        <v>23</v>
      </c>
      <c r="S76" t="s">
        <v>23</v>
      </c>
      <c r="T76" t="s">
        <v>23</v>
      </c>
      <c r="U76" t="s">
        <v>23</v>
      </c>
    </row>
    <row r="77" spans="1:21" x14ac:dyDescent="0.25">
      <c r="A77" t="s">
        <v>198</v>
      </c>
      <c r="B77" t="s">
        <v>21</v>
      </c>
      <c r="C77" t="s">
        <v>22</v>
      </c>
      <c r="D77" t="s">
        <v>22</v>
      </c>
      <c r="E77" t="s">
        <v>23</v>
      </c>
      <c r="F77" t="s">
        <v>24</v>
      </c>
      <c r="G77" t="s">
        <v>25</v>
      </c>
      <c r="H77" t="s">
        <v>23</v>
      </c>
      <c r="I77" t="s">
        <v>26</v>
      </c>
      <c r="J77" t="s">
        <v>199</v>
      </c>
      <c r="K77">
        <v>-12.333731999999999</v>
      </c>
      <c r="L77">
        <v>-76.820480000000003</v>
      </c>
      <c r="M77" t="str">
        <f>HYPERLINK("https://www.google.com/maps/search/?api=1&amp;query=-12.333732,-76.82048","Antigua Panamericana Sur, Punta Hermosa, Lima")</f>
        <v>Antigua Panamericana Sur, Punta Hermosa, Lima</v>
      </c>
      <c r="N77">
        <v>18.2</v>
      </c>
      <c r="O77">
        <v>100</v>
      </c>
      <c r="P77">
        <v>1576.8</v>
      </c>
      <c r="Q77" t="s">
        <v>193</v>
      </c>
      <c r="R77" t="s">
        <v>23</v>
      </c>
      <c r="S77" t="s">
        <v>23</v>
      </c>
      <c r="T77" t="s">
        <v>23</v>
      </c>
      <c r="U77" t="s">
        <v>23</v>
      </c>
    </row>
    <row r="78" spans="1:21" x14ac:dyDescent="0.25">
      <c r="A78" t="s">
        <v>200</v>
      </c>
      <c r="B78" t="s">
        <v>21</v>
      </c>
      <c r="C78" t="s">
        <v>22</v>
      </c>
      <c r="D78" t="s">
        <v>22</v>
      </c>
      <c r="E78" t="s">
        <v>23</v>
      </c>
      <c r="F78" t="s">
        <v>24</v>
      </c>
      <c r="G78" t="s">
        <v>25</v>
      </c>
      <c r="H78" t="s">
        <v>23</v>
      </c>
      <c r="I78" t="s">
        <v>26</v>
      </c>
      <c r="J78" t="s">
        <v>201</v>
      </c>
      <c r="K78">
        <v>-12.333714000000001</v>
      </c>
      <c r="L78">
        <v>-76.820319999999995</v>
      </c>
      <c r="M78" t="str">
        <f>HYPERLINK("https://www.google.com/maps/search/?api=1&amp;query=-12.333714,-76.82032","Antigua Panamericana Sur, Punta Hermosa, Lima")</f>
        <v>Antigua Panamericana Sur, Punta Hermosa, Lima</v>
      </c>
      <c r="N78">
        <v>26.2</v>
      </c>
      <c r="O78">
        <v>100</v>
      </c>
      <c r="P78">
        <v>1576.8</v>
      </c>
      <c r="Q78" t="s">
        <v>193</v>
      </c>
      <c r="R78" t="s">
        <v>23</v>
      </c>
      <c r="S78" t="s">
        <v>23</v>
      </c>
      <c r="T78" t="s">
        <v>23</v>
      </c>
      <c r="U78" t="s">
        <v>23</v>
      </c>
    </row>
    <row r="79" spans="1:21" x14ac:dyDescent="0.25">
      <c r="A79" t="s">
        <v>202</v>
      </c>
      <c r="B79" t="s">
        <v>21</v>
      </c>
      <c r="C79" t="s">
        <v>22</v>
      </c>
      <c r="D79" t="s">
        <v>22</v>
      </c>
      <c r="E79" t="s">
        <v>23</v>
      </c>
      <c r="F79" t="s">
        <v>24</v>
      </c>
      <c r="G79" t="s">
        <v>25</v>
      </c>
      <c r="H79" t="s">
        <v>23</v>
      </c>
      <c r="I79" t="s">
        <v>26</v>
      </c>
      <c r="J79" t="s">
        <v>203</v>
      </c>
      <c r="K79">
        <v>-12.333678000000001</v>
      </c>
      <c r="L79">
        <v>-76.819855000000004</v>
      </c>
      <c r="M79" t="str">
        <f>HYPERLINK("https://www.google.com/maps/search/?api=1&amp;query=-12.333678,-76.819855","Carretera Panamericana Sur, Punta Hermosa, Lima")</f>
        <v>Carretera Panamericana Sur, Punta Hermosa, Lima</v>
      </c>
      <c r="N79">
        <v>32.700000000000003</v>
      </c>
      <c r="O79">
        <v>100</v>
      </c>
      <c r="P79">
        <v>1576.8</v>
      </c>
      <c r="Q79" t="s">
        <v>193</v>
      </c>
      <c r="R79" t="s">
        <v>23</v>
      </c>
      <c r="S79" t="s">
        <v>23</v>
      </c>
      <c r="T79" t="s">
        <v>23</v>
      </c>
      <c r="U79" t="s">
        <v>23</v>
      </c>
    </row>
    <row r="80" spans="1:21" x14ac:dyDescent="0.25">
      <c r="A80" t="s">
        <v>204</v>
      </c>
      <c r="B80" t="s">
        <v>21</v>
      </c>
      <c r="C80" t="s">
        <v>22</v>
      </c>
      <c r="D80" t="s">
        <v>22</v>
      </c>
      <c r="E80" t="s">
        <v>23</v>
      </c>
      <c r="F80" t="s">
        <v>24</v>
      </c>
      <c r="G80" t="s">
        <v>25</v>
      </c>
      <c r="H80" t="s">
        <v>23</v>
      </c>
      <c r="I80" t="s">
        <v>26</v>
      </c>
      <c r="J80" t="s">
        <v>203</v>
      </c>
      <c r="K80">
        <v>-12.333542</v>
      </c>
      <c r="L80">
        <v>-76.819680000000005</v>
      </c>
      <c r="M80" t="str">
        <f>HYPERLINK("https://www.google.com/maps/search/?api=1&amp;query=-12.333542,-76.81968","Carretera Panamericana Sur, Punta Hermosa, Lima")</f>
        <v>Carretera Panamericana Sur, Punta Hermosa, Lima</v>
      </c>
      <c r="N80">
        <v>27.1</v>
      </c>
      <c r="O80">
        <v>100</v>
      </c>
      <c r="P80">
        <v>1576.8</v>
      </c>
      <c r="Q80" t="s">
        <v>193</v>
      </c>
      <c r="R80" t="s">
        <v>23</v>
      </c>
      <c r="S80" t="s">
        <v>23</v>
      </c>
      <c r="T80" t="s">
        <v>23</v>
      </c>
      <c r="U80" t="s">
        <v>23</v>
      </c>
    </row>
    <row r="81" spans="1:21" x14ac:dyDescent="0.25">
      <c r="A81" t="s">
        <v>205</v>
      </c>
      <c r="B81" t="s">
        <v>21</v>
      </c>
      <c r="C81" t="s">
        <v>22</v>
      </c>
      <c r="D81" t="s">
        <v>22</v>
      </c>
      <c r="E81" t="s">
        <v>23</v>
      </c>
      <c r="F81" t="s">
        <v>24</v>
      </c>
      <c r="G81" t="s">
        <v>25</v>
      </c>
      <c r="H81" t="s">
        <v>23</v>
      </c>
      <c r="I81" t="s">
        <v>26</v>
      </c>
      <c r="J81" t="s">
        <v>206</v>
      </c>
      <c r="K81">
        <v>-12.333323999999999</v>
      </c>
      <c r="L81">
        <v>-76.819599999999994</v>
      </c>
      <c r="M81" t="str">
        <f>HYPERLINK("https://www.google.com/maps/search/?api=1&amp;query=-12.333324,-76.8196","Carretera Panamericana Sur, Punta Hermosa, Lima")</f>
        <v>Carretera Panamericana Sur, Punta Hermosa, Lima</v>
      </c>
      <c r="N81">
        <v>31.8</v>
      </c>
      <c r="O81">
        <v>100</v>
      </c>
      <c r="P81">
        <v>1576.8</v>
      </c>
      <c r="Q81" t="s">
        <v>193</v>
      </c>
      <c r="R81" t="s">
        <v>23</v>
      </c>
      <c r="S81" t="s">
        <v>23</v>
      </c>
      <c r="T81" t="s">
        <v>23</v>
      </c>
      <c r="U81" t="s">
        <v>23</v>
      </c>
    </row>
    <row r="82" spans="1:21" x14ac:dyDescent="0.25">
      <c r="A82" t="s">
        <v>207</v>
      </c>
      <c r="B82" t="s">
        <v>21</v>
      </c>
      <c r="C82" t="s">
        <v>22</v>
      </c>
      <c r="D82" t="s">
        <v>22</v>
      </c>
      <c r="E82" t="s">
        <v>23</v>
      </c>
      <c r="F82" t="s">
        <v>24</v>
      </c>
      <c r="G82" t="s">
        <v>25</v>
      </c>
      <c r="H82" t="s">
        <v>23</v>
      </c>
      <c r="I82" t="s">
        <v>26</v>
      </c>
      <c r="J82" t="s">
        <v>208</v>
      </c>
      <c r="K82">
        <v>-12.332943999999999</v>
      </c>
      <c r="L82">
        <v>-76.819860000000006</v>
      </c>
      <c r="M82" t="str">
        <f>HYPERLINK("https://www.google.com/maps/search/?api=1&amp;query=-12.332944,-76.81986","Carretera Panamericana Sur, Punta Hermosa, Lima")</f>
        <v>Carretera Panamericana Sur, Punta Hermosa, Lima</v>
      </c>
      <c r="N82">
        <v>32.4</v>
      </c>
      <c r="O82">
        <v>100</v>
      </c>
      <c r="P82">
        <v>1576.8</v>
      </c>
      <c r="Q82" t="s">
        <v>193</v>
      </c>
      <c r="R82" t="s">
        <v>23</v>
      </c>
      <c r="S82" t="s">
        <v>23</v>
      </c>
      <c r="T82" t="s">
        <v>23</v>
      </c>
      <c r="U82" t="s">
        <v>23</v>
      </c>
    </row>
    <row r="83" spans="1:21" x14ac:dyDescent="0.25">
      <c r="A83" t="s">
        <v>209</v>
      </c>
      <c r="B83" t="s">
        <v>21</v>
      </c>
      <c r="C83" t="s">
        <v>22</v>
      </c>
      <c r="D83" t="s">
        <v>22</v>
      </c>
      <c r="E83" t="s">
        <v>23</v>
      </c>
      <c r="F83" t="s">
        <v>24</v>
      </c>
      <c r="G83" t="s">
        <v>25</v>
      </c>
      <c r="H83" t="s">
        <v>23</v>
      </c>
      <c r="I83" t="s">
        <v>26</v>
      </c>
      <c r="J83" t="s">
        <v>210</v>
      </c>
      <c r="K83">
        <v>-12.332943999999999</v>
      </c>
      <c r="L83">
        <v>-76.819860000000006</v>
      </c>
      <c r="M83" t="str">
        <f>HYPERLINK("https://www.google.com/maps/search/?api=1&amp;query=-12.332944,-76.81986","Carretera Panamericana Sur, Punta Hermosa, Lima")</f>
        <v>Carretera Panamericana Sur, Punta Hermosa, Lima</v>
      </c>
      <c r="N83">
        <v>32.4</v>
      </c>
      <c r="O83">
        <v>100</v>
      </c>
      <c r="P83">
        <v>1577.3</v>
      </c>
      <c r="Q83" t="s">
        <v>211</v>
      </c>
      <c r="R83" t="s">
        <v>23</v>
      </c>
      <c r="S83" t="s">
        <v>23</v>
      </c>
      <c r="T83" t="s">
        <v>23</v>
      </c>
      <c r="U83" t="s">
        <v>23</v>
      </c>
    </row>
    <row r="84" spans="1:21" x14ac:dyDescent="0.25">
      <c r="A84" t="s">
        <v>212</v>
      </c>
      <c r="B84" t="s">
        <v>21</v>
      </c>
      <c r="C84" t="s">
        <v>22</v>
      </c>
      <c r="D84" t="s">
        <v>22</v>
      </c>
      <c r="E84" t="s">
        <v>23</v>
      </c>
      <c r="F84" t="s">
        <v>24</v>
      </c>
      <c r="G84" t="s">
        <v>25</v>
      </c>
      <c r="H84" t="s">
        <v>23</v>
      </c>
      <c r="I84" t="s">
        <v>26</v>
      </c>
      <c r="J84" t="s">
        <v>213</v>
      </c>
      <c r="K84">
        <v>-12.327878999999999</v>
      </c>
      <c r="L84">
        <v>-76.823549999999997</v>
      </c>
      <c r="M84" t="str">
        <f>HYPERLINK("https://www.google.com/maps/search/?api=1&amp;query=-12.327879,-76.82355","Carretera Panamericana Sur, Punta Hermosa, Lima")</f>
        <v>Carretera Panamericana Sur, Punta Hermosa, Lima</v>
      </c>
      <c r="N84">
        <v>68.2</v>
      </c>
      <c r="O84">
        <v>100</v>
      </c>
      <c r="P84">
        <v>1578.1</v>
      </c>
      <c r="Q84" t="s">
        <v>211</v>
      </c>
      <c r="R84" t="s">
        <v>23</v>
      </c>
      <c r="S84" t="s">
        <v>23</v>
      </c>
      <c r="T84" t="s">
        <v>23</v>
      </c>
      <c r="U84" t="s">
        <v>23</v>
      </c>
    </row>
    <row r="85" spans="1:21" x14ac:dyDescent="0.25">
      <c r="A85" t="s">
        <v>214</v>
      </c>
      <c r="B85" t="s">
        <v>21</v>
      </c>
      <c r="C85" t="s">
        <v>22</v>
      </c>
      <c r="D85" t="s">
        <v>22</v>
      </c>
      <c r="E85" t="s">
        <v>23</v>
      </c>
      <c r="F85" t="s">
        <v>24</v>
      </c>
      <c r="G85" t="s">
        <v>25</v>
      </c>
      <c r="H85" t="s">
        <v>23</v>
      </c>
      <c r="I85" t="s">
        <v>26</v>
      </c>
      <c r="J85" t="s">
        <v>215</v>
      </c>
      <c r="K85">
        <v>-12.319297000000001</v>
      </c>
      <c r="L85">
        <v>-76.829260000000005</v>
      </c>
      <c r="M85" t="str">
        <f>HYPERLINK("https://www.google.com/maps/search/?api=1&amp;query=-12.319297,-76.82926","Carretera Panamericana Sur, Punta Hermosa, Lima")</f>
        <v>Carretera Panamericana Sur, Punta Hermosa, Lima</v>
      </c>
      <c r="N85">
        <v>58.7</v>
      </c>
      <c r="O85">
        <v>100</v>
      </c>
      <c r="P85">
        <v>1579.2</v>
      </c>
      <c r="Q85" t="s">
        <v>216</v>
      </c>
      <c r="R85" t="s">
        <v>23</v>
      </c>
      <c r="S85" t="s">
        <v>23</v>
      </c>
      <c r="T85" t="s">
        <v>23</v>
      </c>
      <c r="U85" t="s">
        <v>23</v>
      </c>
    </row>
    <row r="86" spans="1:21" x14ac:dyDescent="0.25">
      <c r="A86" t="s">
        <v>217</v>
      </c>
      <c r="B86" t="s">
        <v>21</v>
      </c>
      <c r="C86" t="s">
        <v>22</v>
      </c>
      <c r="D86" t="s">
        <v>22</v>
      </c>
      <c r="E86" t="s">
        <v>23</v>
      </c>
      <c r="F86" t="s">
        <v>24</v>
      </c>
      <c r="G86" t="s">
        <v>25</v>
      </c>
      <c r="H86" t="s">
        <v>23</v>
      </c>
      <c r="I86" t="s">
        <v>26</v>
      </c>
      <c r="J86" t="s">
        <v>215</v>
      </c>
      <c r="K86">
        <v>-12.318084000000001</v>
      </c>
      <c r="L86">
        <v>-76.829809999999995</v>
      </c>
      <c r="M86" t="str">
        <f>HYPERLINK("https://www.google.com/maps/search/?api=1&amp;query=-12.318084,-76.82981","Carretera Panamericana Sur, Punta Hermosa, Lima")</f>
        <v>Carretera Panamericana Sur, Punta Hermosa, Lima</v>
      </c>
      <c r="N86">
        <v>20.3</v>
      </c>
      <c r="O86">
        <v>100</v>
      </c>
      <c r="P86">
        <v>1579.2</v>
      </c>
      <c r="Q86" t="s">
        <v>216</v>
      </c>
      <c r="R86" t="s">
        <v>23</v>
      </c>
      <c r="S86" t="s">
        <v>23</v>
      </c>
      <c r="T86" t="s">
        <v>23</v>
      </c>
      <c r="U86" t="s">
        <v>23</v>
      </c>
    </row>
    <row r="87" spans="1:21" x14ac:dyDescent="0.25">
      <c r="A87" t="s">
        <v>218</v>
      </c>
      <c r="B87" t="s">
        <v>21</v>
      </c>
      <c r="C87" t="s">
        <v>22</v>
      </c>
      <c r="D87" t="s">
        <v>22</v>
      </c>
      <c r="E87" t="s">
        <v>23</v>
      </c>
      <c r="F87" t="s">
        <v>24</v>
      </c>
      <c r="G87" t="s">
        <v>25</v>
      </c>
      <c r="H87" t="s">
        <v>23</v>
      </c>
      <c r="I87" t="s">
        <v>26</v>
      </c>
      <c r="J87" t="s">
        <v>219</v>
      </c>
      <c r="K87">
        <v>-12.317625</v>
      </c>
      <c r="L87">
        <v>-76.829669999999993</v>
      </c>
      <c r="M87" t="str">
        <f>HYPERLINK("https://www.google.com/maps/search/?api=1&amp;query=-12.317625,-76.82967","Punta Hermosa, Lima")</f>
        <v>Punta Hermosa, Lima</v>
      </c>
      <c r="N87">
        <v>8.1</v>
      </c>
      <c r="O87">
        <v>100</v>
      </c>
      <c r="P87">
        <v>1579.2</v>
      </c>
      <c r="Q87" t="s">
        <v>216</v>
      </c>
      <c r="R87" t="s">
        <v>23</v>
      </c>
      <c r="S87" t="s">
        <v>23</v>
      </c>
      <c r="T87" t="s">
        <v>23</v>
      </c>
      <c r="U87" t="s">
        <v>23</v>
      </c>
    </row>
    <row r="88" spans="1:21" x14ac:dyDescent="0.25">
      <c r="A88" t="s">
        <v>220</v>
      </c>
      <c r="B88" t="s">
        <v>21</v>
      </c>
      <c r="C88" t="s">
        <v>22</v>
      </c>
      <c r="D88" t="s">
        <v>22</v>
      </c>
      <c r="E88" t="s">
        <v>23</v>
      </c>
      <c r="F88" t="s">
        <v>24</v>
      </c>
      <c r="G88" t="s">
        <v>25</v>
      </c>
      <c r="H88" t="s">
        <v>23</v>
      </c>
      <c r="I88" t="s">
        <v>26</v>
      </c>
      <c r="J88" t="s">
        <v>219</v>
      </c>
      <c r="K88">
        <v>-12.317625</v>
      </c>
      <c r="L88">
        <v>-76.829669999999993</v>
      </c>
      <c r="M88" t="str">
        <f>HYPERLINK("https://www.google.com/maps/search/?api=1&amp;query=-12.317625,-76.82967","Punta Hermosa, Lima")</f>
        <v>Punta Hermosa, Lima</v>
      </c>
      <c r="N88">
        <v>8.1</v>
      </c>
      <c r="O88">
        <v>100</v>
      </c>
      <c r="P88">
        <v>1579.2</v>
      </c>
      <c r="Q88" t="s">
        <v>216</v>
      </c>
      <c r="R88" t="s">
        <v>221</v>
      </c>
      <c r="S88" t="s">
        <v>222</v>
      </c>
      <c r="T88" t="s">
        <v>223</v>
      </c>
      <c r="U88" t="s">
        <v>23</v>
      </c>
    </row>
    <row r="89" spans="1:21" x14ac:dyDescent="0.25">
      <c r="A89" t="s">
        <v>224</v>
      </c>
      <c r="B89" t="s">
        <v>21</v>
      </c>
      <c r="C89" t="s">
        <v>22</v>
      </c>
      <c r="D89" t="s">
        <v>22</v>
      </c>
      <c r="E89" t="s">
        <v>23</v>
      </c>
      <c r="F89" t="s">
        <v>24</v>
      </c>
      <c r="G89" t="s">
        <v>25</v>
      </c>
      <c r="H89" t="s">
        <v>23</v>
      </c>
      <c r="I89" t="s">
        <v>26</v>
      </c>
      <c r="J89" t="s">
        <v>225</v>
      </c>
      <c r="K89">
        <v>-12.317449999999999</v>
      </c>
      <c r="L89">
        <v>-76.829390000000004</v>
      </c>
      <c r="M89" t="str">
        <f>HYPERLINK("https://www.google.com/maps/search/?api=1&amp;query=-12.31745,-76.82939","Punta Hermosa, Lima")</f>
        <v>Punta Hermosa, Lima</v>
      </c>
      <c r="N89">
        <v>7.2</v>
      </c>
      <c r="O89">
        <v>100</v>
      </c>
      <c r="P89">
        <v>1579.5</v>
      </c>
      <c r="Q89" t="s">
        <v>226</v>
      </c>
      <c r="R89" t="s">
        <v>23</v>
      </c>
      <c r="S89" t="s">
        <v>23</v>
      </c>
      <c r="T89" t="s">
        <v>23</v>
      </c>
      <c r="U89" t="s">
        <v>23</v>
      </c>
    </row>
    <row r="90" spans="1:21" x14ac:dyDescent="0.25">
      <c r="A90" t="s">
        <v>227</v>
      </c>
      <c r="B90" t="s">
        <v>21</v>
      </c>
      <c r="C90" t="s">
        <v>22</v>
      </c>
      <c r="D90" t="s">
        <v>22</v>
      </c>
      <c r="E90" t="s">
        <v>23</v>
      </c>
      <c r="F90" t="s">
        <v>24</v>
      </c>
      <c r="G90" t="s">
        <v>25</v>
      </c>
      <c r="H90" t="s">
        <v>23</v>
      </c>
      <c r="I90" t="s">
        <v>26</v>
      </c>
      <c r="J90" t="s">
        <v>228</v>
      </c>
      <c r="K90">
        <v>-12.316598000000001</v>
      </c>
      <c r="L90">
        <v>-76.827995000000001</v>
      </c>
      <c r="M90" t="str">
        <f>HYPERLINK("https://www.google.com/maps/search/?api=1&amp;query=-12.316598,-76.827995","Punta Hermosa, Lima")</f>
        <v>Punta Hermosa, Lima</v>
      </c>
      <c r="N90">
        <v>13</v>
      </c>
      <c r="O90">
        <v>100</v>
      </c>
      <c r="P90">
        <v>1579.7</v>
      </c>
      <c r="Q90" t="s">
        <v>226</v>
      </c>
      <c r="R90" t="s">
        <v>23</v>
      </c>
      <c r="S90" t="s">
        <v>23</v>
      </c>
      <c r="T90" t="s">
        <v>23</v>
      </c>
      <c r="U90" t="s">
        <v>23</v>
      </c>
    </row>
    <row r="91" spans="1:21" x14ac:dyDescent="0.25">
      <c r="A91" t="s">
        <v>229</v>
      </c>
      <c r="B91" t="s">
        <v>21</v>
      </c>
      <c r="C91" t="s">
        <v>22</v>
      </c>
      <c r="D91" t="s">
        <v>22</v>
      </c>
      <c r="E91" t="s">
        <v>23</v>
      </c>
      <c r="F91" t="s">
        <v>24</v>
      </c>
      <c r="G91" t="s">
        <v>25</v>
      </c>
      <c r="H91" t="s">
        <v>23</v>
      </c>
      <c r="I91" t="s">
        <v>26</v>
      </c>
      <c r="J91" t="s">
        <v>230</v>
      </c>
      <c r="K91">
        <v>-12.315595999999999</v>
      </c>
      <c r="L91">
        <v>-76.826340000000002</v>
      </c>
      <c r="M91" t="str">
        <f>HYPERLINK("https://www.google.com/maps/search/?api=1&amp;query=-12.315596,-76.82634","Punta Hermosa, Lima")</f>
        <v>Punta Hermosa, Lima</v>
      </c>
      <c r="N91">
        <v>11.1</v>
      </c>
      <c r="O91">
        <v>100</v>
      </c>
      <c r="P91">
        <v>1579.7</v>
      </c>
      <c r="Q91" t="s">
        <v>226</v>
      </c>
      <c r="R91" t="s">
        <v>23</v>
      </c>
      <c r="S91" t="s">
        <v>23</v>
      </c>
      <c r="T91" t="s">
        <v>23</v>
      </c>
      <c r="U91" t="s">
        <v>23</v>
      </c>
    </row>
    <row r="92" spans="1:21" x14ac:dyDescent="0.25">
      <c r="A92" t="s">
        <v>231</v>
      </c>
      <c r="B92" t="s">
        <v>21</v>
      </c>
      <c r="C92" t="s">
        <v>22</v>
      </c>
      <c r="D92" t="s">
        <v>22</v>
      </c>
      <c r="E92" t="s">
        <v>23</v>
      </c>
      <c r="F92" t="s">
        <v>24</v>
      </c>
      <c r="G92" t="s">
        <v>25</v>
      </c>
      <c r="H92" t="s">
        <v>23</v>
      </c>
      <c r="I92" t="s">
        <v>26</v>
      </c>
      <c r="J92" t="s">
        <v>232</v>
      </c>
      <c r="K92">
        <v>-12.315374</v>
      </c>
      <c r="L92">
        <v>-76.825900000000004</v>
      </c>
      <c r="M92" t="str">
        <f>HYPERLINK("https://www.google.com/maps/search/?api=1&amp;query=-12.315374,-76.8259","Punta Hermosa, Lima")</f>
        <v>Punta Hermosa, Lima</v>
      </c>
      <c r="N92">
        <v>10.3</v>
      </c>
      <c r="O92">
        <v>100</v>
      </c>
      <c r="P92">
        <v>1579.7</v>
      </c>
      <c r="Q92" t="s">
        <v>226</v>
      </c>
      <c r="R92" t="s">
        <v>23</v>
      </c>
      <c r="S92" t="s">
        <v>23</v>
      </c>
      <c r="T92" t="s">
        <v>23</v>
      </c>
      <c r="U92" t="s">
        <v>23</v>
      </c>
    </row>
    <row r="93" spans="1:21" x14ac:dyDescent="0.25">
      <c r="A93" t="s">
        <v>233</v>
      </c>
      <c r="B93" t="s">
        <v>21</v>
      </c>
      <c r="C93" t="s">
        <v>22</v>
      </c>
      <c r="D93" t="s">
        <v>22</v>
      </c>
      <c r="E93" t="s">
        <v>23</v>
      </c>
      <c r="F93" t="s">
        <v>24</v>
      </c>
      <c r="G93" t="s">
        <v>25</v>
      </c>
      <c r="H93" t="s">
        <v>23</v>
      </c>
      <c r="I93" t="s">
        <v>26</v>
      </c>
      <c r="J93" t="s">
        <v>234</v>
      </c>
      <c r="K93">
        <v>-12.317057999999999</v>
      </c>
      <c r="L93">
        <v>-76.824839999999995</v>
      </c>
      <c r="M93" t="str">
        <f>HYPERLINK("https://www.google.com/maps/search/?api=1&amp;query=-12.317058,-76.82484","Punta Hermosa, Lima")</f>
        <v>Punta Hermosa, Lima</v>
      </c>
      <c r="N93">
        <v>21.3</v>
      </c>
      <c r="O93">
        <v>100</v>
      </c>
      <c r="P93">
        <v>1579.9</v>
      </c>
      <c r="Q93" t="s">
        <v>235</v>
      </c>
      <c r="R93" t="s">
        <v>23</v>
      </c>
      <c r="S93" t="s">
        <v>23</v>
      </c>
      <c r="T93" t="s">
        <v>23</v>
      </c>
      <c r="U93" t="s">
        <v>23</v>
      </c>
    </row>
    <row r="94" spans="1:21" x14ac:dyDescent="0.25">
      <c r="A94" t="s">
        <v>236</v>
      </c>
      <c r="B94" t="s">
        <v>21</v>
      </c>
      <c r="C94" t="s">
        <v>22</v>
      </c>
      <c r="D94" t="s">
        <v>22</v>
      </c>
      <c r="E94" t="s">
        <v>23</v>
      </c>
      <c r="F94" t="s">
        <v>24</v>
      </c>
      <c r="G94" t="s">
        <v>25</v>
      </c>
      <c r="H94" t="s">
        <v>23</v>
      </c>
      <c r="I94" t="s">
        <v>26</v>
      </c>
      <c r="J94" t="s">
        <v>237</v>
      </c>
      <c r="K94">
        <v>-12.318018</v>
      </c>
      <c r="L94">
        <v>-76.824119999999994</v>
      </c>
      <c r="M94" t="str">
        <f>HYPERLINK("https://www.google.com/maps/search/?api=1&amp;query=-12.318018,-76.82412","Punta Hermosa, Lima")</f>
        <v>Punta Hermosa, Lima</v>
      </c>
      <c r="N94">
        <v>6</v>
      </c>
      <c r="O94">
        <v>100</v>
      </c>
      <c r="P94">
        <v>1580.1</v>
      </c>
      <c r="Q94" t="s">
        <v>238</v>
      </c>
      <c r="R94" t="s">
        <v>23</v>
      </c>
      <c r="S94" t="s">
        <v>23</v>
      </c>
      <c r="T94" t="s">
        <v>23</v>
      </c>
      <c r="U94" t="s">
        <v>23</v>
      </c>
    </row>
    <row r="95" spans="1:21" x14ac:dyDescent="0.25">
      <c r="A95" t="s">
        <v>239</v>
      </c>
      <c r="B95" t="s">
        <v>21</v>
      </c>
      <c r="C95" t="s">
        <v>22</v>
      </c>
      <c r="D95" t="s">
        <v>22</v>
      </c>
      <c r="E95" t="s">
        <v>23</v>
      </c>
      <c r="F95" t="s">
        <v>24</v>
      </c>
      <c r="G95" t="s">
        <v>25</v>
      </c>
      <c r="H95" t="s">
        <v>23</v>
      </c>
      <c r="I95" t="s">
        <v>26</v>
      </c>
      <c r="J95" t="s">
        <v>240</v>
      </c>
      <c r="K95">
        <v>-12.318334999999999</v>
      </c>
      <c r="L95">
        <v>-76.823999999999998</v>
      </c>
      <c r="M95" t="str">
        <f>HYPERLINK("https://www.google.com/maps/search/?api=1&amp;query=-12.318335,-76.824","Punta Hermosa, Lima")</f>
        <v>Punta Hermosa, Lima</v>
      </c>
      <c r="N95">
        <v>11.9</v>
      </c>
      <c r="O95">
        <v>100</v>
      </c>
      <c r="P95">
        <v>1580.1</v>
      </c>
      <c r="Q95" t="s">
        <v>238</v>
      </c>
      <c r="R95" t="s">
        <v>23</v>
      </c>
      <c r="S95" t="s">
        <v>23</v>
      </c>
      <c r="T95" t="s">
        <v>23</v>
      </c>
      <c r="U95" t="s">
        <v>23</v>
      </c>
    </row>
    <row r="96" spans="1:21" x14ac:dyDescent="0.25">
      <c r="A96" t="s">
        <v>241</v>
      </c>
      <c r="B96" t="s">
        <v>21</v>
      </c>
      <c r="C96" t="s">
        <v>22</v>
      </c>
      <c r="D96" t="s">
        <v>22</v>
      </c>
      <c r="E96" t="s">
        <v>23</v>
      </c>
      <c r="F96" t="s">
        <v>24</v>
      </c>
      <c r="G96" t="s">
        <v>25</v>
      </c>
      <c r="H96" t="s">
        <v>23</v>
      </c>
      <c r="I96" t="s">
        <v>26</v>
      </c>
      <c r="J96" t="s">
        <v>240</v>
      </c>
      <c r="K96">
        <v>-12.318472999999999</v>
      </c>
      <c r="L96">
        <v>-76.823859999999996</v>
      </c>
      <c r="M96" t="str">
        <f>HYPERLINK("https://www.google.com/maps/search/?api=1&amp;query=-12.318473,-76.82386","Punta Hermosa, Lima")</f>
        <v>Punta Hermosa, Lima</v>
      </c>
      <c r="N96">
        <v>13</v>
      </c>
      <c r="O96">
        <v>100</v>
      </c>
      <c r="P96">
        <v>1580.1</v>
      </c>
      <c r="Q96" t="s">
        <v>238</v>
      </c>
      <c r="R96" t="s">
        <v>23</v>
      </c>
      <c r="S96" t="s">
        <v>23</v>
      </c>
      <c r="T96" t="s">
        <v>23</v>
      </c>
      <c r="U96" t="s">
        <v>23</v>
      </c>
    </row>
    <row r="97" spans="1:21" x14ac:dyDescent="0.25">
      <c r="A97" t="s">
        <v>242</v>
      </c>
      <c r="B97" t="s">
        <v>21</v>
      </c>
      <c r="C97" t="s">
        <v>22</v>
      </c>
      <c r="D97" t="s">
        <v>22</v>
      </c>
      <c r="E97" t="s">
        <v>23</v>
      </c>
      <c r="F97" t="s">
        <v>24</v>
      </c>
      <c r="G97" t="s">
        <v>25</v>
      </c>
      <c r="H97" t="s">
        <v>23</v>
      </c>
      <c r="I97" t="s">
        <v>26</v>
      </c>
      <c r="J97" t="s">
        <v>243</v>
      </c>
      <c r="K97">
        <v>-12.318453</v>
      </c>
      <c r="L97">
        <v>-76.823650000000001</v>
      </c>
      <c r="M97" t="str">
        <f>HYPERLINK("https://www.google.com/maps/search/?api=1&amp;query=-12.318453,-76.82365","Punta Hermosa, Lima")</f>
        <v>Punta Hermosa, Lima</v>
      </c>
      <c r="N97">
        <v>17</v>
      </c>
      <c r="O97">
        <v>100</v>
      </c>
      <c r="P97">
        <v>1580.1</v>
      </c>
      <c r="Q97" t="s">
        <v>238</v>
      </c>
      <c r="R97" t="s">
        <v>23</v>
      </c>
      <c r="S97" t="s">
        <v>23</v>
      </c>
      <c r="T97" t="s">
        <v>23</v>
      </c>
      <c r="U97" t="s">
        <v>23</v>
      </c>
    </row>
    <row r="98" spans="1:21" x14ac:dyDescent="0.25">
      <c r="A98" t="s">
        <v>244</v>
      </c>
      <c r="B98" t="s">
        <v>21</v>
      </c>
      <c r="C98" t="s">
        <v>22</v>
      </c>
      <c r="D98" t="s">
        <v>22</v>
      </c>
      <c r="E98" t="s">
        <v>23</v>
      </c>
      <c r="F98" t="s">
        <v>24</v>
      </c>
      <c r="G98" t="s">
        <v>25</v>
      </c>
      <c r="H98" t="s">
        <v>23</v>
      </c>
      <c r="I98" t="s">
        <v>26</v>
      </c>
      <c r="J98" t="s">
        <v>245</v>
      </c>
      <c r="K98">
        <v>-12.317938</v>
      </c>
      <c r="L98">
        <v>-76.822929999999999</v>
      </c>
      <c r="M98" t="str">
        <f>HYPERLINK("https://www.google.com/maps/search/?api=1&amp;query=-12.317938,-76.82293","Punta Hermosa, Lima")</f>
        <v>Punta Hermosa, Lima</v>
      </c>
      <c r="N98">
        <v>15.1</v>
      </c>
      <c r="O98">
        <v>100</v>
      </c>
      <c r="P98">
        <v>1580.3</v>
      </c>
      <c r="Q98" t="s">
        <v>238</v>
      </c>
      <c r="R98" t="s">
        <v>23</v>
      </c>
      <c r="S98" t="s">
        <v>23</v>
      </c>
      <c r="T98" t="s">
        <v>23</v>
      </c>
      <c r="U98" t="s">
        <v>23</v>
      </c>
    </row>
    <row r="99" spans="1:21" x14ac:dyDescent="0.25">
      <c r="A99" t="s">
        <v>246</v>
      </c>
      <c r="B99" t="s">
        <v>21</v>
      </c>
      <c r="C99" t="s">
        <v>22</v>
      </c>
      <c r="D99" t="s">
        <v>22</v>
      </c>
      <c r="E99" t="s">
        <v>23</v>
      </c>
      <c r="F99" t="s">
        <v>24</v>
      </c>
      <c r="G99" t="s">
        <v>25</v>
      </c>
      <c r="H99" t="s">
        <v>23</v>
      </c>
      <c r="I99" t="s">
        <v>26</v>
      </c>
      <c r="J99" t="s">
        <v>247</v>
      </c>
      <c r="K99">
        <v>-12.31744</v>
      </c>
      <c r="L99">
        <v>-76.822940000000003</v>
      </c>
      <c r="M99" t="str">
        <f>HYPERLINK("https://www.google.com/maps/search/?api=1&amp;query=-12.31744,-76.82294","Punta Hermosa, Lima")</f>
        <v>Punta Hermosa, Lima</v>
      </c>
      <c r="N99">
        <v>10</v>
      </c>
      <c r="O99">
        <v>100</v>
      </c>
      <c r="P99">
        <v>1580.3</v>
      </c>
      <c r="Q99" t="s">
        <v>238</v>
      </c>
      <c r="R99" t="s">
        <v>23</v>
      </c>
      <c r="S99" t="s">
        <v>23</v>
      </c>
      <c r="T99" t="s">
        <v>23</v>
      </c>
      <c r="U99" t="s">
        <v>23</v>
      </c>
    </row>
    <row r="100" spans="1:21" x14ac:dyDescent="0.25">
      <c r="A100" t="s">
        <v>248</v>
      </c>
      <c r="B100" t="s">
        <v>21</v>
      </c>
      <c r="C100" t="s">
        <v>22</v>
      </c>
      <c r="D100" t="s">
        <v>22</v>
      </c>
      <c r="E100" t="s">
        <v>23</v>
      </c>
      <c r="F100" t="s">
        <v>24</v>
      </c>
      <c r="G100" t="s">
        <v>25</v>
      </c>
      <c r="H100" t="s">
        <v>23</v>
      </c>
      <c r="I100" t="s">
        <v>26</v>
      </c>
      <c r="J100" t="s">
        <v>249</v>
      </c>
      <c r="K100">
        <v>-12.317333</v>
      </c>
      <c r="L100">
        <v>-76.822909999999993</v>
      </c>
      <c r="M100" t="str">
        <f>HYPERLINK("https://www.google.com/maps/search/?api=1&amp;query=-12.317333,-76.82291","Punta Hermosa, Lima")</f>
        <v>Punta Hermosa, Lima</v>
      </c>
      <c r="N100">
        <v>6.8</v>
      </c>
      <c r="O100">
        <v>100</v>
      </c>
      <c r="P100">
        <v>1580.3</v>
      </c>
      <c r="Q100" t="s">
        <v>238</v>
      </c>
      <c r="R100" t="s">
        <v>23</v>
      </c>
      <c r="S100" t="s">
        <v>23</v>
      </c>
      <c r="T100" t="s">
        <v>23</v>
      </c>
      <c r="U100" t="s">
        <v>23</v>
      </c>
    </row>
    <row r="101" spans="1:21" x14ac:dyDescent="0.25">
      <c r="A101" t="s">
        <v>250</v>
      </c>
      <c r="B101" t="s">
        <v>21</v>
      </c>
      <c r="C101" t="s">
        <v>22</v>
      </c>
      <c r="D101" t="s">
        <v>22</v>
      </c>
      <c r="E101" t="s">
        <v>23</v>
      </c>
      <c r="F101" t="s">
        <v>24</v>
      </c>
      <c r="G101" t="s">
        <v>25</v>
      </c>
      <c r="H101" t="s">
        <v>23</v>
      </c>
      <c r="I101" t="s">
        <v>26</v>
      </c>
      <c r="J101" t="s">
        <v>251</v>
      </c>
      <c r="K101">
        <v>-12.317333</v>
      </c>
      <c r="L101">
        <v>-76.822909999999993</v>
      </c>
      <c r="M101" t="str">
        <f>HYPERLINK("https://www.google.com/maps/search/?api=1&amp;query=-12.317333,-76.82291","Punta Hermosa, Lima")</f>
        <v>Punta Hermosa, Lima</v>
      </c>
      <c r="N101">
        <v>6.8</v>
      </c>
      <c r="O101">
        <v>100</v>
      </c>
      <c r="P101">
        <v>1580.5</v>
      </c>
      <c r="Q101" t="s">
        <v>238</v>
      </c>
      <c r="R101" t="s">
        <v>252</v>
      </c>
      <c r="S101" t="s">
        <v>23</v>
      </c>
      <c r="T101" t="s">
        <v>23</v>
      </c>
      <c r="U101" t="s">
        <v>23</v>
      </c>
    </row>
    <row r="102" spans="1:21" x14ac:dyDescent="0.25">
      <c r="A102" t="s">
        <v>253</v>
      </c>
      <c r="B102" t="s">
        <v>21</v>
      </c>
      <c r="C102" t="s">
        <v>22</v>
      </c>
      <c r="D102" t="s">
        <v>22</v>
      </c>
      <c r="E102" t="s">
        <v>23</v>
      </c>
      <c r="F102" t="s">
        <v>24</v>
      </c>
      <c r="G102" t="s">
        <v>25</v>
      </c>
      <c r="H102" t="s">
        <v>23</v>
      </c>
      <c r="I102" t="s">
        <v>26</v>
      </c>
      <c r="J102" t="s">
        <v>254</v>
      </c>
      <c r="K102">
        <v>-12.317326</v>
      </c>
      <c r="L102">
        <v>-76.822879999999998</v>
      </c>
      <c r="M102" t="str">
        <f>HYPERLINK("https://www.google.com/maps/search/?api=1&amp;query=-12.317326,-76.82288","Punta Hermosa, Lima")</f>
        <v>Punta Hermosa, Lima</v>
      </c>
      <c r="N102">
        <v>0</v>
      </c>
      <c r="O102">
        <v>100</v>
      </c>
      <c r="P102">
        <v>1580.5</v>
      </c>
      <c r="Q102" t="s">
        <v>238</v>
      </c>
      <c r="R102" t="s">
        <v>23</v>
      </c>
      <c r="S102" t="s">
        <v>23</v>
      </c>
      <c r="T102" t="s">
        <v>23</v>
      </c>
      <c r="U102" t="s">
        <v>23</v>
      </c>
    </row>
    <row r="103" spans="1:21" x14ac:dyDescent="0.25">
      <c r="A103" t="s">
        <v>255</v>
      </c>
      <c r="B103" t="s">
        <v>21</v>
      </c>
      <c r="C103" t="s">
        <v>22</v>
      </c>
      <c r="D103" t="s">
        <v>22</v>
      </c>
      <c r="E103" t="s">
        <v>23</v>
      </c>
      <c r="F103" t="s">
        <v>24</v>
      </c>
      <c r="G103" t="s">
        <v>25</v>
      </c>
      <c r="H103" t="s">
        <v>23</v>
      </c>
      <c r="I103" t="s">
        <v>26</v>
      </c>
      <c r="J103" t="s">
        <v>256</v>
      </c>
      <c r="K103">
        <v>-12.317326</v>
      </c>
      <c r="L103">
        <v>-76.822879999999998</v>
      </c>
      <c r="M103" t="str">
        <f>HYPERLINK("https://www.google.com/maps/search/?api=1&amp;query=-12.317326,-76.82288","Punta Hermosa, Lima")</f>
        <v>Punta Hermosa, Lima</v>
      </c>
      <c r="N103">
        <v>0</v>
      </c>
      <c r="O103">
        <v>100</v>
      </c>
      <c r="P103">
        <v>1580.5</v>
      </c>
      <c r="Q103" t="s">
        <v>238</v>
      </c>
      <c r="R103" t="s">
        <v>63</v>
      </c>
      <c r="S103" t="s">
        <v>23</v>
      </c>
      <c r="T103" t="s">
        <v>23</v>
      </c>
      <c r="U103" t="s">
        <v>23</v>
      </c>
    </row>
    <row r="104" spans="1:21" x14ac:dyDescent="0.25">
      <c r="A104" t="s">
        <v>257</v>
      </c>
      <c r="B104" t="s">
        <v>21</v>
      </c>
      <c r="C104" t="s">
        <v>22</v>
      </c>
      <c r="D104" t="s">
        <v>22</v>
      </c>
      <c r="E104" t="s">
        <v>23</v>
      </c>
      <c r="F104" t="s">
        <v>24</v>
      </c>
      <c r="G104" t="s">
        <v>25</v>
      </c>
      <c r="H104" t="s">
        <v>23</v>
      </c>
      <c r="I104" t="s">
        <v>26</v>
      </c>
      <c r="J104" t="s">
        <v>258</v>
      </c>
      <c r="K104">
        <v>-12.317458</v>
      </c>
      <c r="L104">
        <v>-76.822919999999996</v>
      </c>
      <c r="M104" t="str">
        <f>HYPERLINK("https://www.google.com/maps/search/?api=1&amp;query=-12.317458,-76.82292","Punta Hermosa, Lima")</f>
        <v>Punta Hermosa, Lima</v>
      </c>
      <c r="N104">
        <v>0.8</v>
      </c>
      <c r="O104">
        <v>100</v>
      </c>
      <c r="P104">
        <v>1580.5</v>
      </c>
      <c r="Q104" t="s">
        <v>238</v>
      </c>
      <c r="R104" t="s">
        <v>23</v>
      </c>
      <c r="S104" t="s">
        <v>23</v>
      </c>
      <c r="T104" t="s">
        <v>23</v>
      </c>
      <c r="U104" t="s">
        <v>23</v>
      </c>
    </row>
    <row r="105" spans="1:21" x14ac:dyDescent="0.25">
      <c r="A105" t="s">
        <v>259</v>
      </c>
      <c r="B105" t="s">
        <v>21</v>
      </c>
      <c r="C105" t="s">
        <v>22</v>
      </c>
      <c r="D105" t="s">
        <v>22</v>
      </c>
      <c r="E105" t="s">
        <v>23</v>
      </c>
      <c r="F105" t="s">
        <v>24</v>
      </c>
      <c r="G105" t="s">
        <v>25</v>
      </c>
      <c r="H105" t="s">
        <v>23</v>
      </c>
      <c r="I105" t="s">
        <v>26</v>
      </c>
      <c r="J105" t="s">
        <v>260</v>
      </c>
      <c r="K105">
        <v>-12.317444999999999</v>
      </c>
      <c r="L105">
        <v>-76.822800000000001</v>
      </c>
      <c r="M105" t="str">
        <f>HYPERLINK("https://www.google.com/maps/search/?api=1&amp;query=-12.317445,-76.8228","Punta Hermosa, Lima")</f>
        <v>Punta Hermosa, Lima</v>
      </c>
      <c r="N105">
        <v>7.2</v>
      </c>
      <c r="O105">
        <v>100</v>
      </c>
      <c r="P105">
        <v>1580.5</v>
      </c>
      <c r="Q105" t="s">
        <v>238</v>
      </c>
      <c r="R105" t="s">
        <v>23</v>
      </c>
      <c r="S105" t="s">
        <v>23</v>
      </c>
      <c r="T105" t="s">
        <v>23</v>
      </c>
      <c r="U105" t="s">
        <v>23</v>
      </c>
    </row>
    <row r="106" spans="1:21" x14ac:dyDescent="0.25">
      <c r="A106" t="s">
        <v>261</v>
      </c>
      <c r="B106" t="s">
        <v>21</v>
      </c>
      <c r="C106" t="s">
        <v>22</v>
      </c>
      <c r="D106" t="s">
        <v>22</v>
      </c>
      <c r="E106" t="s">
        <v>23</v>
      </c>
      <c r="F106" t="s">
        <v>24</v>
      </c>
      <c r="G106" t="s">
        <v>25</v>
      </c>
      <c r="H106" t="s">
        <v>23</v>
      </c>
      <c r="I106" t="s">
        <v>26</v>
      </c>
      <c r="J106" t="s">
        <v>262</v>
      </c>
      <c r="K106">
        <v>-12.317500000000001</v>
      </c>
      <c r="L106">
        <v>-76.822789999999998</v>
      </c>
      <c r="M106" t="str">
        <f>HYPERLINK("https://www.google.com/maps/search/?api=1&amp;query=-12.3175,-76.82279","Punta Hermosa, Lima")</f>
        <v>Punta Hermosa, Lima</v>
      </c>
      <c r="N106">
        <v>8.4</v>
      </c>
      <c r="O106">
        <v>100</v>
      </c>
      <c r="P106">
        <v>1580.5</v>
      </c>
      <c r="Q106" t="s">
        <v>238</v>
      </c>
      <c r="R106" t="s">
        <v>23</v>
      </c>
      <c r="S106" t="s">
        <v>23</v>
      </c>
      <c r="T106" t="s">
        <v>23</v>
      </c>
      <c r="U106" t="s">
        <v>23</v>
      </c>
    </row>
    <row r="107" spans="1:21" x14ac:dyDescent="0.25">
      <c r="A107" t="s">
        <v>263</v>
      </c>
      <c r="B107" t="s">
        <v>21</v>
      </c>
      <c r="C107" t="s">
        <v>22</v>
      </c>
      <c r="D107" t="s">
        <v>22</v>
      </c>
      <c r="E107" t="s">
        <v>23</v>
      </c>
      <c r="F107" t="s">
        <v>24</v>
      </c>
      <c r="G107" t="s">
        <v>25</v>
      </c>
      <c r="H107" t="s">
        <v>23</v>
      </c>
      <c r="I107" t="s">
        <v>26</v>
      </c>
      <c r="J107" t="s">
        <v>262</v>
      </c>
      <c r="K107">
        <v>-12.317553</v>
      </c>
      <c r="L107">
        <v>-76.822810000000004</v>
      </c>
      <c r="M107" t="str">
        <f>HYPERLINK("https://www.google.com/maps/search/?api=1&amp;query=-12.317553,-76.82281","Punta Hermosa, Lima")</f>
        <v>Punta Hermosa, Lima</v>
      </c>
      <c r="N107">
        <v>7.4</v>
      </c>
      <c r="O107">
        <v>100</v>
      </c>
      <c r="P107">
        <v>1580.6</v>
      </c>
      <c r="Q107" t="s">
        <v>264</v>
      </c>
      <c r="R107" t="s">
        <v>23</v>
      </c>
      <c r="S107" t="s">
        <v>23</v>
      </c>
      <c r="T107" t="s">
        <v>23</v>
      </c>
      <c r="U107" t="s">
        <v>23</v>
      </c>
    </row>
    <row r="108" spans="1:21" x14ac:dyDescent="0.25">
      <c r="A108" t="s">
        <v>265</v>
      </c>
      <c r="B108" t="s">
        <v>21</v>
      </c>
      <c r="C108" t="s">
        <v>22</v>
      </c>
      <c r="D108" t="s">
        <v>22</v>
      </c>
      <c r="E108" t="s">
        <v>23</v>
      </c>
      <c r="F108" t="s">
        <v>24</v>
      </c>
      <c r="G108" t="s">
        <v>25</v>
      </c>
      <c r="H108" t="s">
        <v>23</v>
      </c>
      <c r="I108" t="s">
        <v>26</v>
      </c>
      <c r="J108" t="s">
        <v>266</v>
      </c>
      <c r="K108">
        <v>-12.318115000000001</v>
      </c>
      <c r="L108">
        <v>-76.823080000000004</v>
      </c>
      <c r="M108" t="str">
        <f>HYPERLINK("https://www.google.com/maps/search/?api=1&amp;query=-12.318115,-76.82308","Punta Hermosa, Lima")</f>
        <v>Punta Hermosa, Lima</v>
      </c>
      <c r="N108">
        <v>12.5</v>
      </c>
      <c r="O108">
        <v>100</v>
      </c>
      <c r="P108">
        <v>1580.6</v>
      </c>
      <c r="Q108" t="s">
        <v>264</v>
      </c>
      <c r="R108" t="s">
        <v>23</v>
      </c>
      <c r="S108" t="s">
        <v>23</v>
      </c>
      <c r="T108" t="s">
        <v>23</v>
      </c>
      <c r="U108" t="s">
        <v>23</v>
      </c>
    </row>
    <row r="109" spans="1:21" x14ac:dyDescent="0.25">
      <c r="A109" t="s">
        <v>267</v>
      </c>
      <c r="B109" t="s">
        <v>21</v>
      </c>
      <c r="C109" t="s">
        <v>22</v>
      </c>
      <c r="D109" t="s">
        <v>22</v>
      </c>
      <c r="E109" t="s">
        <v>23</v>
      </c>
      <c r="F109" t="s">
        <v>24</v>
      </c>
      <c r="G109" t="s">
        <v>25</v>
      </c>
      <c r="H109" t="s">
        <v>23</v>
      </c>
      <c r="I109" t="s">
        <v>26</v>
      </c>
      <c r="J109" t="s">
        <v>268</v>
      </c>
      <c r="K109">
        <v>-12.318115000000001</v>
      </c>
      <c r="L109">
        <v>-76.823080000000004</v>
      </c>
      <c r="M109" t="str">
        <f>HYPERLINK("https://www.google.com/maps/search/?api=1&amp;query=-12.318115,-76.82308","Punta Hermosa, Lima")</f>
        <v>Punta Hermosa, Lima</v>
      </c>
      <c r="N109">
        <v>12.5</v>
      </c>
      <c r="O109">
        <v>100</v>
      </c>
      <c r="P109">
        <v>1580.6</v>
      </c>
      <c r="Q109" t="s">
        <v>264</v>
      </c>
      <c r="R109" t="s">
        <v>23</v>
      </c>
      <c r="S109" t="s">
        <v>23</v>
      </c>
      <c r="T109" t="s">
        <v>23</v>
      </c>
      <c r="U109" t="s">
        <v>23</v>
      </c>
    </row>
    <row r="110" spans="1:21" x14ac:dyDescent="0.25">
      <c r="A110" t="s">
        <v>269</v>
      </c>
      <c r="B110" t="s">
        <v>21</v>
      </c>
      <c r="C110" t="s">
        <v>22</v>
      </c>
      <c r="D110" t="s">
        <v>22</v>
      </c>
      <c r="E110" t="s">
        <v>23</v>
      </c>
      <c r="F110" t="s">
        <v>24</v>
      </c>
      <c r="G110" t="s">
        <v>25</v>
      </c>
      <c r="H110" t="s">
        <v>23</v>
      </c>
      <c r="I110" t="s">
        <v>26</v>
      </c>
      <c r="J110" t="s">
        <v>270</v>
      </c>
      <c r="K110">
        <v>-12.318481999999999</v>
      </c>
      <c r="L110">
        <v>-76.823715000000007</v>
      </c>
      <c r="M110" t="str">
        <f>HYPERLINK("https://www.google.com/maps/search/?api=1&amp;query=-12.318482,-76.823715","Punta Hermosa, Lima")</f>
        <v>Punta Hermosa, Lima</v>
      </c>
      <c r="N110">
        <v>13.2</v>
      </c>
      <c r="O110">
        <v>100</v>
      </c>
      <c r="P110">
        <v>1580.6</v>
      </c>
      <c r="Q110" t="s">
        <v>264</v>
      </c>
      <c r="R110" t="s">
        <v>23</v>
      </c>
      <c r="S110" t="s">
        <v>23</v>
      </c>
      <c r="T110" t="s">
        <v>23</v>
      </c>
      <c r="U110" t="s">
        <v>23</v>
      </c>
    </row>
    <row r="111" spans="1:21" x14ac:dyDescent="0.25">
      <c r="A111" t="s">
        <v>271</v>
      </c>
      <c r="B111" t="s">
        <v>21</v>
      </c>
      <c r="C111" t="s">
        <v>22</v>
      </c>
      <c r="D111" t="s">
        <v>22</v>
      </c>
      <c r="E111" t="s">
        <v>23</v>
      </c>
      <c r="F111" t="s">
        <v>24</v>
      </c>
      <c r="G111" t="s">
        <v>25</v>
      </c>
      <c r="H111" t="s">
        <v>23</v>
      </c>
      <c r="I111" t="s">
        <v>26</v>
      </c>
      <c r="J111" t="s">
        <v>270</v>
      </c>
      <c r="K111">
        <v>-12.31851</v>
      </c>
      <c r="L111">
        <v>-76.823875000000001</v>
      </c>
      <c r="M111" t="str">
        <f>HYPERLINK("https://www.google.com/maps/search/?api=1&amp;query=-12.31851,-76.823875","Punta Hermosa, Lima")</f>
        <v>Punta Hermosa, Lima</v>
      </c>
      <c r="N111">
        <v>9.1</v>
      </c>
      <c r="O111">
        <v>100</v>
      </c>
      <c r="P111">
        <v>1580.6</v>
      </c>
      <c r="Q111" t="s">
        <v>264</v>
      </c>
      <c r="R111" t="s">
        <v>23</v>
      </c>
      <c r="S111" t="s">
        <v>23</v>
      </c>
      <c r="T111" t="s">
        <v>23</v>
      </c>
      <c r="U111" t="s">
        <v>23</v>
      </c>
    </row>
    <row r="112" spans="1:21" x14ac:dyDescent="0.25">
      <c r="A112" t="s">
        <v>272</v>
      </c>
      <c r="B112" t="s">
        <v>21</v>
      </c>
      <c r="C112" t="s">
        <v>22</v>
      </c>
      <c r="D112" t="s">
        <v>22</v>
      </c>
      <c r="E112" t="s">
        <v>23</v>
      </c>
      <c r="F112" t="s">
        <v>24</v>
      </c>
      <c r="G112" t="s">
        <v>25</v>
      </c>
      <c r="H112" t="s">
        <v>23</v>
      </c>
      <c r="I112" t="s">
        <v>26</v>
      </c>
      <c r="J112" t="s">
        <v>273</v>
      </c>
      <c r="K112">
        <v>-12.318403</v>
      </c>
      <c r="L112">
        <v>-76.823970000000003</v>
      </c>
      <c r="M112" t="str">
        <f>HYPERLINK("https://www.google.com/maps/search/?api=1&amp;query=-12.318403,-76.82397","Punta Hermosa, Lima")</f>
        <v>Punta Hermosa, Lima</v>
      </c>
      <c r="N112">
        <v>9.6999999999999993</v>
      </c>
      <c r="O112">
        <v>100</v>
      </c>
      <c r="P112">
        <v>1580.6</v>
      </c>
      <c r="Q112" t="s">
        <v>264</v>
      </c>
      <c r="R112" t="s">
        <v>23</v>
      </c>
      <c r="S112" t="s">
        <v>23</v>
      </c>
      <c r="T112" t="s">
        <v>23</v>
      </c>
      <c r="U112" t="s">
        <v>23</v>
      </c>
    </row>
    <row r="113" spans="1:21" x14ac:dyDescent="0.25">
      <c r="A113" t="s">
        <v>274</v>
      </c>
      <c r="B113" t="s">
        <v>21</v>
      </c>
      <c r="C113" t="s">
        <v>22</v>
      </c>
      <c r="D113" t="s">
        <v>22</v>
      </c>
      <c r="E113" t="s">
        <v>23</v>
      </c>
      <c r="F113" t="s">
        <v>24</v>
      </c>
      <c r="G113" t="s">
        <v>25</v>
      </c>
      <c r="H113" t="s">
        <v>23</v>
      </c>
      <c r="I113" t="s">
        <v>26</v>
      </c>
      <c r="J113" t="s">
        <v>275</v>
      </c>
      <c r="K113">
        <v>-12.317931</v>
      </c>
      <c r="L113">
        <v>-76.824264999999997</v>
      </c>
      <c r="M113" t="str">
        <f>HYPERLINK("https://www.google.com/maps/search/?api=1&amp;query=-12.317931,-76.824265","Punta Hermosa, Lima")</f>
        <v>Punta Hermosa, Lima</v>
      </c>
      <c r="N113">
        <v>4.3</v>
      </c>
      <c r="O113">
        <v>100</v>
      </c>
      <c r="P113">
        <v>1580.7</v>
      </c>
      <c r="Q113" t="s">
        <v>276</v>
      </c>
      <c r="R113" t="s">
        <v>23</v>
      </c>
      <c r="S113" t="s">
        <v>23</v>
      </c>
      <c r="T113" t="s">
        <v>23</v>
      </c>
      <c r="U113" t="s">
        <v>23</v>
      </c>
    </row>
    <row r="114" spans="1:21" x14ac:dyDescent="0.25">
      <c r="A114" t="s">
        <v>277</v>
      </c>
      <c r="B114" t="s">
        <v>21</v>
      </c>
      <c r="C114" t="s">
        <v>22</v>
      </c>
      <c r="D114" t="s">
        <v>22</v>
      </c>
      <c r="E114" t="s">
        <v>23</v>
      </c>
      <c r="F114" t="s">
        <v>24</v>
      </c>
      <c r="G114" t="s">
        <v>25</v>
      </c>
      <c r="H114" t="s">
        <v>23</v>
      </c>
      <c r="I114" t="s">
        <v>26</v>
      </c>
      <c r="J114" t="s">
        <v>278</v>
      </c>
      <c r="K114">
        <v>-12.317939000000001</v>
      </c>
      <c r="L114">
        <v>-76.824290000000005</v>
      </c>
      <c r="M114" t="str">
        <f>HYPERLINK("https://www.google.com/maps/search/?api=1&amp;query=-12.317939,-76.82429","Punta Hermosa, Lima")</f>
        <v>Punta Hermosa, Lima</v>
      </c>
      <c r="N114">
        <v>0</v>
      </c>
      <c r="O114">
        <v>100</v>
      </c>
      <c r="P114">
        <v>1580.7</v>
      </c>
      <c r="Q114" t="s">
        <v>276</v>
      </c>
      <c r="R114" t="s">
        <v>23</v>
      </c>
      <c r="S114" t="s">
        <v>23</v>
      </c>
      <c r="T114" t="s">
        <v>23</v>
      </c>
      <c r="U114" t="s">
        <v>23</v>
      </c>
    </row>
    <row r="115" spans="1:21" x14ac:dyDescent="0.25">
      <c r="A115" t="s">
        <v>279</v>
      </c>
      <c r="B115" t="s">
        <v>21</v>
      </c>
      <c r="C115" t="s">
        <v>22</v>
      </c>
      <c r="D115" t="s">
        <v>22</v>
      </c>
      <c r="E115" t="s">
        <v>23</v>
      </c>
      <c r="F115" t="s">
        <v>24</v>
      </c>
      <c r="G115" t="s">
        <v>25</v>
      </c>
      <c r="H115" t="s">
        <v>23</v>
      </c>
      <c r="I115" t="s">
        <v>26</v>
      </c>
      <c r="J115" t="s">
        <v>280</v>
      </c>
      <c r="K115">
        <v>-12.317940999999999</v>
      </c>
      <c r="L115">
        <v>-76.824280000000002</v>
      </c>
      <c r="M115" t="str">
        <f>HYPERLINK("https://www.google.com/maps/search/?api=1&amp;query=-12.317941,-76.82428","Punta Hermosa, Lima")</f>
        <v>Punta Hermosa, Lima</v>
      </c>
      <c r="N115">
        <v>3.3</v>
      </c>
      <c r="O115">
        <v>100</v>
      </c>
      <c r="P115">
        <v>1580.7</v>
      </c>
      <c r="Q115" t="s">
        <v>276</v>
      </c>
      <c r="R115" t="s">
        <v>23</v>
      </c>
      <c r="S115" t="s">
        <v>23</v>
      </c>
      <c r="T115" t="s">
        <v>23</v>
      </c>
      <c r="U115" t="s">
        <v>23</v>
      </c>
    </row>
    <row r="116" spans="1:21" x14ac:dyDescent="0.25">
      <c r="A116" t="s">
        <v>281</v>
      </c>
      <c r="B116" t="s">
        <v>21</v>
      </c>
      <c r="C116" t="s">
        <v>22</v>
      </c>
      <c r="D116" t="s">
        <v>22</v>
      </c>
      <c r="E116" t="s">
        <v>23</v>
      </c>
      <c r="F116" t="s">
        <v>24</v>
      </c>
      <c r="G116" t="s">
        <v>25</v>
      </c>
      <c r="H116" t="s">
        <v>23</v>
      </c>
      <c r="I116" t="s">
        <v>26</v>
      </c>
      <c r="J116" t="s">
        <v>282</v>
      </c>
      <c r="K116">
        <v>-12.317944000000001</v>
      </c>
      <c r="L116">
        <v>-76.824240000000003</v>
      </c>
      <c r="M116" t="str">
        <f t="shared" ref="M116:M121" si="1">HYPERLINK("https://www.google.com/maps/search/?api=1&amp;query=-12.317944,-76.82424","Punta Hermosa, Lima")</f>
        <v>Punta Hermosa, Lima</v>
      </c>
      <c r="N116">
        <v>0</v>
      </c>
      <c r="O116">
        <v>100</v>
      </c>
      <c r="P116">
        <v>1580.9</v>
      </c>
      <c r="Q116" t="s">
        <v>283</v>
      </c>
      <c r="R116" t="s">
        <v>23</v>
      </c>
      <c r="S116" t="s">
        <v>23</v>
      </c>
      <c r="T116" t="s">
        <v>23</v>
      </c>
      <c r="U116" t="s">
        <v>23</v>
      </c>
    </row>
    <row r="117" spans="1:21" x14ac:dyDescent="0.25">
      <c r="A117" t="s">
        <v>284</v>
      </c>
      <c r="B117" t="s">
        <v>21</v>
      </c>
      <c r="C117" t="s">
        <v>22</v>
      </c>
      <c r="D117" t="s">
        <v>22</v>
      </c>
      <c r="E117" t="s">
        <v>23</v>
      </c>
      <c r="F117" t="s">
        <v>24</v>
      </c>
      <c r="G117" t="s">
        <v>25</v>
      </c>
      <c r="H117" t="s">
        <v>23</v>
      </c>
      <c r="I117" t="s">
        <v>26</v>
      </c>
      <c r="J117" t="s">
        <v>285</v>
      </c>
      <c r="K117">
        <v>-12.317944000000001</v>
      </c>
      <c r="L117">
        <v>-76.824240000000003</v>
      </c>
      <c r="M117" t="str">
        <f t="shared" si="1"/>
        <v>Punta Hermosa, Lima</v>
      </c>
      <c r="N117">
        <v>0</v>
      </c>
      <c r="O117">
        <v>100</v>
      </c>
      <c r="P117">
        <v>1580.9</v>
      </c>
      <c r="Q117" t="s">
        <v>283</v>
      </c>
      <c r="R117" t="s">
        <v>252</v>
      </c>
      <c r="S117" t="s">
        <v>23</v>
      </c>
      <c r="T117" t="s">
        <v>23</v>
      </c>
      <c r="U117" t="s">
        <v>23</v>
      </c>
    </row>
    <row r="118" spans="1:21" x14ac:dyDescent="0.25">
      <c r="A118" t="s">
        <v>286</v>
      </c>
      <c r="B118" t="s">
        <v>21</v>
      </c>
      <c r="C118" t="s">
        <v>22</v>
      </c>
      <c r="D118" t="s">
        <v>22</v>
      </c>
      <c r="E118" t="s">
        <v>23</v>
      </c>
      <c r="F118" t="s">
        <v>24</v>
      </c>
      <c r="G118" t="s">
        <v>25</v>
      </c>
      <c r="H118" t="s">
        <v>23</v>
      </c>
      <c r="I118" t="s">
        <v>26</v>
      </c>
      <c r="J118" t="s">
        <v>287</v>
      </c>
      <c r="K118">
        <v>-12.317944000000001</v>
      </c>
      <c r="L118">
        <v>-76.824240000000003</v>
      </c>
      <c r="M118" t="str">
        <f t="shared" si="1"/>
        <v>Punta Hermosa, Lima</v>
      </c>
      <c r="N118">
        <v>0</v>
      </c>
      <c r="O118">
        <v>100</v>
      </c>
      <c r="P118">
        <v>1580.9</v>
      </c>
      <c r="Q118" t="s">
        <v>283</v>
      </c>
      <c r="R118" t="s">
        <v>23</v>
      </c>
      <c r="S118" t="s">
        <v>23</v>
      </c>
      <c r="T118" t="s">
        <v>23</v>
      </c>
      <c r="U118" t="s">
        <v>23</v>
      </c>
    </row>
    <row r="119" spans="1:21" x14ac:dyDescent="0.25">
      <c r="A119" t="s">
        <v>288</v>
      </c>
      <c r="B119" t="s">
        <v>21</v>
      </c>
      <c r="C119" t="s">
        <v>22</v>
      </c>
      <c r="D119" t="s">
        <v>22</v>
      </c>
      <c r="E119" t="s">
        <v>23</v>
      </c>
      <c r="F119" t="s">
        <v>24</v>
      </c>
      <c r="G119" t="s">
        <v>25</v>
      </c>
      <c r="H119" t="s">
        <v>23</v>
      </c>
      <c r="I119" t="s">
        <v>26</v>
      </c>
      <c r="J119" t="s">
        <v>289</v>
      </c>
      <c r="K119">
        <v>-12.317944000000001</v>
      </c>
      <c r="L119">
        <v>-76.824240000000003</v>
      </c>
      <c r="M119" t="str">
        <f t="shared" si="1"/>
        <v>Punta Hermosa, Lima</v>
      </c>
      <c r="N119">
        <v>0</v>
      </c>
      <c r="O119">
        <v>100</v>
      </c>
      <c r="P119">
        <v>1580.9</v>
      </c>
      <c r="Q119" t="s">
        <v>283</v>
      </c>
      <c r="R119" t="s">
        <v>23</v>
      </c>
      <c r="S119" t="s">
        <v>23</v>
      </c>
      <c r="T119" t="s">
        <v>23</v>
      </c>
      <c r="U119" t="s">
        <v>23</v>
      </c>
    </row>
    <row r="120" spans="1:21" x14ac:dyDescent="0.25">
      <c r="A120" t="s">
        <v>290</v>
      </c>
      <c r="B120" t="s">
        <v>21</v>
      </c>
      <c r="C120" t="s">
        <v>22</v>
      </c>
      <c r="D120" t="s">
        <v>22</v>
      </c>
      <c r="E120" t="s">
        <v>23</v>
      </c>
      <c r="F120" t="s">
        <v>24</v>
      </c>
      <c r="G120" t="s">
        <v>25</v>
      </c>
      <c r="H120" t="s">
        <v>23</v>
      </c>
      <c r="I120" t="s">
        <v>26</v>
      </c>
      <c r="J120" t="s">
        <v>291</v>
      </c>
      <c r="K120">
        <v>-12.317944000000001</v>
      </c>
      <c r="L120">
        <v>-76.824240000000003</v>
      </c>
      <c r="M120" t="str">
        <f t="shared" si="1"/>
        <v>Punta Hermosa, Lima</v>
      </c>
      <c r="N120">
        <v>0</v>
      </c>
      <c r="O120">
        <v>100</v>
      </c>
      <c r="P120">
        <v>1580.9</v>
      </c>
      <c r="Q120" t="s">
        <v>283</v>
      </c>
      <c r="R120" t="s">
        <v>23</v>
      </c>
      <c r="S120" t="s">
        <v>23</v>
      </c>
      <c r="T120" t="s">
        <v>23</v>
      </c>
      <c r="U120" t="s">
        <v>23</v>
      </c>
    </row>
    <row r="121" spans="1:21" x14ac:dyDescent="0.25">
      <c r="A121" t="s">
        <v>292</v>
      </c>
      <c r="B121" t="s">
        <v>21</v>
      </c>
      <c r="C121" t="s">
        <v>22</v>
      </c>
      <c r="D121" t="s">
        <v>22</v>
      </c>
      <c r="E121" t="s">
        <v>23</v>
      </c>
      <c r="F121" t="s">
        <v>24</v>
      </c>
      <c r="G121" t="s">
        <v>25</v>
      </c>
      <c r="H121" t="s">
        <v>23</v>
      </c>
      <c r="I121" t="s">
        <v>26</v>
      </c>
      <c r="J121" t="s">
        <v>293</v>
      </c>
      <c r="K121">
        <v>-12.317944000000001</v>
      </c>
      <c r="L121">
        <v>-76.824240000000003</v>
      </c>
      <c r="M121" t="str">
        <f t="shared" si="1"/>
        <v>Punta Hermosa, Lima</v>
      </c>
      <c r="N121">
        <v>0</v>
      </c>
      <c r="O121">
        <v>100</v>
      </c>
      <c r="P121">
        <v>1580.9</v>
      </c>
      <c r="Q121" t="s">
        <v>283</v>
      </c>
      <c r="R121" t="s">
        <v>63</v>
      </c>
      <c r="S121" t="s">
        <v>23</v>
      </c>
      <c r="T121" t="s">
        <v>23</v>
      </c>
      <c r="U121" t="s">
        <v>23</v>
      </c>
    </row>
    <row r="122" spans="1:21" x14ac:dyDescent="0.25">
      <c r="A122" t="s">
        <v>294</v>
      </c>
      <c r="B122" t="s">
        <v>21</v>
      </c>
      <c r="C122" t="s">
        <v>22</v>
      </c>
      <c r="D122" t="s">
        <v>22</v>
      </c>
      <c r="E122" t="s">
        <v>23</v>
      </c>
      <c r="F122" t="s">
        <v>24</v>
      </c>
      <c r="G122" t="s">
        <v>25</v>
      </c>
      <c r="H122" t="s">
        <v>23</v>
      </c>
      <c r="I122" t="s">
        <v>26</v>
      </c>
      <c r="J122" t="s">
        <v>295</v>
      </c>
      <c r="K122">
        <v>-12.317917</v>
      </c>
      <c r="L122">
        <v>-76.824134999999998</v>
      </c>
      <c r="M122" t="str">
        <f t="shared" ref="M122:M129" si="2">HYPERLINK("https://www.google.com/maps/search/?api=1&amp;query=-12.317917,-76.824135","Punta Hermosa, Lima")</f>
        <v>Punta Hermosa, Lima</v>
      </c>
      <c r="N122">
        <v>0.2</v>
      </c>
      <c r="O122">
        <v>100</v>
      </c>
      <c r="P122">
        <v>1580.9</v>
      </c>
      <c r="Q122" t="s">
        <v>283</v>
      </c>
      <c r="R122" t="s">
        <v>23</v>
      </c>
      <c r="S122" t="s">
        <v>23</v>
      </c>
      <c r="T122" t="s">
        <v>23</v>
      </c>
      <c r="U122" t="s">
        <v>23</v>
      </c>
    </row>
    <row r="123" spans="1:21" x14ac:dyDescent="0.25">
      <c r="A123" t="s">
        <v>296</v>
      </c>
      <c r="B123" t="s">
        <v>21</v>
      </c>
      <c r="C123" t="s">
        <v>22</v>
      </c>
      <c r="D123" t="s">
        <v>22</v>
      </c>
      <c r="E123" t="s">
        <v>23</v>
      </c>
      <c r="F123" t="s">
        <v>24</v>
      </c>
      <c r="G123" t="s">
        <v>25</v>
      </c>
      <c r="H123" t="s">
        <v>23</v>
      </c>
      <c r="I123" t="s">
        <v>26</v>
      </c>
      <c r="J123" t="s">
        <v>297</v>
      </c>
      <c r="K123">
        <v>-12.317917</v>
      </c>
      <c r="L123">
        <v>-76.824134999999998</v>
      </c>
      <c r="M123" t="str">
        <f t="shared" si="2"/>
        <v>Punta Hermosa, Lima</v>
      </c>
      <c r="N123">
        <v>0</v>
      </c>
      <c r="O123">
        <v>100</v>
      </c>
      <c r="P123">
        <v>1580.9</v>
      </c>
      <c r="Q123" t="s">
        <v>283</v>
      </c>
      <c r="R123" t="s">
        <v>23</v>
      </c>
      <c r="S123" t="s">
        <v>23</v>
      </c>
      <c r="T123" t="s">
        <v>23</v>
      </c>
      <c r="U123" t="s">
        <v>23</v>
      </c>
    </row>
    <row r="124" spans="1:21" x14ac:dyDescent="0.25">
      <c r="A124" t="s">
        <v>298</v>
      </c>
      <c r="B124" t="s">
        <v>21</v>
      </c>
      <c r="C124" t="s">
        <v>22</v>
      </c>
      <c r="D124" t="s">
        <v>22</v>
      </c>
      <c r="E124" t="s">
        <v>23</v>
      </c>
      <c r="F124" t="s">
        <v>24</v>
      </c>
      <c r="G124" t="s">
        <v>25</v>
      </c>
      <c r="H124" t="s">
        <v>23</v>
      </c>
      <c r="I124" t="s">
        <v>26</v>
      </c>
      <c r="J124" t="s">
        <v>299</v>
      </c>
      <c r="K124">
        <v>-12.317917</v>
      </c>
      <c r="L124">
        <v>-76.824134999999998</v>
      </c>
      <c r="M124" t="str">
        <f t="shared" si="2"/>
        <v>Punta Hermosa, Lima</v>
      </c>
      <c r="N124">
        <v>0</v>
      </c>
      <c r="O124">
        <v>100</v>
      </c>
      <c r="P124">
        <v>1580.9</v>
      </c>
      <c r="Q124" t="s">
        <v>283</v>
      </c>
      <c r="R124" t="s">
        <v>23</v>
      </c>
      <c r="S124" t="s">
        <v>23</v>
      </c>
      <c r="T124" t="s">
        <v>23</v>
      </c>
      <c r="U124" t="s">
        <v>23</v>
      </c>
    </row>
    <row r="125" spans="1:21" x14ac:dyDescent="0.25">
      <c r="A125" t="s">
        <v>300</v>
      </c>
      <c r="B125" t="s">
        <v>21</v>
      </c>
      <c r="C125" t="s">
        <v>22</v>
      </c>
      <c r="D125" t="s">
        <v>22</v>
      </c>
      <c r="E125" t="s">
        <v>23</v>
      </c>
      <c r="F125" t="s">
        <v>24</v>
      </c>
      <c r="G125" t="s">
        <v>25</v>
      </c>
      <c r="H125" t="s">
        <v>23</v>
      </c>
      <c r="I125" t="s">
        <v>26</v>
      </c>
      <c r="J125" t="s">
        <v>301</v>
      </c>
      <c r="K125">
        <v>-12.317917</v>
      </c>
      <c r="L125">
        <v>-76.824134999999998</v>
      </c>
      <c r="M125" t="str">
        <f t="shared" si="2"/>
        <v>Punta Hermosa, Lima</v>
      </c>
      <c r="N125">
        <v>0</v>
      </c>
      <c r="O125">
        <v>100</v>
      </c>
      <c r="P125">
        <v>1580.9</v>
      </c>
      <c r="Q125" t="s">
        <v>283</v>
      </c>
      <c r="R125" t="s">
        <v>23</v>
      </c>
      <c r="S125" t="s">
        <v>23</v>
      </c>
      <c r="T125" t="s">
        <v>23</v>
      </c>
      <c r="U125" t="s">
        <v>23</v>
      </c>
    </row>
    <row r="126" spans="1:21" x14ac:dyDescent="0.25">
      <c r="A126" t="s">
        <v>302</v>
      </c>
      <c r="B126" t="s">
        <v>21</v>
      </c>
      <c r="C126" t="s">
        <v>22</v>
      </c>
      <c r="D126" t="s">
        <v>22</v>
      </c>
      <c r="E126" t="s">
        <v>23</v>
      </c>
      <c r="F126" t="s">
        <v>24</v>
      </c>
      <c r="G126" t="s">
        <v>25</v>
      </c>
      <c r="H126" t="s">
        <v>23</v>
      </c>
      <c r="I126" t="s">
        <v>26</v>
      </c>
      <c r="J126" t="s">
        <v>303</v>
      </c>
      <c r="K126">
        <v>-12.317917</v>
      </c>
      <c r="L126">
        <v>-76.824134999999998</v>
      </c>
      <c r="M126" t="str">
        <f t="shared" si="2"/>
        <v>Punta Hermosa, Lima</v>
      </c>
      <c r="N126">
        <v>0</v>
      </c>
      <c r="O126">
        <v>100</v>
      </c>
      <c r="P126">
        <v>1580.9</v>
      </c>
      <c r="Q126" t="s">
        <v>304</v>
      </c>
      <c r="R126" t="s">
        <v>252</v>
      </c>
      <c r="S126" t="s">
        <v>23</v>
      </c>
      <c r="T126" t="s">
        <v>23</v>
      </c>
      <c r="U126" t="s">
        <v>23</v>
      </c>
    </row>
    <row r="127" spans="1:21" x14ac:dyDescent="0.25">
      <c r="A127" t="s">
        <v>305</v>
      </c>
      <c r="B127" t="s">
        <v>21</v>
      </c>
      <c r="C127" t="s">
        <v>22</v>
      </c>
      <c r="D127" t="s">
        <v>22</v>
      </c>
      <c r="E127" t="s">
        <v>23</v>
      </c>
      <c r="F127" t="s">
        <v>24</v>
      </c>
      <c r="G127" t="s">
        <v>25</v>
      </c>
      <c r="H127" t="s">
        <v>23</v>
      </c>
      <c r="I127" t="s">
        <v>26</v>
      </c>
      <c r="J127" t="s">
        <v>306</v>
      </c>
      <c r="K127">
        <v>-12.317917</v>
      </c>
      <c r="L127">
        <v>-76.824134999999998</v>
      </c>
      <c r="M127" t="str">
        <f t="shared" si="2"/>
        <v>Punta Hermosa, Lima</v>
      </c>
      <c r="N127">
        <v>0</v>
      </c>
      <c r="O127">
        <v>100</v>
      </c>
      <c r="P127">
        <v>1580.9</v>
      </c>
      <c r="Q127" t="s">
        <v>304</v>
      </c>
      <c r="R127" t="s">
        <v>23</v>
      </c>
      <c r="S127" t="s">
        <v>23</v>
      </c>
      <c r="T127" t="s">
        <v>23</v>
      </c>
      <c r="U127" t="s">
        <v>23</v>
      </c>
    </row>
    <row r="128" spans="1:21" x14ac:dyDescent="0.25">
      <c r="A128" t="s">
        <v>307</v>
      </c>
      <c r="B128" t="s">
        <v>21</v>
      </c>
      <c r="C128" t="s">
        <v>22</v>
      </c>
      <c r="D128" t="s">
        <v>22</v>
      </c>
      <c r="E128" t="s">
        <v>23</v>
      </c>
      <c r="F128" t="s">
        <v>24</v>
      </c>
      <c r="G128" t="s">
        <v>25</v>
      </c>
      <c r="H128" t="s">
        <v>23</v>
      </c>
      <c r="I128" t="s">
        <v>26</v>
      </c>
      <c r="J128" t="s">
        <v>308</v>
      </c>
      <c r="K128">
        <v>-12.317917</v>
      </c>
      <c r="L128">
        <v>-76.824134999999998</v>
      </c>
      <c r="M128" t="str">
        <f t="shared" si="2"/>
        <v>Punta Hermosa, Lima</v>
      </c>
      <c r="N128">
        <v>0.2</v>
      </c>
      <c r="O128">
        <v>100</v>
      </c>
      <c r="P128">
        <v>1580.9</v>
      </c>
      <c r="Q128" t="s">
        <v>304</v>
      </c>
      <c r="R128" t="s">
        <v>23</v>
      </c>
      <c r="S128" t="s">
        <v>23</v>
      </c>
      <c r="T128" t="s">
        <v>23</v>
      </c>
      <c r="U128" t="s">
        <v>23</v>
      </c>
    </row>
    <row r="129" spans="1:21" x14ac:dyDescent="0.25">
      <c r="A129" t="s">
        <v>309</v>
      </c>
      <c r="B129" t="s">
        <v>21</v>
      </c>
      <c r="C129" t="s">
        <v>22</v>
      </c>
      <c r="D129" t="s">
        <v>22</v>
      </c>
      <c r="E129" t="s">
        <v>23</v>
      </c>
      <c r="F129" t="s">
        <v>24</v>
      </c>
      <c r="G129" t="s">
        <v>25</v>
      </c>
      <c r="H129" t="s">
        <v>23</v>
      </c>
      <c r="I129" t="s">
        <v>26</v>
      </c>
      <c r="J129" t="s">
        <v>310</v>
      </c>
      <c r="K129">
        <v>-12.317917</v>
      </c>
      <c r="L129">
        <v>-76.824134999999998</v>
      </c>
      <c r="M129" t="str">
        <f t="shared" si="2"/>
        <v>Punta Hermosa, Lima</v>
      </c>
      <c r="N129">
        <v>0</v>
      </c>
      <c r="O129">
        <v>100</v>
      </c>
      <c r="P129">
        <v>1580.9</v>
      </c>
      <c r="Q129" t="s">
        <v>304</v>
      </c>
      <c r="R129" t="s">
        <v>63</v>
      </c>
      <c r="S129" t="s">
        <v>23</v>
      </c>
      <c r="T129" t="s">
        <v>23</v>
      </c>
      <c r="U129" t="s">
        <v>23</v>
      </c>
    </row>
    <row r="130" spans="1:21" x14ac:dyDescent="0.25">
      <c r="A130" t="s">
        <v>311</v>
      </c>
      <c r="B130" t="s">
        <v>21</v>
      </c>
      <c r="C130" t="s">
        <v>22</v>
      </c>
      <c r="D130" t="s">
        <v>22</v>
      </c>
      <c r="E130" t="s">
        <v>23</v>
      </c>
      <c r="F130" t="s">
        <v>24</v>
      </c>
      <c r="G130" t="s">
        <v>25</v>
      </c>
      <c r="H130" t="s">
        <v>23</v>
      </c>
      <c r="I130" t="s">
        <v>26</v>
      </c>
      <c r="J130" t="s">
        <v>312</v>
      </c>
      <c r="K130">
        <v>-12.317959999999999</v>
      </c>
      <c r="L130">
        <v>-76.82414</v>
      </c>
      <c r="M130" t="str">
        <f>HYPERLINK("https://www.google.com/maps/search/?api=1&amp;query=-12.31796,-76.82414","Punta Hermosa, Lima")</f>
        <v>Punta Hermosa, Lima</v>
      </c>
      <c r="N130">
        <v>0.8</v>
      </c>
      <c r="O130">
        <v>100</v>
      </c>
      <c r="P130">
        <v>1580.9</v>
      </c>
      <c r="Q130" t="s">
        <v>304</v>
      </c>
      <c r="R130" t="s">
        <v>23</v>
      </c>
      <c r="S130" t="s">
        <v>23</v>
      </c>
      <c r="T130" t="s">
        <v>23</v>
      </c>
      <c r="U130" t="s">
        <v>23</v>
      </c>
    </row>
    <row r="131" spans="1:21" x14ac:dyDescent="0.25">
      <c r="A131" t="s">
        <v>313</v>
      </c>
      <c r="B131" t="s">
        <v>21</v>
      </c>
      <c r="C131" t="s">
        <v>22</v>
      </c>
      <c r="D131" t="s">
        <v>22</v>
      </c>
      <c r="E131" t="s">
        <v>23</v>
      </c>
      <c r="F131" t="s">
        <v>24</v>
      </c>
      <c r="G131" t="s">
        <v>25</v>
      </c>
      <c r="H131" t="s">
        <v>23</v>
      </c>
      <c r="I131" t="s">
        <v>26</v>
      </c>
      <c r="J131" t="s">
        <v>314</v>
      </c>
      <c r="K131">
        <v>-12.317959999999999</v>
      </c>
      <c r="L131">
        <v>-76.82414</v>
      </c>
      <c r="M131" t="str">
        <f>HYPERLINK("https://www.google.com/maps/search/?api=1&amp;query=-12.31796,-76.82414","Punta Hermosa, Lima")</f>
        <v>Punta Hermosa, Lima</v>
      </c>
      <c r="N131">
        <v>0</v>
      </c>
      <c r="O131">
        <v>100</v>
      </c>
      <c r="P131">
        <v>1580.9</v>
      </c>
      <c r="Q131" t="s">
        <v>304</v>
      </c>
      <c r="R131" t="s">
        <v>23</v>
      </c>
      <c r="S131" t="s">
        <v>23</v>
      </c>
      <c r="T131" t="s">
        <v>23</v>
      </c>
      <c r="U131" t="s">
        <v>23</v>
      </c>
    </row>
    <row r="132" spans="1:21" x14ac:dyDescent="0.25">
      <c r="A132" t="s">
        <v>315</v>
      </c>
      <c r="B132" t="s">
        <v>21</v>
      </c>
      <c r="C132" t="s">
        <v>22</v>
      </c>
      <c r="D132" t="s">
        <v>22</v>
      </c>
      <c r="E132" t="s">
        <v>23</v>
      </c>
      <c r="F132" t="s">
        <v>24</v>
      </c>
      <c r="G132" t="s">
        <v>25</v>
      </c>
      <c r="H132" t="s">
        <v>23</v>
      </c>
      <c r="I132" t="s">
        <v>26</v>
      </c>
      <c r="J132" t="s">
        <v>316</v>
      </c>
      <c r="K132">
        <v>-12.317959999999999</v>
      </c>
      <c r="L132">
        <v>-76.82414</v>
      </c>
      <c r="M132" t="str">
        <f>HYPERLINK("https://www.google.com/maps/search/?api=1&amp;query=-12.31796,-76.82414","Punta Hermosa, Lima")</f>
        <v>Punta Hermosa, Lima</v>
      </c>
      <c r="N132">
        <v>0</v>
      </c>
      <c r="O132">
        <v>100</v>
      </c>
      <c r="P132">
        <v>1580.9</v>
      </c>
      <c r="Q132" t="s">
        <v>304</v>
      </c>
      <c r="R132" t="s">
        <v>23</v>
      </c>
      <c r="S132" t="s">
        <v>23</v>
      </c>
      <c r="T132" t="s">
        <v>23</v>
      </c>
      <c r="U132" t="s">
        <v>23</v>
      </c>
    </row>
    <row r="133" spans="1:21" x14ac:dyDescent="0.25">
      <c r="A133" t="s">
        <v>317</v>
      </c>
      <c r="B133" t="s">
        <v>21</v>
      </c>
      <c r="C133" t="s">
        <v>22</v>
      </c>
      <c r="D133" t="s">
        <v>22</v>
      </c>
      <c r="E133" t="s">
        <v>23</v>
      </c>
      <c r="F133" t="s">
        <v>24</v>
      </c>
      <c r="G133" t="s">
        <v>25</v>
      </c>
      <c r="H133" t="s">
        <v>23</v>
      </c>
      <c r="I133" t="s">
        <v>26</v>
      </c>
      <c r="J133" t="s">
        <v>318</v>
      </c>
      <c r="K133">
        <v>-12.317458</v>
      </c>
      <c r="L133">
        <v>-76.824539999999999</v>
      </c>
      <c r="M133" t="str">
        <f>HYPERLINK("https://www.google.com/maps/search/?api=1&amp;query=-12.317458,-76.82454","Punta Hermosa, Lima")</f>
        <v>Punta Hermosa, Lima</v>
      </c>
      <c r="N133">
        <v>0</v>
      </c>
      <c r="O133">
        <v>100</v>
      </c>
      <c r="P133">
        <v>1580.9</v>
      </c>
      <c r="Q133" t="s">
        <v>319</v>
      </c>
      <c r="R133" t="s">
        <v>23</v>
      </c>
      <c r="S133" t="s">
        <v>23</v>
      </c>
      <c r="T133" t="s">
        <v>23</v>
      </c>
      <c r="U133" t="s">
        <v>23</v>
      </c>
    </row>
    <row r="134" spans="1:21" x14ac:dyDescent="0.25">
      <c r="A134" t="s">
        <v>320</v>
      </c>
      <c r="B134" t="s">
        <v>21</v>
      </c>
      <c r="C134" t="s">
        <v>22</v>
      </c>
      <c r="D134" t="s">
        <v>22</v>
      </c>
      <c r="E134" t="s">
        <v>23</v>
      </c>
      <c r="F134" t="s">
        <v>24</v>
      </c>
      <c r="G134" t="s">
        <v>25</v>
      </c>
      <c r="H134" t="s">
        <v>23</v>
      </c>
      <c r="I134" t="s">
        <v>26</v>
      </c>
      <c r="J134" t="s">
        <v>321</v>
      </c>
      <c r="K134">
        <v>-12.315951</v>
      </c>
      <c r="L134">
        <v>-76.825490000000002</v>
      </c>
      <c r="M134" t="str">
        <f>HYPERLINK("https://www.google.com/maps/search/?api=1&amp;query=-12.315951,-76.82549","Punta Hermosa, Lima")</f>
        <v>Punta Hermosa, Lima</v>
      </c>
      <c r="N134">
        <v>12.2</v>
      </c>
      <c r="O134">
        <v>100</v>
      </c>
      <c r="P134">
        <v>1581</v>
      </c>
      <c r="Q134" t="s">
        <v>322</v>
      </c>
      <c r="R134" t="s">
        <v>23</v>
      </c>
      <c r="S134" t="s">
        <v>23</v>
      </c>
      <c r="T134" t="s">
        <v>23</v>
      </c>
      <c r="U134" t="s">
        <v>23</v>
      </c>
    </row>
    <row r="135" spans="1:21" x14ac:dyDescent="0.25">
      <c r="A135" t="s">
        <v>323</v>
      </c>
      <c r="B135" t="s">
        <v>21</v>
      </c>
      <c r="C135" t="s">
        <v>22</v>
      </c>
      <c r="D135" t="s">
        <v>22</v>
      </c>
      <c r="E135" t="s">
        <v>23</v>
      </c>
      <c r="F135" t="s">
        <v>24</v>
      </c>
      <c r="G135" t="s">
        <v>25</v>
      </c>
      <c r="H135" t="s">
        <v>23</v>
      </c>
      <c r="I135" t="s">
        <v>26</v>
      </c>
      <c r="J135" t="s">
        <v>324</v>
      </c>
      <c r="K135">
        <v>-12.315327</v>
      </c>
      <c r="L135">
        <v>-76.825959999999995</v>
      </c>
      <c r="M135" t="str">
        <f>HYPERLINK("https://www.google.com/maps/search/?api=1&amp;query=-12.315327,-76.82596","Punta Hermosa, Lima")</f>
        <v>Punta Hermosa, Lima</v>
      </c>
      <c r="N135">
        <v>9.9</v>
      </c>
      <c r="O135">
        <v>100</v>
      </c>
      <c r="P135">
        <v>1581.2</v>
      </c>
      <c r="Q135" t="s">
        <v>322</v>
      </c>
      <c r="R135" t="s">
        <v>23</v>
      </c>
      <c r="S135" t="s">
        <v>23</v>
      </c>
      <c r="T135" t="s">
        <v>23</v>
      </c>
      <c r="U135" t="s">
        <v>23</v>
      </c>
    </row>
    <row r="136" spans="1:21" x14ac:dyDescent="0.25">
      <c r="A136" t="s">
        <v>325</v>
      </c>
      <c r="B136" t="s">
        <v>21</v>
      </c>
      <c r="C136" t="s">
        <v>22</v>
      </c>
      <c r="D136" t="s">
        <v>22</v>
      </c>
      <c r="E136" t="s">
        <v>23</v>
      </c>
      <c r="F136" t="s">
        <v>24</v>
      </c>
      <c r="G136" t="s">
        <v>25</v>
      </c>
      <c r="H136" t="s">
        <v>23</v>
      </c>
      <c r="I136" t="s">
        <v>26</v>
      </c>
      <c r="J136" t="s">
        <v>326</v>
      </c>
      <c r="K136">
        <v>-12.315397000000001</v>
      </c>
      <c r="L136">
        <v>-76.826194999999998</v>
      </c>
      <c r="M136" t="str">
        <f>HYPERLINK("https://www.google.com/maps/search/?api=1&amp;query=-12.315397,-76.826195","Punta Hermosa, Lima")</f>
        <v>Punta Hermosa, Lima</v>
      </c>
      <c r="N136">
        <v>10.6</v>
      </c>
      <c r="O136">
        <v>100</v>
      </c>
      <c r="P136">
        <v>1581.2</v>
      </c>
      <c r="Q136" t="s">
        <v>322</v>
      </c>
      <c r="R136" t="s">
        <v>23</v>
      </c>
      <c r="S136" t="s">
        <v>23</v>
      </c>
      <c r="T136" t="s">
        <v>23</v>
      </c>
      <c r="U136" t="s">
        <v>23</v>
      </c>
    </row>
    <row r="137" spans="1:21" x14ac:dyDescent="0.25">
      <c r="A137" t="s">
        <v>327</v>
      </c>
      <c r="B137" t="s">
        <v>21</v>
      </c>
      <c r="C137" t="s">
        <v>22</v>
      </c>
      <c r="D137" t="s">
        <v>22</v>
      </c>
      <c r="E137" t="s">
        <v>23</v>
      </c>
      <c r="F137" t="s">
        <v>24</v>
      </c>
      <c r="G137" t="s">
        <v>25</v>
      </c>
      <c r="H137" t="s">
        <v>23</v>
      </c>
      <c r="I137" t="s">
        <v>26</v>
      </c>
      <c r="J137" t="s">
        <v>328</v>
      </c>
      <c r="K137">
        <v>-12.315718</v>
      </c>
      <c r="L137">
        <v>-76.826750000000004</v>
      </c>
      <c r="M137" t="str">
        <f>HYPERLINK("https://www.google.com/maps/search/?api=1&amp;query=-12.315718,-76.82675","Punta Hermosa, Lima")</f>
        <v>Punta Hermosa, Lima</v>
      </c>
      <c r="N137">
        <v>9.6</v>
      </c>
      <c r="O137">
        <v>100</v>
      </c>
      <c r="P137">
        <v>1581.2</v>
      </c>
      <c r="Q137" t="s">
        <v>322</v>
      </c>
      <c r="R137" t="s">
        <v>23</v>
      </c>
      <c r="S137" t="s">
        <v>23</v>
      </c>
      <c r="T137" t="s">
        <v>23</v>
      </c>
      <c r="U137" t="s">
        <v>23</v>
      </c>
    </row>
    <row r="138" spans="1:21" x14ac:dyDescent="0.25">
      <c r="A138" t="s">
        <v>329</v>
      </c>
      <c r="B138" t="s">
        <v>21</v>
      </c>
      <c r="C138" t="s">
        <v>22</v>
      </c>
      <c r="D138" t="s">
        <v>22</v>
      </c>
      <c r="E138" t="s">
        <v>23</v>
      </c>
      <c r="F138" t="s">
        <v>24</v>
      </c>
      <c r="G138" t="s">
        <v>25</v>
      </c>
      <c r="H138" t="s">
        <v>23</v>
      </c>
      <c r="I138" t="s">
        <v>26</v>
      </c>
      <c r="J138" t="s">
        <v>330</v>
      </c>
      <c r="K138">
        <v>-12.316527000000001</v>
      </c>
      <c r="L138">
        <v>-76.828100000000006</v>
      </c>
      <c r="M138" t="str">
        <f>HYPERLINK("https://www.google.com/maps/search/?api=1&amp;query=-12.316527,-76.8281","Punta Hermosa, Lima")</f>
        <v>Punta Hermosa, Lima</v>
      </c>
      <c r="N138">
        <v>8.1999999999999993</v>
      </c>
      <c r="O138">
        <v>100</v>
      </c>
      <c r="P138">
        <v>1581.5</v>
      </c>
      <c r="Q138" t="s">
        <v>331</v>
      </c>
      <c r="R138" t="s">
        <v>23</v>
      </c>
      <c r="S138" t="s">
        <v>23</v>
      </c>
      <c r="T138" t="s">
        <v>23</v>
      </c>
      <c r="U138" t="s">
        <v>23</v>
      </c>
    </row>
    <row r="139" spans="1:21" x14ac:dyDescent="0.25">
      <c r="A139" t="s">
        <v>332</v>
      </c>
      <c r="B139" t="s">
        <v>21</v>
      </c>
      <c r="C139" t="s">
        <v>22</v>
      </c>
      <c r="D139" t="s">
        <v>22</v>
      </c>
      <c r="E139" t="s">
        <v>23</v>
      </c>
      <c r="F139" t="s">
        <v>24</v>
      </c>
      <c r="G139" t="s">
        <v>25</v>
      </c>
      <c r="H139" t="s">
        <v>23</v>
      </c>
      <c r="I139" t="s">
        <v>26</v>
      </c>
      <c r="J139" t="s">
        <v>333</v>
      </c>
      <c r="K139">
        <v>-12.317214</v>
      </c>
      <c r="L139">
        <v>-76.829254000000006</v>
      </c>
      <c r="M139" t="str">
        <f>HYPERLINK("https://www.google.com/maps/search/?api=1&amp;query=-12.317214,-76.829254","Punta Hermosa, Lima")</f>
        <v>Punta Hermosa, Lima</v>
      </c>
      <c r="N139">
        <v>0</v>
      </c>
      <c r="O139">
        <v>100</v>
      </c>
      <c r="P139">
        <v>1581.5</v>
      </c>
      <c r="Q139" t="s">
        <v>331</v>
      </c>
      <c r="R139" t="s">
        <v>23</v>
      </c>
      <c r="S139" t="s">
        <v>23</v>
      </c>
      <c r="T139" t="s">
        <v>23</v>
      </c>
      <c r="U139" t="s">
        <v>23</v>
      </c>
    </row>
    <row r="140" spans="1:21" x14ac:dyDescent="0.25">
      <c r="A140" t="s">
        <v>334</v>
      </c>
      <c r="B140" t="s">
        <v>21</v>
      </c>
      <c r="C140" t="s">
        <v>22</v>
      </c>
      <c r="D140" t="s">
        <v>22</v>
      </c>
      <c r="E140" t="s">
        <v>23</v>
      </c>
      <c r="F140" t="s">
        <v>24</v>
      </c>
      <c r="G140" t="s">
        <v>25</v>
      </c>
      <c r="H140" t="s">
        <v>23</v>
      </c>
      <c r="I140" t="s">
        <v>26</v>
      </c>
      <c r="J140" t="s">
        <v>335</v>
      </c>
      <c r="K140">
        <v>-12.317436000000001</v>
      </c>
      <c r="L140">
        <v>-76.829620000000006</v>
      </c>
      <c r="M140" t="str">
        <f>HYPERLINK("https://www.google.com/maps/search/?api=1&amp;query=-12.317436,-76.82962","Punta Hermosa, Lima")</f>
        <v>Punta Hermosa, Lima</v>
      </c>
      <c r="N140">
        <v>11.8</v>
      </c>
      <c r="O140">
        <v>100</v>
      </c>
      <c r="P140">
        <v>1581.7</v>
      </c>
      <c r="Q140" t="s">
        <v>331</v>
      </c>
      <c r="R140" t="s">
        <v>23</v>
      </c>
      <c r="S140" t="s">
        <v>23</v>
      </c>
      <c r="T140" t="s">
        <v>23</v>
      </c>
      <c r="U140" t="s">
        <v>23</v>
      </c>
    </row>
    <row r="141" spans="1:21" x14ac:dyDescent="0.25">
      <c r="A141" t="s">
        <v>336</v>
      </c>
      <c r="B141" t="s">
        <v>21</v>
      </c>
      <c r="C141" t="s">
        <v>22</v>
      </c>
      <c r="D141" t="s">
        <v>22</v>
      </c>
      <c r="E141" t="s">
        <v>23</v>
      </c>
      <c r="F141" t="s">
        <v>24</v>
      </c>
      <c r="G141" t="s">
        <v>25</v>
      </c>
      <c r="H141" t="s">
        <v>23</v>
      </c>
      <c r="I141" t="s">
        <v>26</v>
      </c>
      <c r="J141" t="s">
        <v>337</v>
      </c>
      <c r="K141">
        <v>-12.317463999999999</v>
      </c>
      <c r="L141">
        <v>-76.829864999999998</v>
      </c>
      <c r="M141" t="str">
        <f>HYPERLINK("https://www.google.com/maps/search/?api=1&amp;query=-12.317464,-76.829865","Punta Hermosa, Lima")</f>
        <v>Punta Hermosa, Lima</v>
      </c>
      <c r="N141">
        <v>14.4</v>
      </c>
      <c r="O141">
        <v>100</v>
      </c>
      <c r="P141">
        <v>1581.7</v>
      </c>
      <c r="Q141" t="s">
        <v>331</v>
      </c>
      <c r="R141" t="s">
        <v>338</v>
      </c>
      <c r="S141" t="s">
        <v>222</v>
      </c>
      <c r="T141" t="s">
        <v>223</v>
      </c>
      <c r="U141" t="s">
        <v>23</v>
      </c>
    </row>
    <row r="142" spans="1:21" x14ac:dyDescent="0.25">
      <c r="A142" t="s">
        <v>339</v>
      </c>
      <c r="B142" t="s">
        <v>21</v>
      </c>
      <c r="C142" t="s">
        <v>22</v>
      </c>
      <c r="D142" t="s">
        <v>22</v>
      </c>
      <c r="E142" t="s">
        <v>23</v>
      </c>
      <c r="F142" t="s">
        <v>24</v>
      </c>
      <c r="G142" t="s">
        <v>25</v>
      </c>
      <c r="H142" t="s">
        <v>23</v>
      </c>
      <c r="I142" t="s">
        <v>26</v>
      </c>
      <c r="J142" t="s">
        <v>337</v>
      </c>
      <c r="K142">
        <v>-12.317463999999999</v>
      </c>
      <c r="L142">
        <v>-76.829864999999998</v>
      </c>
      <c r="M142" t="str">
        <f>HYPERLINK("https://www.google.com/maps/search/?api=1&amp;query=-12.317464,-76.829865","Punta Hermosa, Lima")</f>
        <v>Punta Hermosa, Lima</v>
      </c>
      <c r="N142">
        <v>14.4</v>
      </c>
      <c r="O142">
        <v>100</v>
      </c>
      <c r="P142">
        <v>1581.7</v>
      </c>
      <c r="Q142" t="s">
        <v>331</v>
      </c>
      <c r="R142" t="s">
        <v>23</v>
      </c>
      <c r="S142" t="s">
        <v>23</v>
      </c>
      <c r="T142" t="s">
        <v>23</v>
      </c>
      <c r="U142" t="s">
        <v>23</v>
      </c>
    </row>
    <row r="143" spans="1:21" x14ac:dyDescent="0.25">
      <c r="A143" t="s">
        <v>340</v>
      </c>
      <c r="B143" t="s">
        <v>21</v>
      </c>
      <c r="C143" t="s">
        <v>22</v>
      </c>
      <c r="D143" t="s">
        <v>22</v>
      </c>
      <c r="E143" t="s">
        <v>23</v>
      </c>
      <c r="F143" t="s">
        <v>24</v>
      </c>
      <c r="G143" t="s">
        <v>25</v>
      </c>
      <c r="H143" t="s">
        <v>23</v>
      </c>
      <c r="I143" t="s">
        <v>26</v>
      </c>
      <c r="J143" t="s">
        <v>341</v>
      </c>
      <c r="K143">
        <v>-12.317254999999999</v>
      </c>
      <c r="L143">
        <v>-76.830376000000001</v>
      </c>
      <c r="M143" t="str">
        <f>HYPERLINK("https://www.google.com/maps/search/?api=1&amp;query=-12.317255,-76.830376","Carretera Panamericana Sur, Punta Hermosa, Lima")</f>
        <v>Carretera Panamericana Sur, Punta Hermosa, Lima</v>
      </c>
      <c r="N143">
        <v>19.7</v>
      </c>
      <c r="O143">
        <v>100</v>
      </c>
      <c r="P143">
        <v>1581.7</v>
      </c>
      <c r="Q143" t="s">
        <v>331</v>
      </c>
      <c r="R143" t="s">
        <v>23</v>
      </c>
      <c r="S143" t="s">
        <v>23</v>
      </c>
      <c r="T143" t="s">
        <v>23</v>
      </c>
      <c r="U143" t="s">
        <v>23</v>
      </c>
    </row>
    <row r="144" spans="1:21" x14ac:dyDescent="0.25">
      <c r="A144" t="s">
        <v>342</v>
      </c>
      <c r="B144" t="s">
        <v>21</v>
      </c>
      <c r="C144" t="s">
        <v>22</v>
      </c>
      <c r="D144" t="s">
        <v>22</v>
      </c>
      <c r="E144" t="s">
        <v>23</v>
      </c>
      <c r="F144" t="s">
        <v>24</v>
      </c>
      <c r="G144" t="s">
        <v>25</v>
      </c>
      <c r="H144" t="s">
        <v>23</v>
      </c>
      <c r="I144" t="s">
        <v>26</v>
      </c>
      <c r="J144" t="s">
        <v>343</v>
      </c>
      <c r="K144">
        <v>-12.314982000000001</v>
      </c>
      <c r="L144">
        <v>-76.832139999999995</v>
      </c>
      <c r="M144" t="str">
        <f>HYPERLINK("https://www.google.com/maps/search/?api=1&amp;query=-12.314982,-76.83214","Carretera Panamericana Sur, Punta Hermosa, Lima")</f>
        <v>Carretera Panamericana Sur, Punta Hermosa, Lima</v>
      </c>
      <c r="N144">
        <v>39.5</v>
      </c>
      <c r="O144">
        <v>100</v>
      </c>
      <c r="P144">
        <v>1582.1</v>
      </c>
      <c r="Q144" t="s">
        <v>344</v>
      </c>
      <c r="R144" t="s">
        <v>23</v>
      </c>
      <c r="S144" t="s">
        <v>23</v>
      </c>
      <c r="T144" t="s">
        <v>23</v>
      </c>
      <c r="U144" t="s">
        <v>23</v>
      </c>
    </row>
    <row r="145" spans="1:21" x14ac:dyDescent="0.25">
      <c r="A145" t="s">
        <v>345</v>
      </c>
      <c r="B145" t="s">
        <v>21</v>
      </c>
      <c r="C145" t="s">
        <v>22</v>
      </c>
      <c r="D145" t="s">
        <v>22</v>
      </c>
      <c r="E145" t="s">
        <v>23</v>
      </c>
      <c r="F145" t="s">
        <v>24</v>
      </c>
      <c r="G145" t="s">
        <v>25</v>
      </c>
      <c r="H145" t="s">
        <v>23</v>
      </c>
      <c r="I145" t="s">
        <v>26</v>
      </c>
      <c r="J145" t="s">
        <v>346</v>
      </c>
      <c r="K145">
        <v>-12.308896000000001</v>
      </c>
      <c r="L145">
        <v>-76.83623</v>
      </c>
      <c r="M145" t="str">
        <f>HYPERLINK("https://www.google.com/maps/search/?api=1&amp;query=-12.308896,-76.83623","Carretera Panamericana Sur, Punta Hermosa, Lima")</f>
        <v>Carretera Panamericana Sur, Punta Hermosa, Lima</v>
      </c>
      <c r="N145">
        <v>50</v>
      </c>
      <c r="O145">
        <v>100</v>
      </c>
      <c r="P145">
        <v>1582.1</v>
      </c>
      <c r="Q145" t="s">
        <v>344</v>
      </c>
      <c r="R145" t="s">
        <v>23</v>
      </c>
      <c r="S145" t="s">
        <v>23</v>
      </c>
      <c r="T145" t="s">
        <v>23</v>
      </c>
      <c r="U145" t="s">
        <v>23</v>
      </c>
    </row>
    <row r="146" spans="1:21" x14ac:dyDescent="0.25">
      <c r="A146" t="s">
        <v>347</v>
      </c>
      <c r="B146" t="s">
        <v>21</v>
      </c>
      <c r="C146" t="s">
        <v>22</v>
      </c>
      <c r="D146" t="s">
        <v>22</v>
      </c>
      <c r="E146" t="s">
        <v>23</v>
      </c>
      <c r="F146" t="s">
        <v>24</v>
      </c>
      <c r="G146" t="s">
        <v>25</v>
      </c>
      <c r="H146" t="s">
        <v>23</v>
      </c>
      <c r="I146" t="s">
        <v>26</v>
      </c>
      <c r="J146" t="s">
        <v>348</v>
      </c>
      <c r="K146">
        <v>-12.303528</v>
      </c>
      <c r="L146">
        <v>-76.841549999999998</v>
      </c>
      <c r="M146" t="str">
        <f>HYPERLINK("https://www.google.com/maps/search/?api=1&amp;query=-12.303528,-76.84155","Carretera Panamericana Sur, Lurín, Lima")</f>
        <v>Carretera Panamericana Sur, Lurín, Lima</v>
      </c>
      <c r="N146">
        <v>51</v>
      </c>
      <c r="O146">
        <v>100</v>
      </c>
      <c r="P146">
        <v>1582.9</v>
      </c>
      <c r="Q146" t="s">
        <v>344</v>
      </c>
      <c r="R146" t="s">
        <v>23</v>
      </c>
      <c r="S146" t="s">
        <v>23</v>
      </c>
      <c r="T146" t="s">
        <v>23</v>
      </c>
      <c r="U146" t="s">
        <v>23</v>
      </c>
    </row>
    <row r="147" spans="1:21" x14ac:dyDescent="0.25">
      <c r="A147" t="s">
        <v>349</v>
      </c>
      <c r="B147" t="s">
        <v>21</v>
      </c>
      <c r="C147" t="s">
        <v>22</v>
      </c>
      <c r="D147" t="s">
        <v>22</v>
      </c>
      <c r="E147" t="s">
        <v>23</v>
      </c>
      <c r="F147" t="s">
        <v>24</v>
      </c>
      <c r="G147" t="s">
        <v>25</v>
      </c>
      <c r="H147" t="s">
        <v>23</v>
      </c>
      <c r="I147" t="s">
        <v>26</v>
      </c>
      <c r="J147" t="s">
        <v>350</v>
      </c>
      <c r="K147">
        <v>-12.29992</v>
      </c>
      <c r="L147">
        <v>-76.849074999999999</v>
      </c>
      <c r="M147" t="str">
        <f>HYPERLINK("https://www.google.com/maps/search/?api=1&amp;query=-12.29992,-76.849075","Carretera Panamericana Sur, Lurín, Lima")</f>
        <v>Carretera Panamericana Sur, Lurín, Lima</v>
      </c>
      <c r="N147">
        <v>52.4</v>
      </c>
      <c r="O147">
        <v>100</v>
      </c>
      <c r="P147">
        <v>1583.8</v>
      </c>
      <c r="Q147" t="s">
        <v>344</v>
      </c>
      <c r="R147" t="s">
        <v>23</v>
      </c>
      <c r="S147" t="s">
        <v>23</v>
      </c>
      <c r="T147" t="s">
        <v>23</v>
      </c>
      <c r="U147" t="s">
        <v>23</v>
      </c>
    </row>
    <row r="148" spans="1:21" x14ac:dyDescent="0.25">
      <c r="A148" t="s">
        <v>351</v>
      </c>
      <c r="B148" t="s">
        <v>21</v>
      </c>
      <c r="C148" t="s">
        <v>22</v>
      </c>
      <c r="D148" t="s">
        <v>22</v>
      </c>
      <c r="E148" t="s">
        <v>23</v>
      </c>
      <c r="F148" t="s">
        <v>24</v>
      </c>
      <c r="G148" t="s">
        <v>25</v>
      </c>
      <c r="H148" t="s">
        <v>23</v>
      </c>
      <c r="I148" t="s">
        <v>26</v>
      </c>
      <c r="J148" t="s">
        <v>352</v>
      </c>
      <c r="K148">
        <v>-12.296279</v>
      </c>
      <c r="L148">
        <v>-76.857253999999998</v>
      </c>
      <c r="M148" t="str">
        <f>HYPERLINK("https://www.google.com/maps/search/?api=1&amp;query=-12.296279,-76.857254","Carretera Panamericana Sur, Lurín, Lima")</f>
        <v>Carretera Panamericana Sur, Lurín, Lima</v>
      </c>
      <c r="N148">
        <v>57.7</v>
      </c>
      <c r="O148">
        <v>100</v>
      </c>
      <c r="P148">
        <v>1584.7</v>
      </c>
      <c r="Q148" t="s">
        <v>353</v>
      </c>
      <c r="R148" t="s">
        <v>23</v>
      </c>
      <c r="S148" t="s">
        <v>23</v>
      </c>
      <c r="T148" t="s">
        <v>23</v>
      </c>
      <c r="U148" t="s">
        <v>23</v>
      </c>
    </row>
    <row r="149" spans="1:21" x14ac:dyDescent="0.25">
      <c r="A149" t="s">
        <v>354</v>
      </c>
      <c r="B149" t="s">
        <v>21</v>
      </c>
      <c r="C149" t="s">
        <v>22</v>
      </c>
      <c r="D149" t="s">
        <v>22</v>
      </c>
      <c r="E149" t="s">
        <v>23</v>
      </c>
      <c r="F149" t="s">
        <v>24</v>
      </c>
      <c r="G149" t="s">
        <v>25</v>
      </c>
      <c r="H149" t="s">
        <v>23</v>
      </c>
      <c r="I149" t="s">
        <v>26</v>
      </c>
      <c r="J149" t="s">
        <v>355</v>
      </c>
      <c r="K149">
        <v>-12.291679</v>
      </c>
      <c r="L149">
        <v>-76.864840000000001</v>
      </c>
      <c r="M149" t="str">
        <f>HYPERLINK("https://www.google.com/maps/search/?api=1&amp;query=-12.291679,-76.86484","Carretera Panamericana Sur, Lurín, Lima")</f>
        <v>Carretera Panamericana Sur, Lurín, Lima</v>
      </c>
      <c r="N149">
        <v>52.3</v>
      </c>
      <c r="O149">
        <v>100</v>
      </c>
      <c r="P149">
        <v>1586.6</v>
      </c>
      <c r="Q149" t="s">
        <v>356</v>
      </c>
      <c r="R149" t="s">
        <v>23</v>
      </c>
      <c r="S149" t="s">
        <v>23</v>
      </c>
      <c r="T149" t="s">
        <v>23</v>
      </c>
      <c r="U149" t="s">
        <v>23</v>
      </c>
    </row>
    <row r="150" spans="1:21" x14ac:dyDescent="0.25">
      <c r="A150" t="s">
        <v>357</v>
      </c>
      <c r="B150" t="s">
        <v>21</v>
      </c>
      <c r="C150" t="s">
        <v>22</v>
      </c>
      <c r="D150" t="s">
        <v>22</v>
      </c>
      <c r="E150" t="s">
        <v>23</v>
      </c>
      <c r="F150" t="s">
        <v>24</v>
      </c>
      <c r="G150" t="s">
        <v>25</v>
      </c>
      <c r="H150" t="s">
        <v>23</v>
      </c>
      <c r="I150" t="s">
        <v>26</v>
      </c>
      <c r="J150" t="s">
        <v>358</v>
      </c>
      <c r="K150">
        <v>-12.287379</v>
      </c>
      <c r="L150">
        <v>-76.871703999999994</v>
      </c>
      <c r="M150" t="str">
        <f>HYPERLINK("https://www.google.com/maps/search/?api=1&amp;query=-12.287379,-76.871704","Carretera Panamericana Sur, Lurín, Lima")</f>
        <v>Carretera Panamericana Sur, Lurín, Lima</v>
      </c>
      <c r="N150">
        <v>58.7</v>
      </c>
      <c r="O150">
        <v>100</v>
      </c>
      <c r="P150">
        <v>1586.6</v>
      </c>
      <c r="Q150" t="s">
        <v>356</v>
      </c>
      <c r="R150" t="s">
        <v>23</v>
      </c>
      <c r="S150" t="s">
        <v>23</v>
      </c>
      <c r="T150" t="s">
        <v>23</v>
      </c>
      <c r="U150" t="s">
        <v>23</v>
      </c>
    </row>
    <row r="151" spans="1:21" x14ac:dyDescent="0.25">
      <c r="A151" t="s">
        <v>359</v>
      </c>
      <c r="B151" t="s">
        <v>21</v>
      </c>
      <c r="C151" t="s">
        <v>22</v>
      </c>
      <c r="D151" t="s">
        <v>22</v>
      </c>
      <c r="E151" t="s">
        <v>23</v>
      </c>
      <c r="F151" t="s">
        <v>24</v>
      </c>
      <c r="G151" t="s">
        <v>25</v>
      </c>
      <c r="H151" t="s">
        <v>23</v>
      </c>
      <c r="I151" t="s">
        <v>26</v>
      </c>
      <c r="J151" t="s">
        <v>360</v>
      </c>
      <c r="K151">
        <v>-12.282519000000001</v>
      </c>
      <c r="L151">
        <v>-76.879456000000005</v>
      </c>
      <c r="M151" t="str">
        <f>HYPERLINK("https://www.google.com/maps/search/?api=1&amp;query=-12.282519,-76.879456","Carretera Panamericana Sur, Lurín, Lima")</f>
        <v>Carretera Panamericana Sur, Lurín, Lima</v>
      </c>
      <c r="N151">
        <v>60.3</v>
      </c>
      <c r="O151">
        <v>100</v>
      </c>
      <c r="P151">
        <v>1587.5</v>
      </c>
      <c r="Q151" t="s">
        <v>356</v>
      </c>
      <c r="R151" t="s">
        <v>23</v>
      </c>
      <c r="S151" t="s">
        <v>23</v>
      </c>
      <c r="T151" t="s">
        <v>23</v>
      </c>
      <c r="U151" t="s">
        <v>23</v>
      </c>
    </row>
    <row r="152" spans="1:21" x14ac:dyDescent="0.25">
      <c r="A152" t="s">
        <v>361</v>
      </c>
      <c r="B152" t="s">
        <v>21</v>
      </c>
      <c r="C152" t="s">
        <v>22</v>
      </c>
      <c r="D152" t="s">
        <v>22</v>
      </c>
      <c r="E152" t="s">
        <v>23</v>
      </c>
      <c r="F152" t="s">
        <v>24</v>
      </c>
      <c r="G152" t="s">
        <v>25</v>
      </c>
      <c r="H152" t="s">
        <v>23</v>
      </c>
      <c r="I152" t="s">
        <v>26</v>
      </c>
      <c r="J152" t="s">
        <v>362</v>
      </c>
      <c r="K152">
        <v>-12.277927999999999</v>
      </c>
      <c r="L152">
        <v>-76.886750000000006</v>
      </c>
      <c r="M152" t="str">
        <f>HYPERLINK("https://www.google.com/maps/search/?api=1&amp;query=-12.277928,-76.88675","Carretera Panamericana Sur, Lurín, Lima")</f>
        <v>Carretera Panamericana Sur, Lurín, Lima</v>
      </c>
      <c r="N152">
        <v>54.3</v>
      </c>
      <c r="O152">
        <v>100</v>
      </c>
      <c r="P152">
        <v>1589.5</v>
      </c>
      <c r="Q152" t="s">
        <v>363</v>
      </c>
      <c r="R152" t="s">
        <v>23</v>
      </c>
      <c r="S152" t="s">
        <v>23</v>
      </c>
      <c r="T152" t="s">
        <v>23</v>
      </c>
      <c r="U152" t="s">
        <v>23</v>
      </c>
    </row>
    <row r="153" spans="1:21" x14ac:dyDescent="0.25">
      <c r="A153" t="s">
        <v>364</v>
      </c>
      <c r="B153" t="s">
        <v>21</v>
      </c>
      <c r="C153" t="s">
        <v>22</v>
      </c>
      <c r="D153" t="s">
        <v>22</v>
      </c>
      <c r="E153" t="s">
        <v>23</v>
      </c>
      <c r="F153" t="s">
        <v>24</v>
      </c>
      <c r="G153" t="s">
        <v>25</v>
      </c>
      <c r="H153" t="s">
        <v>23</v>
      </c>
      <c r="I153" t="s">
        <v>26</v>
      </c>
      <c r="J153" t="s">
        <v>365</v>
      </c>
      <c r="K153">
        <v>-12.272930000000001</v>
      </c>
      <c r="L153">
        <v>-76.894739999999999</v>
      </c>
      <c r="M153" t="str">
        <f>HYPERLINK("https://www.google.com/maps/search/?api=1&amp;query=-12.27293,-76.89474","Carretera Panamericana Sur, Lurín, Lima")</f>
        <v>Carretera Panamericana Sur, Lurín, Lima</v>
      </c>
      <c r="N153">
        <v>66.900000000000006</v>
      </c>
      <c r="O153">
        <v>100</v>
      </c>
      <c r="P153">
        <v>1590.6</v>
      </c>
      <c r="Q153" t="s">
        <v>363</v>
      </c>
      <c r="R153" t="s">
        <v>23</v>
      </c>
      <c r="S153" t="s">
        <v>23</v>
      </c>
      <c r="T153" t="s">
        <v>23</v>
      </c>
      <c r="U153" t="s">
        <v>23</v>
      </c>
    </row>
    <row r="154" spans="1:21" x14ac:dyDescent="0.25">
      <c r="A154" t="s">
        <v>366</v>
      </c>
      <c r="B154" t="s">
        <v>21</v>
      </c>
      <c r="C154" t="s">
        <v>22</v>
      </c>
      <c r="D154" t="s">
        <v>22</v>
      </c>
      <c r="E154" t="s">
        <v>23</v>
      </c>
      <c r="F154" t="s">
        <v>24</v>
      </c>
      <c r="G154" t="s">
        <v>25</v>
      </c>
      <c r="H154" t="s">
        <v>23</v>
      </c>
      <c r="I154" t="s">
        <v>26</v>
      </c>
      <c r="J154" t="s">
        <v>367</v>
      </c>
      <c r="K154">
        <v>-12.267426</v>
      </c>
      <c r="L154">
        <v>-76.903509999999997</v>
      </c>
      <c r="M154" t="str">
        <f>HYPERLINK("https://www.google.com/maps/search/?api=1&amp;query=-12.267426,-76.90351","Carretera Panamericana Sur, Lurín, Lima")</f>
        <v>Carretera Panamericana Sur, Lurín, Lima</v>
      </c>
      <c r="N154">
        <v>70.400000000000006</v>
      </c>
      <c r="O154">
        <v>100</v>
      </c>
      <c r="P154">
        <v>1591.7</v>
      </c>
      <c r="Q154" t="s">
        <v>368</v>
      </c>
      <c r="R154" t="s">
        <v>23</v>
      </c>
      <c r="S154" t="s">
        <v>23</v>
      </c>
      <c r="T154" t="s">
        <v>23</v>
      </c>
      <c r="U154" t="s">
        <v>23</v>
      </c>
    </row>
    <row r="155" spans="1:21" x14ac:dyDescent="0.25">
      <c r="A155" t="s">
        <v>369</v>
      </c>
      <c r="B155" t="s">
        <v>21</v>
      </c>
      <c r="C155" t="s">
        <v>22</v>
      </c>
      <c r="D155" t="s">
        <v>22</v>
      </c>
      <c r="E155" t="s">
        <v>23</v>
      </c>
      <c r="F155" t="s">
        <v>24</v>
      </c>
      <c r="G155" t="s">
        <v>25</v>
      </c>
      <c r="H155" t="s">
        <v>23</v>
      </c>
      <c r="I155" t="s">
        <v>26</v>
      </c>
      <c r="J155" t="s">
        <v>370</v>
      </c>
      <c r="K155">
        <v>-12.261623</v>
      </c>
      <c r="L155">
        <v>-76.912729999999996</v>
      </c>
      <c r="M155" t="str">
        <f>HYPERLINK("https://www.google.com/maps/search/?api=1&amp;query=-12.261623,-76.91273","Carretera Panamericana Sur, Lurín, Lima")</f>
        <v>Carretera Panamericana Sur, Lurín, Lima</v>
      </c>
      <c r="N155">
        <v>72.599999999999994</v>
      </c>
      <c r="O155">
        <v>100</v>
      </c>
      <c r="P155">
        <v>1591.7</v>
      </c>
      <c r="Q155" t="s">
        <v>368</v>
      </c>
      <c r="R155" t="s">
        <v>23</v>
      </c>
      <c r="S155" t="s">
        <v>23</v>
      </c>
      <c r="T155" t="s">
        <v>23</v>
      </c>
      <c r="U155" t="s">
        <v>23</v>
      </c>
    </row>
    <row r="156" spans="1:21" x14ac:dyDescent="0.25">
      <c r="A156" t="s">
        <v>371</v>
      </c>
      <c r="B156" t="s">
        <v>21</v>
      </c>
      <c r="C156" t="s">
        <v>22</v>
      </c>
      <c r="D156" t="s">
        <v>22</v>
      </c>
      <c r="E156" t="s">
        <v>23</v>
      </c>
      <c r="F156" t="s">
        <v>24</v>
      </c>
      <c r="G156" t="s">
        <v>25</v>
      </c>
      <c r="H156" t="s">
        <v>23</v>
      </c>
      <c r="I156" t="s">
        <v>26</v>
      </c>
      <c r="J156" t="s">
        <v>372</v>
      </c>
      <c r="K156">
        <v>-12.255751999999999</v>
      </c>
      <c r="L156">
        <v>-76.922089999999997</v>
      </c>
      <c r="M156" t="str">
        <f>HYPERLINK("https://www.google.com/maps/search/?api=1&amp;query=-12.255752,-76.92209","Carretera Panamericana Sur, Lurín, Lima")</f>
        <v>Carretera Panamericana Sur, Lurín, Lima</v>
      </c>
      <c r="N156">
        <v>72.7</v>
      </c>
      <c r="O156">
        <v>100</v>
      </c>
      <c r="P156">
        <v>1592.9</v>
      </c>
      <c r="Q156" t="s">
        <v>373</v>
      </c>
      <c r="R156" t="s">
        <v>23</v>
      </c>
      <c r="S156" t="s">
        <v>23</v>
      </c>
      <c r="T156" t="s">
        <v>23</v>
      </c>
      <c r="U156" t="s">
        <v>23</v>
      </c>
    </row>
    <row r="157" spans="1:21" x14ac:dyDescent="0.25">
      <c r="A157" t="s">
        <v>374</v>
      </c>
      <c r="B157" t="s">
        <v>21</v>
      </c>
      <c r="C157" t="s">
        <v>22</v>
      </c>
      <c r="D157" t="s">
        <v>22</v>
      </c>
      <c r="E157" t="s">
        <v>23</v>
      </c>
      <c r="F157" t="s">
        <v>24</v>
      </c>
      <c r="G157" t="s">
        <v>25</v>
      </c>
      <c r="H157" t="s">
        <v>23</v>
      </c>
      <c r="I157" t="s">
        <v>26</v>
      </c>
      <c r="J157" t="s">
        <v>375</v>
      </c>
      <c r="K157">
        <v>-12.249961000000001</v>
      </c>
      <c r="L157">
        <v>-76.931045999999995</v>
      </c>
      <c r="M157" t="str">
        <f>HYPERLINK("https://www.google.com/maps/search/?api=1&amp;query=-12.249961,-76.931046","Carretera Panamericana Sur, Lurín, Lima")</f>
        <v>Carretera Panamericana Sur, Lurín, Lima</v>
      </c>
      <c r="N157">
        <v>74.3</v>
      </c>
      <c r="O157">
        <v>100</v>
      </c>
      <c r="P157">
        <v>1595.3</v>
      </c>
      <c r="Q157" t="s">
        <v>376</v>
      </c>
      <c r="R157" t="s">
        <v>23</v>
      </c>
      <c r="S157" t="s">
        <v>23</v>
      </c>
      <c r="T157" t="s">
        <v>23</v>
      </c>
      <c r="U157" t="s">
        <v>23</v>
      </c>
    </row>
    <row r="158" spans="1:21" x14ac:dyDescent="0.25">
      <c r="A158" t="s">
        <v>377</v>
      </c>
      <c r="B158" t="s">
        <v>21</v>
      </c>
      <c r="C158" t="s">
        <v>22</v>
      </c>
      <c r="D158" t="s">
        <v>22</v>
      </c>
      <c r="E158" t="s">
        <v>23</v>
      </c>
      <c r="F158" t="s">
        <v>24</v>
      </c>
      <c r="G158" t="s">
        <v>25</v>
      </c>
      <c r="H158" t="s">
        <v>23</v>
      </c>
      <c r="I158" t="s">
        <v>26</v>
      </c>
      <c r="J158" t="s">
        <v>378</v>
      </c>
      <c r="K158">
        <v>-12.24396</v>
      </c>
      <c r="L158">
        <v>-76.940799999999996</v>
      </c>
      <c r="M158" t="str">
        <f>HYPERLINK("https://www.google.com/maps/search/?api=1&amp;query=-12.24396,-76.9408","Carretera Panamericana Sur, Villa El Salvador, Lima")</f>
        <v>Carretera Panamericana Sur, Villa El Salvador, Lima</v>
      </c>
      <c r="N158">
        <v>75.3</v>
      </c>
      <c r="O158">
        <v>100</v>
      </c>
      <c r="P158">
        <v>1595.3</v>
      </c>
      <c r="Q158" t="s">
        <v>376</v>
      </c>
      <c r="R158" t="s">
        <v>23</v>
      </c>
      <c r="S158" t="s">
        <v>23</v>
      </c>
      <c r="T158" t="s">
        <v>23</v>
      </c>
      <c r="U158" t="s">
        <v>23</v>
      </c>
    </row>
    <row r="159" spans="1:21" x14ac:dyDescent="0.25">
      <c r="A159" t="s">
        <v>379</v>
      </c>
      <c r="B159" t="s">
        <v>21</v>
      </c>
      <c r="C159" t="s">
        <v>22</v>
      </c>
      <c r="D159" t="s">
        <v>22</v>
      </c>
      <c r="E159" t="s">
        <v>23</v>
      </c>
      <c r="F159" t="s">
        <v>24</v>
      </c>
      <c r="G159" t="s">
        <v>25</v>
      </c>
      <c r="H159" t="s">
        <v>23</v>
      </c>
      <c r="I159" t="s">
        <v>26</v>
      </c>
      <c r="J159" t="s">
        <v>380</v>
      </c>
      <c r="K159">
        <v>-12.239333999999999</v>
      </c>
      <c r="L159">
        <v>-76.949714999999998</v>
      </c>
      <c r="M159" t="str">
        <f>HYPERLINK("https://www.google.com/maps/search/?api=1&amp;query=-12.239334,-76.949715","Carretera Panamericana Sur, Villa El Salvador, Lima")</f>
        <v>Carretera Panamericana Sur, Villa El Salvador, Lima</v>
      </c>
      <c r="N159">
        <v>67.8</v>
      </c>
      <c r="O159">
        <v>100</v>
      </c>
      <c r="P159">
        <v>1596.6</v>
      </c>
      <c r="Q159" t="s">
        <v>381</v>
      </c>
      <c r="R159" t="s">
        <v>23</v>
      </c>
      <c r="S159" t="s">
        <v>23</v>
      </c>
      <c r="T159" t="s">
        <v>23</v>
      </c>
      <c r="U159" t="s">
        <v>23</v>
      </c>
    </row>
    <row r="160" spans="1:21" x14ac:dyDescent="0.25">
      <c r="A160" t="s">
        <v>382</v>
      </c>
      <c r="B160" t="s">
        <v>21</v>
      </c>
      <c r="C160" t="s">
        <v>22</v>
      </c>
      <c r="D160" t="s">
        <v>22</v>
      </c>
      <c r="E160" t="s">
        <v>23</v>
      </c>
      <c r="F160" t="s">
        <v>24</v>
      </c>
      <c r="G160" t="s">
        <v>25</v>
      </c>
      <c r="H160" t="s">
        <v>23</v>
      </c>
      <c r="I160" t="s">
        <v>26</v>
      </c>
      <c r="J160" t="s">
        <v>383</v>
      </c>
      <c r="K160">
        <v>-12.234546999999999</v>
      </c>
      <c r="L160">
        <v>-76.958950000000002</v>
      </c>
      <c r="M160" t="str">
        <f>HYPERLINK("https://www.google.com/maps/search/?api=1&amp;query=-12.234547,-76.95895","Carretera Panamericana Sur, Villa El Salvador, Lima")</f>
        <v>Carretera Panamericana Sur, Villa El Salvador, Lima</v>
      </c>
      <c r="N160">
        <v>73</v>
      </c>
      <c r="O160">
        <v>100</v>
      </c>
      <c r="P160">
        <v>1597.6</v>
      </c>
      <c r="Q160" t="s">
        <v>384</v>
      </c>
      <c r="R160" t="s">
        <v>23</v>
      </c>
      <c r="S160" t="s">
        <v>23</v>
      </c>
      <c r="T160" t="s">
        <v>23</v>
      </c>
      <c r="U160" t="s">
        <v>23</v>
      </c>
    </row>
    <row r="161" spans="1:21" x14ac:dyDescent="0.25">
      <c r="A161" t="s">
        <v>385</v>
      </c>
      <c r="B161" t="s">
        <v>21</v>
      </c>
      <c r="C161" t="s">
        <v>22</v>
      </c>
      <c r="D161" t="s">
        <v>22</v>
      </c>
      <c r="E161" t="s">
        <v>23</v>
      </c>
      <c r="F161" t="s">
        <v>24</v>
      </c>
      <c r="G161" t="s">
        <v>25</v>
      </c>
      <c r="H161" t="s">
        <v>23</v>
      </c>
      <c r="I161" t="s">
        <v>26</v>
      </c>
      <c r="J161" t="s">
        <v>386</v>
      </c>
      <c r="K161">
        <v>-12.229499000000001</v>
      </c>
      <c r="L161">
        <v>-76.967560000000006</v>
      </c>
      <c r="M161" t="str">
        <f>HYPERLINK("https://www.google.com/maps/search/?api=1&amp;query=-12.229499,-76.96756","Carretera Panamericana Sur, Villa El Salvador, Lima")</f>
        <v>Carretera Panamericana Sur, Villa El Salvador, Lima</v>
      </c>
      <c r="N161">
        <v>70.599999999999994</v>
      </c>
      <c r="O161">
        <v>100</v>
      </c>
      <c r="P161">
        <v>1598.8</v>
      </c>
      <c r="Q161" t="s">
        <v>384</v>
      </c>
      <c r="R161" t="s">
        <v>23</v>
      </c>
      <c r="S161" t="s">
        <v>23</v>
      </c>
      <c r="T161" t="s">
        <v>23</v>
      </c>
      <c r="U161" t="s">
        <v>23</v>
      </c>
    </row>
    <row r="162" spans="1:21" x14ac:dyDescent="0.25">
      <c r="A162" t="s">
        <v>387</v>
      </c>
      <c r="B162" t="s">
        <v>21</v>
      </c>
      <c r="C162" t="s">
        <v>22</v>
      </c>
      <c r="D162" t="s">
        <v>22</v>
      </c>
      <c r="E162" t="s">
        <v>23</v>
      </c>
      <c r="F162" t="s">
        <v>24</v>
      </c>
      <c r="G162" t="s">
        <v>25</v>
      </c>
      <c r="H162" t="s">
        <v>23</v>
      </c>
      <c r="I162" t="s">
        <v>26</v>
      </c>
      <c r="J162" t="s">
        <v>388</v>
      </c>
      <c r="K162">
        <v>-12.221899000000001</v>
      </c>
      <c r="L162">
        <v>-76.975120000000004</v>
      </c>
      <c r="M162" t="str">
        <f>HYPERLINK("https://www.google.com/maps/search/?api=1&amp;query=-12.221899,-76.97512","Carretera Panamericana Sur, Chorrillos, Lima")</f>
        <v>Carretera Panamericana Sur, Chorrillos, Lima</v>
      </c>
      <c r="N162">
        <v>66.2</v>
      </c>
      <c r="O162">
        <v>100</v>
      </c>
      <c r="P162">
        <v>1599.9</v>
      </c>
      <c r="Q162" t="s">
        <v>389</v>
      </c>
      <c r="R162" t="s">
        <v>23</v>
      </c>
      <c r="S162" t="s">
        <v>23</v>
      </c>
      <c r="T162" t="s">
        <v>23</v>
      </c>
      <c r="U162" t="s">
        <v>23</v>
      </c>
    </row>
    <row r="163" spans="1:21" x14ac:dyDescent="0.25">
      <c r="A163" t="s">
        <v>390</v>
      </c>
      <c r="B163" t="s">
        <v>21</v>
      </c>
      <c r="C163" t="s">
        <v>22</v>
      </c>
      <c r="D163" t="s">
        <v>22</v>
      </c>
      <c r="E163" t="s">
        <v>23</v>
      </c>
      <c r="F163" t="s">
        <v>24</v>
      </c>
      <c r="G163" t="s">
        <v>25</v>
      </c>
      <c r="H163" t="s">
        <v>23</v>
      </c>
      <c r="I163" t="s">
        <v>26</v>
      </c>
      <c r="J163" t="s">
        <v>391</v>
      </c>
      <c r="K163">
        <v>-12.218253000000001</v>
      </c>
      <c r="L163">
        <v>-76.976950000000002</v>
      </c>
      <c r="M163" t="str">
        <f>HYPERLINK("https://www.google.com/maps/search/?api=1&amp;query=-12.218253,-76.97695","Carretera Panamericana Sur, Chorrillos, Lima")</f>
        <v>Carretera Panamericana Sur, Chorrillos, Lima</v>
      </c>
      <c r="N163">
        <v>71.3</v>
      </c>
      <c r="O163">
        <v>100</v>
      </c>
      <c r="P163">
        <v>1601.1</v>
      </c>
      <c r="Q163" t="s">
        <v>392</v>
      </c>
      <c r="R163" t="s">
        <v>23</v>
      </c>
      <c r="S163" t="s">
        <v>23</v>
      </c>
      <c r="T163" t="s">
        <v>23</v>
      </c>
      <c r="U163" t="s">
        <v>23</v>
      </c>
    </row>
    <row r="164" spans="1:21" x14ac:dyDescent="0.25">
      <c r="A164" t="s">
        <v>393</v>
      </c>
      <c r="B164" t="s">
        <v>21</v>
      </c>
      <c r="C164" t="s">
        <v>22</v>
      </c>
      <c r="D164" t="s">
        <v>22</v>
      </c>
      <c r="E164" t="s">
        <v>23</v>
      </c>
      <c r="F164" t="s">
        <v>24</v>
      </c>
      <c r="G164" t="s">
        <v>25</v>
      </c>
      <c r="H164" t="s">
        <v>23</v>
      </c>
      <c r="I164" t="s">
        <v>26</v>
      </c>
      <c r="J164" t="s">
        <v>394</v>
      </c>
      <c r="K164">
        <v>-12.212277</v>
      </c>
      <c r="L164">
        <v>-76.975949999999997</v>
      </c>
      <c r="M164" t="str">
        <f>HYPERLINK("https://www.google.com/maps/search/?api=1&amp;query=-12.212277,-76.97595","Carretera Panamericana Sur, Chorrillos, Lima")</f>
        <v>Carretera Panamericana Sur, Chorrillos, Lima</v>
      </c>
      <c r="N164">
        <v>61.8</v>
      </c>
      <c r="O164">
        <v>100</v>
      </c>
      <c r="P164">
        <v>1601.1</v>
      </c>
      <c r="Q164" t="s">
        <v>392</v>
      </c>
      <c r="R164" t="s">
        <v>23</v>
      </c>
      <c r="S164" t="s">
        <v>23</v>
      </c>
      <c r="T164" t="s">
        <v>23</v>
      </c>
      <c r="U164" t="s">
        <v>23</v>
      </c>
    </row>
    <row r="165" spans="1:21" x14ac:dyDescent="0.25">
      <c r="A165" t="s">
        <v>395</v>
      </c>
      <c r="B165" t="s">
        <v>21</v>
      </c>
      <c r="C165" t="s">
        <v>22</v>
      </c>
      <c r="D165" t="s">
        <v>22</v>
      </c>
      <c r="E165" t="s">
        <v>23</v>
      </c>
      <c r="F165" t="s">
        <v>24</v>
      </c>
      <c r="G165" t="s">
        <v>25</v>
      </c>
      <c r="H165" t="s">
        <v>23</v>
      </c>
      <c r="I165" t="s">
        <v>26</v>
      </c>
      <c r="J165" t="s">
        <v>396</v>
      </c>
      <c r="K165">
        <v>-12.201646</v>
      </c>
      <c r="L165">
        <v>-76.974010000000007</v>
      </c>
      <c r="M165" t="str">
        <f>HYPERLINK("https://www.google.com/maps/search/?api=1&amp;query=-12.201646,-76.97401","Carretera Panamericana Sur, Chorrillos, Lima")</f>
        <v>Carretera Panamericana Sur, Chorrillos, Lima</v>
      </c>
      <c r="N165">
        <v>71.8</v>
      </c>
      <c r="O165">
        <v>100</v>
      </c>
      <c r="P165">
        <v>1602.3</v>
      </c>
      <c r="Q165" t="s">
        <v>392</v>
      </c>
      <c r="R165" t="s">
        <v>23</v>
      </c>
      <c r="S165" t="s">
        <v>23</v>
      </c>
      <c r="T165" t="s">
        <v>23</v>
      </c>
      <c r="U165" t="s">
        <v>23</v>
      </c>
    </row>
    <row r="166" spans="1:21" x14ac:dyDescent="0.25">
      <c r="A166" t="s">
        <v>397</v>
      </c>
      <c r="B166" t="s">
        <v>21</v>
      </c>
      <c r="C166" t="s">
        <v>22</v>
      </c>
      <c r="D166" t="s">
        <v>22</v>
      </c>
      <c r="E166" t="s">
        <v>23</v>
      </c>
      <c r="F166" t="s">
        <v>24</v>
      </c>
      <c r="G166" t="s">
        <v>25</v>
      </c>
      <c r="H166" t="s">
        <v>23</v>
      </c>
      <c r="I166" t="s">
        <v>26</v>
      </c>
      <c r="J166" t="s">
        <v>398</v>
      </c>
      <c r="K166">
        <v>-12.191470000000001</v>
      </c>
      <c r="L166">
        <v>-76.97269</v>
      </c>
      <c r="M166" t="str">
        <f>HYPERLINK("https://www.google.com/maps/search/?api=1&amp;query=-12.19147,-76.97269","Carretera Panamericana Sur, San Juan de Miraflores, Lima")</f>
        <v>Carretera Panamericana Sur, San Juan de Miraflores, Lima</v>
      </c>
      <c r="N166">
        <v>47.2</v>
      </c>
      <c r="O166">
        <v>100</v>
      </c>
      <c r="P166">
        <v>1604.6</v>
      </c>
      <c r="Q166" t="s">
        <v>399</v>
      </c>
      <c r="R166" t="s">
        <v>23</v>
      </c>
      <c r="S166" t="s">
        <v>23</v>
      </c>
      <c r="T166" t="s">
        <v>23</v>
      </c>
      <c r="U166" t="s">
        <v>23</v>
      </c>
    </row>
    <row r="167" spans="1:21" x14ac:dyDescent="0.25">
      <c r="A167" t="s">
        <v>400</v>
      </c>
      <c r="B167" t="s">
        <v>21</v>
      </c>
      <c r="C167" t="s">
        <v>22</v>
      </c>
      <c r="D167" t="s">
        <v>22</v>
      </c>
      <c r="E167" t="s">
        <v>23</v>
      </c>
      <c r="F167" t="s">
        <v>24</v>
      </c>
      <c r="G167" t="s">
        <v>25</v>
      </c>
      <c r="H167" t="s">
        <v>23</v>
      </c>
      <c r="I167" t="s">
        <v>26</v>
      </c>
      <c r="J167" t="s">
        <v>401</v>
      </c>
      <c r="K167">
        <v>-12.184362999999999</v>
      </c>
      <c r="L167">
        <v>-76.974850000000004</v>
      </c>
      <c r="M167" t="str">
        <f>HYPERLINK("https://www.google.com/maps/search/?api=1&amp;query=-12.184363,-76.97485","Avenida Panamericana Sur, San Juan de Miraflores, Lima")</f>
        <v>Avenida Panamericana Sur, San Juan de Miraflores, Lima</v>
      </c>
      <c r="N167">
        <v>55.6</v>
      </c>
      <c r="O167">
        <v>100</v>
      </c>
      <c r="P167">
        <v>1604.6</v>
      </c>
      <c r="Q167" t="s">
        <v>399</v>
      </c>
      <c r="R167" t="s">
        <v>23</v>
      </c>
      <c r="S167" t="s">
        <v>23</v>
      </c>
      <c r="T167" t="s">
        <v>23</v>
      </c>
      <c r="U167" t="s">
        <v>23</v>
      </c>
    </row>
    <row r="168" spans="1:21" x14ac:dyDescent="0.25">
      <c r="A168" t="s">
        <v>402</v>
      </c>
      <c r="B168" t="s">
        <v>21</v>
      </c>
      <c r="C168" t="s">
        <v>22</v>
      </c>
      <c r="D168" t="s">
        <v>22</v>
      </c>
      <c r="E168" t="s">
        <v>23</v>
      </c>
      <c r="F168" t="s">
        <v>24</v>
      </c>
      <c r="G168" t="s">
        <v>25</v>
      </c>
      <c r="H168" t="s">
        <v>23</v>
      </c>
      <c r="I168" t="s">
        <v>26</v>
      </c>
      <c r="J168" t="s">
        <v>403</v>
      </c>
      <c r="K168">
        <v>-12.176444999999999</v>
      </c>
      <c r="L168">
        <v>-76.977360000000004</v>
      </c>
      <c r="M168" t="str">
        <f>HYPERLINK("https://www.google.com/maps/search/?api=1&amp;query=-12.176445,-76.97736","Avenida Panamericana Sur, San Juan de Miraflores, Lima")</f>
        <v>Avenida Panamericana Sur, San Juan de Miraflores, Lima</v>
      </c>
      <c r="N168">
        <v>50.3</v>
      </c>
      <c r="O168">
        <v>100</v>
      </c>
      <c r="P168">
        <v>1605.5</v>
      </c>
      <c r="Q168" t="s">
        <v>399</v>
      </c>
      <c r="R168" t="s">
        <v>23</v>
      </c>
      <c r="S168" t="s">
        <v>23</v>
      </c>
      <c r="T168" t="s">
        <v>23</v>
      </c>
      <c r="U168" t="s">
        <v>23</v>
      </c>
    </row>
    <row r="169" spans="1:21" x14ac:dyDescent="0.25">
      <c r="A169" t="s">
        <v>404</v>
      </c>
      <c r="B169" t="s">
        <v>21</v>
      </c>
      <c r="C169" t="s">
        <v>22</v>
      </c>
      <c r="D169" t="s">
        <v>22</v>
      </c>
      <c r="E169" t="s">
        <v>23</v>
      </c>
      <c r="F169" t="s">
        <v>24</v>
      </c>
      <c r="G169" t="s">
        <v>25</v>
      </c>
      <c r="H169" t="s">
        <v>23</v>
      </c>
      <c r="I169" t="s">
        <v>26</v>
      </c>
      <c r="J169" t="s">
        <v>405</v>
      </c>
      <c r="K169">
        <v>-12.169040000000001</v>
      </c>
      <c r="L169">
        <v>-76.979659999999996</v>
      </c>
      <c r="M169" t="str">
        <f>HYPERLINK("https://www.google.com/maps/search/?api=1&amp;query=-12.16904,-76.97966","Avenida Panamericana Sur, San Juan de Miraflores, Lima")</f>
        <v>Avenida Panamericana Sur, San Juan de Miraflores, Lima</v>
      </c>
      <c r="N169">
        <v>44.2</v>
      </c>
      <c r="O169">
        <v>100</v>
      </c>
      <c r="P169">
        <v>1607.2</v>
      </c>
      <c r="Q169" t="s">
        <v>406</v>
      </c>
      <c r="R169" t="s">
        <v>23</v>
      </c>
      <c r="S169" t="s">
        <v>23</v>
      </c>
      <c r="T169" t="s">
        <v>23</v>
      </c>
      <c r="U169" t="s">
        <v>23</v>
      </c>
    </row>
    <row r="170" spans="1:21" x14ac:dyDescent="0.25">
      <c r="A170" t="s">
        <v>407</v>
      </c>
      <c r="B170" t="s">
        <v>21</v>
      </c>
      <c r="C170" t="s">
        <v>22</v>
      </c>
      <c r="D170" t="s">
        <v>22</v>
      </c>
      <c r="E170" t="s">
        <v>23</v>
      </c>
      <c r="F170" t="s">
        <v>24</v>
      </c>
      <c r="G170" t="s">
        <v>25</v>
      </c>
      <c r="H170" t="s">
        <v>23</v>
      </c>
      <c r="I170" t="s">
        <v>26</v>
      </c>
      <c r="J170" t="s">
        <v>408</v>
      </c>
      <c r="K170">
        <v>-12.161692</v>
      </c>
      <c r="L170">
        <v>-76.981834000000006</v>
      </c>
      <c r="M170" t="str">
        <f>HYPERLINK("https://www.google.com/maps/search/?api=1&amp;query=-12.161692,-76.981834","Avenida Panamericana Sur, San Juan de Miraflores, Lima")</f>
        <v>Avenida Panamericana Sur, San Juan de Miraflores, Lima</v>
      </c>
      <c r="N170">
        <v>49</v>
      </c>
      <c r="O170">
        <v>100</v>
      </c>
      <c r="P170">
        <v>1608.1</v>
      </c>
      <c r="Q170" t="s">
        <v>406</v>
      </c>
      <c r="R170" t="s">
        <v>23</v>
      </c>
      <c r="S170" t="s">
        <v>23</v>
      </c>
      <c r="T170" t="s">
        <v>23</v>
      </c>
      <c r="U170" t="s">
        <v>23</v>
      </c>
    </row>
    <row r="171" spans="1:21" x14ac:dyDescent="0.25">
      <c r="A171" t="s">
        <v>409</v>
      </c>
      <c r="B171" t="s">
        <v>21</v>
      </c>
      <c r="C171" t="s">
        <v>22</v>
      </c>
      <c r="D171" t="s">
        <v>22</v>
      </c>
      <c r="E171" t="s">
        <v>23</v>
      </c>
      <c r="F171" t="s">
        <v>24</v>
      </c>
      <c r="G171" t="s">
        <v>25</v>
      </c>
      <c r="H171" t="s">
        <v>23</v>
      </c>
      <c r="I171" t="s">
        <v>26</v>
      </c>
      <c r="J171" t="s">
        <v>410</v>
      </c>
      <c r="K171">
        <v>-12.153950999999999</v>
      </c>
      <c r="L171">
        <v>-76.983760000000004</v>
      </c>
      <c r="M171" t="str">
        <f>HYPERLINK("https://www.google.com/maps/search/?api=1&amp;query=-12.153951,-76.98376","Avenida Panamericana Sur, San Juan de Miraflores, Lima")</f>
        <v>Avenida Panamericana Sur, San Juan de Miraflores, Lima</v>
      </c>
      <c r="N171">
        <v>51.9</v>
      </c>
      <c r="O171">
        <v>100</v>
      </c>
      <c r="P171">
        <v>1608.1</v>
      </c>
      <c r="Q171" t="s">
        <v>406</v>
      </c>
      <c r="R171" t="s">
        <v>23</v>
      </c>
      <c r="S171" t="s">
        <v>23</v>
      </c>
      <c r="T171" t="s">
        <v>23</v>
      </c>
      <c r="U171" t="s">
        <v>23</v>
      </c>
    </row>
    <row r="172" spans="1:21" x14ac:dyDescent="0.25">
      <c r="A172" t="s">
        <v>411</v>
      </c>
      <c r="B172" t="s">
        <v>21</v>
      </c>
      <c r="C172" t="s">
        <v>22</v>
      </c>
      <c r="D172" t="s">
        <v>22</v>
      </c>
      <c r="E172" t="s">
        <v>23</v>
      </c>
      <c r="F172" t="s">
        <v>24</v>
      </c>
      <c r="G172" t="s">
        <v>25</v>
      </c>
      <c r="H172" t="s">
        <v>23</v>
      </c>
      <c r="I172" t="s">
        <v>26</v>
      </c>
      <c r="J172" t="s">
        <v>412</v>
      </c>
      <c r="K172">
        <v>-12.150764000000001</v>
      </c>
      <c r="L172">
        <v>-76.983086</v>
      </c>
      <c r="M172" t="str">
        <f>HYPERLINK("https://www.google.com/maps/search/?api=1&amp;query=-12.150764,-76.983086","San Juan de Miraflores, Lima")</f>
        <v>San Juan de Miraflores, Lima</v>
      </c>
      <c r="N172">
        <v>27.6</v>
      </c>
      <c r="O172">
        <v>100</v>
      </c>
      <c r="P172">
        <v>1609</v>
      </c>
      <c r="Q172" t="s">
        <v>413</v>
      </c>
      <c r="R172" t="s">
        <v>23</v>
      </c>
      <c r="S172" t="s">
        <v>23</v>
      </c>
      <c r="T172" t="s">
        <v>23</v>
      </c>
      <c r="U172" t="s">
        <v>23</v>
      </c>
    </row>
    <row r="173" spans="1:21" x14ac:dyDescent="0.25">
      <c r="A173" t="s">
        <v>414</v>
      </c>
      <c r="B173" t="s">
        <v>21</v>
      </c>
      <c r="C173" t="s">
        <v>22</v>
      </c>
      <c r="D173" t="s">
        <v>22</v>
      </c>
      <c r="E173" t="s">
        <v>23</v>
      </c>
      <c r="F173" t="s">
        <v>24</v>
      </c>
      <c r="G173" t="s">
        <v>25</v>
      </c>
      <c r="H173" t="s">
        <v>23</v>
      </c>
      <c r="I173" t="s">
        <v>26</v>
      </c>
      <c r="J173" t="s">
        <v>415</v>
      </c>
      <c r="K173">
        <v>-12.150615</v>
      </c>
      <c r="L173">
        <v>-76.981620000000007</v>
      </c>
      <c r="M173" t="str">
        <f>HYPERLINK("https://www.google.com/maps/search/?api=1&amp;query=-12.150615,-76.98162","Avenida Los Héroes, San Juan de Miraflores, Lima")</f>
        <v>Avenida Los Héroes, San Juan de Miraflores, Lima</v>
      </c>
      <c r="N173">
        <v>14</v>
      </c>
      <c r="O173">
        <v>100</v>
      </c>
      <c r="P173">
        <v>1609.5</v>
      </c>
      <c r="Q173" t="s">
        <v>416</v>
      </c>
      <c r="R173" t="s">
        <v>23</v>
      </c>
      <c r="S173" t="s">
        <v>23</v>
      </c>
      <c r="T173" t="s">
        <v>23</v>
      </c>
      <c r="U173" t="s">
        <v>23</v>
      </c>
    </row>
    <row r="174" spans="1:21" x14ac:dyDescent="0.25">
      <c r="A174" t="s">
        <v>417</v>
      </c>
      <c r="B174" t="s">
        <v>21</v>
      </c>
      <c r="C174" t="s">
        <v>22</v>
      </c>
      <c r="D174" t="s">
        <v>22</v>
      </c>
      <c r="E174" t="s">
        <v>23</v>
      </c>
      <c r="F174" t="s">
        <v>24</v>
      </c>
      <c r="G174" t="s">
        <v>25</v>
      </c>
      <c r="H174" t="s">
        <v>23</v>
      </c>
      <c r="I174" t="s">
        <v>26</v>
      </c>
      <c r="J174" t="s">
        <v>418</v>
      </c>
      <c r="K174">
        <v>-12.150668</v>
      </c>
      <c r="L174">
        <v>-76.980930000000001</v>
      </c>
      <c r="M174" t="str">
        <f>HYPERLINK("https://www.google.com/maps/search/?api=1&amp;query=-12.150668,-76.98093","Avenida Los Lirios, San Juan de Miraflores, Lima")</f>
        <v>Avenida Los Lirios, San Juan de Miraflores, Lima</v>
      </c>
      <c r="N174">
        <v>8.5</v>
      </c>
      <c r="O174">
        <v>100</v>
      </c>
      <c r="P174">
        <v>1609.5</v>
      </c>
      <c r="Q174" t="s">
        <v>416</v>
      </c>
      <c r="R174" t="s">
        <v>23</v>
      </c>
      <c r="S174" t="s">
        <v>23</v>
      </c>
      <c r="T174" t="s">
        <v>23</v>
      </c>
      <c r="U174" t="s">
        <v>23</v>
      </c>
    </row>
    <row r="175" spans="1:21" x14ac:dyDescent="0.25">
      <c r="A175" t="s">
        <v>419</v>
      </c>
      <c r="B175" t="s">
        <v>21</v>
      </c>
      <c r="C175" t="s">
        <v>22</v>
      </c>
      <c r="D175" t="s">
        <v>22</v>
      </c>
      <c r="E175" t="s">
        <v>23</v>
      </c>
      <c r="F175" t="s">
        <v>24</v>
      </c>
      <c r="G175" t="s">
        <v>25</v>
      </c>
      <c r="H175" t="s">
        <v>23</v>
      </c>
      <c r="I175" t="s">
        <v>26</v>
      </c>
      <c r="J175" t="s">
        <v>420</v>
      </c>
      <c r="K175">
        <v>-12.151187</v>
      </c>
      <c r="L175">
        <v>-76.979804999999999</v>
      </c>
      <c r="M175" t="str">
        <f>HYPERLINK("https://www.google.com/maps/search/?api=1&amp;query=-12.151187,-76.979805","Avenida Los Héroes, San Juan de Miraflores, Lima")</f>
        <v>Avenida Los Héroes, San Juan de Miraflores, Lima</v>
      </c>
      <c r="N175">
        <v>18.7</v>
      </c>
      <c r="O175">
        <v>100</v>
      </c>
      <c r="P175">
        <v>1609.5</v>
      </c>
      <c r="Q175" t="s">
        <v>416</v>
      </c>
      <c r="R175" t="s">
        <v>23</v>
      </c>
      <c r="S175" t="s">
        <v>23</v>
      </c>
      <c r="T175" t="s">
        <v>23</v>
      </c>
      <c r="U175" t="s">
        <v>23</v>
      </c>
    </row>
    <row r="176" spans="1:21" x14ac:dyDescent="0.25">
      <c r="A176" t="s">
        <v>421</v>
      </c>
      <c r="B176" t="s">
        <v>21</v>
      </c>
      <c r="C176" t="s">
        <v>22</v>
      </c>
      <c r="D176" t="s">
        <v>22</v>
      </c>
      <c r="E176" t="s">
        <v>23</v>
      </c>
      <c r="F176" t="s">
        <v>24</v>
      </c>
      <c r="G176" t="s">
        <v>25</v>
      </c>
      <c r="H176" t="s">
        <v>23</v>
      </c>
      <c r="I176" t="s">
        <v>26</v>
      </c>
      <c r="J176" t="s">
        <v>422</v>
      </c>
      <c r="K176">
        <v>-12.152352</v>
      </c>
      <c r="L176">
        <v>-76.976380000000006</v>
      </c>
      <c r="M176" t="str">
        <f>HYPERLINK("https://www.google.com/maps/search/?api=1&amp;query=-12.152352,-76.97638","Avenida Los Héroes, San Juan de Miraflores, Lima")</f>
        <v>Avenida Los Héroes, San Juan de Miraflores, Lima</v>
      </c>
      <c r="N176">
        <v>29.8</v>
      </c>
      <c r="O176">
        <v>100</v>
      </c>
      <c r="P176">
        <v>1610.2</v>
      </c>
      <c r="Q176" t="s">
        <v>423</v>
      </c>
      <c r="R176" t="s">
        <v>23</v>
      </c>
      <c r="S176" t="s">
        <v>23</v>
      </c>
      <c r="T176" t="s">
        <v>23</v>
      </c>
      <c r="U176" t="s">
        <v>23</v>
      </c>
    </row>
    <row r="177" spans="1:21" x14ac:dyDescent="0.25">
      <c r="A177" t="s">
        <v>424</v>
      </c>
      <c r="B177" t="s">
        <v>21</v>
      </c>
      <c r="C177" t="s">
        <v>22</v>
      </c>
      <c r="D177" t="s">
        <v>22</v>
      </c>
      <c r="E177" t="s">
        <v>23</v>
      </c>
      <c r="F177" t="s">
        <v>24</v>
      </c>
      <c r="G177" t="s">
        <v>25</v>
      </c>
      <c r="H177" t="s">
        <v>23</v>
      </c>
      <c r="I177" t="s">
        <v>26</v>
      </c>
      <c r="J177" t="s">
        <v>425</v>
      </c>
      <c r="K177">
        <v>-12.153686</v>
      </c>
      <c r="L177">
        <v>-76.973060000000004</v>
      </c>
      <c r="M177" t="str">
        <f>HYPERLINK("https://www.google.com/maps/search/?api=1&amp;query=-12.153686,-76.97306","Avenida Los Héroes, San Juan de Miraflores, Lima")</f>
        <v>Avenida Los Héroes, San Juan de Miraflores, Lima</v>
      </c>
      <c r="N177">
        <v>29.3</v>
      </c>
      <c r="O177">
        <v>100</v>
      </c>
      <c r="P177">
        <v>1610.6</v>
      </c>
      <c r="Q177" t="s">
        <v>426</v>
      </c>
      <c r="R177" t="s">
        <v>23</v>
      </c>
      <c r="S177" t="s">
        <v>23</v>
      </c>
      <c r="T177" t="s">
        <v>23</v>
      </c>
      <c r="U177" t="s">
        <v>23</v>
      </c>
    </row>
    <row r="178" spans="1:21" x14ac:dyDescent="0.25">
      <c r="A178" t="s">
        <v>427</v>
      </c>
      <c r="B178" t="s">
        <v>21</v>
      </c>
      <c r="C178" t="s">
        <v>22</v>
      </c>
      <c r="D178" t="s">
        <v>22</v>
      </c>
      <c r="E178" t="s">
        <v>23</v>
      </c>
      <c r="F178" t="s">
        <v>24</v>
      </c>
      <c r="G178" t="s">
        <v>25</v>
      </c>
      <c r="H178" t="s">
        <v>23</v>
      </c>
      <c r="I178" t="s">
        <v>26</v>
      </c>
      <c r="J178" t="s">
        <v>428</v>
      </c>
      <c r="K178">
        <v>-12.15574</v>
      </c>
      <c r="L178">
        <v>-76.96781</v>
      </c>
      <c r="M178" t="str">
        <f>HYPERLINK("https://www.google.com/maps/search/?api=1&amp;query=-12.15574,-76.96781","Avenida Los Héroes, San Juan de Miraflores, Lima")</f>
        <v>Avenida Los Héroes, San Juan de Miraflores, Lima</v>
      </c>
      <c r="N178">
        <v>45.5</v>
      </c>
      <c r="O178">
        <v>100</v>
      </c>
      <c r="P178">
        <v>1610.6</v>
      </c>
      <c r="Q178" t="s">
        <v>426</v>
      </c>
      <c r="R178" t="s">
        <v>23</v>
      </c>
      <c r="S178" t="s">
        <v>23</v>
      </c>
      <c r="T178" t="s">
        <v>23</v>
      </c>
      <c r="U178" t="s">
        <v>23</v>
      </c>
    </row>
    <row r="179" spans="1:21" x14ac:dyDescent="0.25">
      <c r="A179" t="s">
        <v>429</v>
      </c>
      <c r="B179" t="s">
        <v>21</v>
      </c>
      <c r="C179" t="s">
        <v>22</v>
      </c>
      <c r="D179" t="s">
        <v>22</v>
      </c>
      <c r="E179" t="s">
        <v>23</v>
      </c>
      <c r="F179" t="s">
        <v>24</v>
      </c>
      <c r="G179" t="s">
        <v>25</v>
      </c>
      <c r="H179" t="s">
        <v>23</v>
      </c>
      <c r="I179" t="s">
        <v>26</v>
      </c>
      <c r="J179" t="s">
        <v>430</v>
      </c>
      <c r="K179">
        <v>-12.158545999999999</v>
      </c>
      <c r="L179">
        <v>-76.96105</v>
      </c>
      <c r="M179" t="str">
        <f>HYPERLINK("https://www.google.com/maps/search/?api=1&amp;query=-12.158546,-76.96105","Avenida Los Héroes, San Juan de Miraflores, Lima")</f>
        <v>Avenida Los Héroes, San Juan de Miraflores, Lima</v>
      </c>
      <c r="N179">
        <v>39</v>
      </c>
      <c r="O179">
        <v>100</v>
      </c>
      <c r="P179">
        <v>1612</v>
      </c>
      <c r="Q179" t="s">
        <v>431</v>
      </c>
      <c r="R179" t="s">
        <v>23</v>
      </c>
      <c r="S179" t="s">
        <v>23</v>
      </c>
      <c r="T179" t="s">
        <v>23</v>
      </c>
      <c r="U179" t="s">
        <v>23</v>
      </c>
    </row>
    <row r="180" spans="1:21" x14ac:dyDescent="0.25">
      <c r="A180" t="s">
        <v>432</v>
      </c>
      <c r="B180" t="s">
        <v>21</v>
      </c>
      <c r="C180" t="s">
        <v>22</v>
      </c>
      <c r="D180" t="s">
        <v>22</v>
      </c>
      <c r="E180" t="s">
        <v>23</v>
      </c>
      <c r="F180" t="s">
        <v>24</v>
      </c>
      <c r="G180" t="s">
        <v>25</v>
      </c>
      <c r="H180" t="s">
        <v>23</v>
      </c>
      <c r="I180" t="s">
        <v>26</v>
      </c>
      <c r="J180" t="s">
        <v>433</v>
      </c>
      <c r="K180">
        <v>-12.159231</v>
      </c>
      <c r="L180">
        <v>-76.959460000000007</v>
      </c>
      <c r="M180" t="str">
        <f>HYPERLINK("https://www.google.com/maps/search/?api=1&amp;query=-12.159231,-76.95946","Avenida Los Héroes, San Juan de Miraflores, Lima")</f>
        <v>Avenida Los Héroes, San Juan de Miraflores, Lima</v>
      </c>
      <c r="N180">
        <v>0</v>
      </c>
      <c r="O180">
        <v>100</v>
      </c>
      <c r="P180">
        <v>1612</v>
      </c>
      <c r="Q180" t="s">
        <v>431</v>
      </c>
      <c r="R180" t="s">
        <v>23</v>
      </c>
      <c r="S180" t="s">
        <v>23</v>
      </c>
      <c r="T180" t="s">
        <v>23</v>
      </c>
      <c r="U180" t="s">
        <v>23</v>
      </c>
    </row>
    <row r="181" spans="1:21" x14ac:dyDescent="0.25">
      <c r="A181" t="s">
        <v>434</v>
      </c>
      <c r="B181" t="s">
        <v>21</v>
      </c>
      <c r="C181" t="s">
        <v>22</v>
      </c>
      <c r="D181" t="s">
        <v>22</v>
      </c>
      <c r="E181" t="s">
        <v>23</v>
      </c>
      <c r="F181" t="s">
        <v>24</v>
      </c>
      <c r="G181" t="s">
        <v>25</v>
      </c>
      <c r="H181" t="s">
        <v>23</v>
      </c>
      <c r="I181" t="s">
        <v>26</v>
      </c>
      <c r="J181" t="s">
        <v>435</v>
      </c>
      <c r="K181">
        <v>-12.159575999999999</v>
      </c>
      <c r="L181">
        <v>-76.958550000000002</v>
      </c>
      <c r="M181" t="str">
        <f>HYPERLINK("https://www.google.com/maps/search/?api=1&amp;query=-12.159576,-76.95855","Avenida Los Héroes, San Juan de Miraflores, Lima")</f>
        <v>Avenida Los Héroes, San Juan de Miraflores, Lima</v>
      </c>
      <c r="N181">
        <v>6.3</v>
      </c>
      <c r="O181">
        <v>100</v>
      </c>
      <c r="P181">
        <v>1612.2</v>
      </c>
      <c r="Q181" t="s">
        <v>436</v>
      </c>
      <c r="R181" t="s">
        <v>23</v>
      </c>
      <c r="S181" t="s">
        <v>23</v>
      </c>
      <c r="T181" t="s">
        <v>23</v>
      </c>
      <c r="U181" t="s">
        <v>23</v>
      </c>
    </row>
    <row r="182" spans="1:21" x14ac:dyDescent="0.25">
      <c r="A182" t="s">
        <v>437</v>
      </c>
      <c r="B182" t="s">
        <v>21</v>
      </c>
      <c r="C182" t="s">
        <v>22</v>
      </c>
      <c r="D182" t="s">
        <v>22</v>
      </c>
      <c r="E182" t="s">
        <v>23</v>
      </c>
      <c r="F182" t="s">
        <v>24</v>
      </c>
      <c r="G182" t="s">
        <v>25</v>
      </c>
      <c r="H182" t="s">
        <v>23</v>
      </c>
      <c r="I182" t="s">
        <v>26</v>
      </c>
      <c r="J182" t="s">
        <v>438</v>
      </c>
      <c r="K182">
        <v>-12.158548</v>
      </c>
      <c r="L182">
        <v>-76.957700000000003</v>
      </c>
      <c r="M182" t="str">
        <f>HYPERLINK("https://www.google.com/maps/search/?api=1&amp;query=-12.158548,-76.9577","Avenida Nicolás de Piérola, San Juan de Miraflores, Lima")</f>
        <v>Avenida Nicolás de Piérola, San Juan de Miraflores, Lima</v>
      </c>
      <c r="N182">
        <v>5.2</v>
      </c>
      <c r="O182">
        <v>100</v>
      </c>
      <c r="P182">
        <v>1612.3</v>
      </c>
      <c r="Q182" t="s">
        <v>436</v>
      </c>
      <c r="R182" t="s">
        <v>221</v>
      </c>
      <c r="S182" t="s">
        <v>439</v>
      </c>
      <c r="T182" t="s">
        <v>223</v>
      </c>
      <c r="U182" t="s">
        <v>23</v>
      </c>
    </row>
    <row r="183" spans="1:21" x14ac:dyDescent="0.25">
      <c r="A183" t="s">
        <v>440</v>
      </c>
      <c r="B183" t="s">
        <v>21</v>
      </c>
      <c r="C183" t="s">
        <v>22</v>
      </c>
      <c r="D183" t="s">
        <v>22</v>
      </c>
      <c r="E183" t="s">
        <v>23</v>
      </c>
      <c r="F183" t="s">
        <v>24</v>
      </c>
      <c r="G183" t="s">
        <v>25</v>
      </c>
      <c r="H183" t="s">
        <v>23</v>
      </c>
      <c r="I183" t="s">
        <v>26</v>
      </c>
      <c r="J183" t="s">
        <v>438</v>
      </c>
      <c r="K183">
        <v>-12.158548</v>
      </c>
      <c r="L183">
        <v>-76.957700000000003</v>
      </c>
      <c r="M183" t="str">
        <f>HYPERLINK("https://www.google.com/maps/search/?api=1&amp;query=-12.158548,-76.9577","Avenida Nicolás de Piérola, San Juan de Miraflores, Lima")</f>
        <v>Avenida Nicolás de Piérola, San Juan de Miraflores, Lima</v>
      </c>
      <c r="N183">
        <v>5.2</v>
      </c>
      <c r="O183">
        <v>100</v>
      </c>
      <c r="P183">
        <v>1612.3</v>
      </c>
      <c r="Q183" t="s">
        <v>436</v>
      </c>
      <c r="R183" t="s">
        <v>23</v>
      </c>
      <c r="S183" t="s">
        <v>23</v>
      </c>
      <c r="T183" t="s">
        <v>23</v>
      </c>
      <c r="U183" t="s">
        <v>23</v>
      </c>
    </row>
    <row r="184" spans="1:21" x14ac:dyDescent="0.25">
      <c r="A184" t="s">
        <v>441</v>
      </c>
      <c r="B184" t="s">
        <v>21</v>
      </c>
      <c r="C184" t="s">
        <v>22</v>
      </c>
      <c r="D184" t="s">
        <v>22</v>
      </c>
      <c r="E184" t="s">
        <v>23</v>
      </c>
      <c r="F184" t="s">
        <v>24</v>
      </c>
      <c r="G184" t="s">
        <v>25</v>
      </c>
      <c r="H184" t="s">
        <v>23</v>
      </c>
      <c r="I184" t="s">
        <v>26</v>
      </c>
      <c r="J184" t="s">
        <v>442</v>
      </c>
      <c r="K184">
        <v>-12.158556000000001</v>
      </c>
      <c r="L184">
        <v>-76.957629999999995</v>
      </c>
      <c r="M184" t="str">
        <f>HYPERLINK("https://www.google.com/maps/search/?api=1&amp;query=-12.158556,-76.95763","Avenida Nicolás de Piérola, San Juan de Miraflores, Lima")</f>
        <v>Avenida Nicolás de Piérola, San Juan de Miraflores, Lima</v>
      </c>
      <c r="N184">
        <v>7.7</v>
      </c>
      <c r="O184">
        <v>100</v>
      </c>
      <c r="P184">
        <v>1612.3</v>
      </c>
      <c r="Q184" t="s">
        <v>436</v>
      </c>
      <c r="R184" t="s">
        <v>338</v>
      </c>
      <c r="S184" t="s">
        <v>439</v>
      </c>
      <c r="T184" t="s">
        <v>223</v>
      </c>
      <c r="U184" t="s">
        <v>23</v>
      </c>
    </row>
    <row r="185" spans="1:21" x14ac:dyDescent="0.25">
      <c r="A185" t="s">
        <v>443</v>
      </c>
      <c r="B185" t="s">
        <v>21</v>
      </c>
      <c r="C185" t="s">
        <v>22</v>
      </c>
      <c r="D185" t="s">
        <v>22</v>
      </c>
      <c r="E185" t="s">
        <v>23</v>
      </c>
      <c r="F185" t="s">
        <v>24</v>
      </c>
      <c r="G185" t="s">
        <v>25</v>
      </c>
      <c r="H185" t="s">
        <v>23</v>
      </c>
      <c r="I185" t="s">
        <v>26</v>
      </c>
      <c r="J185" t="s">
        <v>442</v>
      </c>
      <c r="K185">
        <v>-12.158556000000001</v>
      </c>
      <c r="L185">
        <v>-76.957629999999995</v>
      </c>
      <c r="M185" t="str">
        <f>HYPERLINK("https://www.google.com/maps/search/?api=1&amp;query=-12.158556,-76.95763","Avenida Nicolás de Piérola, San Juan de Miraflores, Lima")</f>
        <v>Avenida Nicolás de Piérola, San Juan de Miraflores, Lima</v>
      </c>
      <c r="N185">
        <v>7.7</v>
      </c>
      <c r="O185">
        <v>100</v>
      </c>
      <c r="P185">
        <v>1612.3</v>
      </c>
      <c r="Q185" t="s">
        <v>436</v>
      </c>
      <c r="R185" t="s">
        <v>23</v>
      </c>
      <c r="S185" t="s">
        <v>23</v>
      </c>
      <c r="T185" t="s">
        <v>23</v>
      </c>
      <c r="U185" t="s">
        <v>23</v>
      </c>
    </row>
    <row r="186" spans="1:21" x14ac:dyDescent="0.25">
      <c r="A186" t="s">
        <v>444</v>
      </c>
      <c r="B186" t="s">
        <v>21</v>
      </c>
      <c r="C186" t="s">
        <v>22</v>
      </c>
      <c r="D186" t="s">
        <v>22</v>
      </c>
      <c r="E186" t="s">
        <v>23</v>
      </c>
      <c r="F186" t="s">
        <v>24</v>
      </c>
      <c r="G186" t="s">
        <v>25</v>
      </c>
      <c r="H186" t="s">
        <v>23</v>
      </c>
      <c r="I186" t="s">
        <v>26</v>
      </c>
      <c r="J186" t="s">
        <v>445</v>
      </c>
      <c r="K186">
        <v>-12.159409999999999</v>
      </c>
      <c r="L186">
        <v>-76.956505000000007</v>
      </c>
      <c r="M186" t="str">
        <f>HYPERLINK("https://www.google.com/maps/search/?api=1&amp;query=-12.15941,-76.956505","Avenida Nicolás de Piérola, Villa María del Triunfo, Lima")</f>
        <v>Avenida Nicolás de Piérola, Villa María del Triunfo, Lima</v>
      </c>
      <c r="N186">
        <v>0</v>
      </c>
      <c r="O186">
        <v>100</v>
      </c>
      <c r="P186">
        <v>1612.4</v>
      </c>
      <c r="Q186" t="s">
        <v>446</v>
      </c>
      <c r="R186" t="s">
        <v>23</v>
      </c>
      <c r="S186" t="s">
        <v>23</v>
      </c>
      <c r="T186" t="s">
        <v>23</v>
      </c>
      <c r="U186" t="s">
        <v>23</v>
      </c>
    </row>
    <row r="187" spans="1:21" x14ac:dyDescent="0.25">
      <c r="A187" t="s">
        <v>447</v>
      </c>
      <c r="B187" t="s">
        <v>21</v>
      </c>
      <c r="C187" t="s">
        <v>22</v>
      </c>
      <c r="D187" t="s">
        <v>22</v>
      </c>
      <c r="E187" t="s">
        <v>23</v>
      </c>
      <c r="F187" t="s">
        <v>24</v>
      </c>
      <c r="G187" t="s">
        <v>25</v>
      </c>
      <c r="H187" t="s">
        <v>23</v>
      </c>
      <c r="I187" t="s">
        <v>26</v>
      </c>
      <c r="J187" t="s">
        <v>448</v>
      </c>
      <c r="K187">
        <v>-12.159539000000001</v>
      </c>
      <c r="L187">
        <v>-76.95626</v>
      </c>
      <c r="M187" t="str">
        <f>HYPERLINK("https://www.google.com/maps/search/?api=1&amp;query=-12.159539,-76.95626","Avenida Nicolás de Piérola, Villa María del Triunfo, Lima")</f>
        <v>Avenida Nicolás de Piérola, Villa María del Triunfo, Lima</v>
      </c>
      <c r="N187">
        <v>5.9</v>
      </c>
      <c r="O187">
        <v>100</v>
      </c>
      <c r="P187">
        <v>1612.6</v>
      </c>
      <c r="Q187" t="s">
        <v>449</v>
      </c>
      <c r="R187" t="s">
        <v>23</v>
      </c>
      <c r="S187" t="s">
        <v>23</v>
      </c>
      <c r="T187" t="s">
        <v>23</v>
      </c>
      <c r="U187" t="s">
        <v>23</v>
      </c>
    </row>
    <row r="188" spans="1:21" x14ac:dyDescent="0.25">
      <c r="A188" t="s">
        <v>450</v>
      </c>
      <c r="B188" t="s">
        <v>21</v>
      </c>
      <c r="C188" t="s">
        <v>22</v>
      </c>
      <c r="D188" t="s">
        <v>22</v>
      </c>
      <c r="E188" t="s">
        <v>23</v>
      </c>
      <c r="F188" t="s">
        <v>24</v>
      </c>
      <c r="G188" t="s">
        <v>25</v>
      </c>
      <c r="H188" t="s">
        <v>23</v>
      </c>
      <c r="I188" t="s">
        <v>26</v>
      </c>
      <c r="J188" t="s">
        <v>451</v>
      </c>
      <c r="K188">
        <v>-12.159488</v>
      </c>
      <c r="L188">
        <v>-76.956190000000007</v>
      </c>
      <c r="M188" t="str">
        <f>HYPERLINK("https://www.google.com/maps/search/?api=1&amp;query=-12.159488,-76.95619","Avenida Nicolás de Piérola, Villa María del Triunfo, Lima")</f>
        <v>Avenida Nicolás de Piérola, Villa María del Triunfo, Lima</v>
      </c>
      <c r="N188">
        <v>6.9</v>
      </c>
      <c r="O188">
        <v>100</v>
      </c>
      <c r="P188">
        <v>1612.6</v>
      </c>
      <c r="Q188" t="s">
        <v>449</v>
      </c>
      <c r="R188" t="s">
        <v>23</v>
      </c>
      <c r="S188" t="s">
        <v>23</v>
      </c>
      <c r="T188" t="s">
        <v>23</v>
      </c>
      <c r="U188" t="s">
        <v>23</v>
      </c>
    </row>
    <row r="189" spans="1:21" x14ac:dyDescent="0.25">
      <c r="A189" t="s">
        <v>452</v>
      </c>
      <c r="B189" t="s">
        <v>21</v>
      </c>
      <c r="C189" t="s">
        <v>22</v>
      </c>
      <c r="D189" t="s">
        <v>22</v>
      </c>
      <c r="E189" t="s">
        <v>23</v>
      </c>
      <c r="F189" t="s">
        <v>24</v>
      </c>
      <c r="G189" t="s">
        <v>25</v>
      </c>
      <c r="H189" t="s">
        <v>23</v>
      </c>
      <c r="I189" t="s">
        <v>26</v>
      </c>
      <c r="J189" t="s">
        <v>453</v>
      </c>
      <c r="K189">
        <v>-12.158555</v>
      </c>
      <c r="L189">
        <v>-76.955505000000002</v>
      </c>
      <c r="M189" t="str">
        <f>HYPERLINK("https://www.google.com/maps/search/?api=1&amp;query=-12.158555,-76.955505","Avenida José Carlos Mariátegui, Villa María del Triunfo, Lima")</f>
        <v>Avenida José Carlos Mariátegui, Villa María del Triunfo, Lima</v>
      </c>
      <c r="N189">
        <v>22.6</v>
      </c>
      <c r="O189">
        <v>100</v>
      </c>
      <c r="P189">
        <v>1612.6</v>
      </c>
      <c r="Q189" t="s">
        <v>449</v>
      </c>
      <c r="R189" t="s">
        <v>23</v>
      </c>
      <c r="S189" t="s">
        <v>23</v>
      </c>
      <c r="T189" t="s">
        <v>23</v>
      </c>
      <c r="U189" t="s">
        <v>23</v>
      </c>
    </row>
    <row r="190" spans="1:21" x14ac:dyDescent="0.25">
      <c r="A190" t="s">
        <v>454</v>
      </c>
      <c r="B190" t="s">
        <v>21</v>
      </c>
      <c r="C190" t="s">
        <v>22</v>
      </c>
      <c r="D190" t="s">
        <v>22</v>
      </c>
      <c r="E190" t="s">
        <v>23</v>
      </c>
      <c r="F190" t="s">
        <v>24</v>
      </c>
      <c r="G190" t="s">
        <v>25</v>
      </c>
      <c r="H190" t="s">
        <v>23</v>
      </c>
      <c r="I190" t="s">
        <v>26</v>
      </c>
      <c r="J190" t="s">
        <v>455</v>
      </c>
      <c r="K190">
        <v>-12.155768999999999</v>
      </c>
      <c r="L190">
        <v>-76.953509999999994</v>
      </c>
      <c r="M190" t="str">
        <f>HYPERLINK("https://www.google.com/maps/search/?api=1&amp;query=-12.155769,-76.95351","Avenida José Carlos Mariátegui, Villa María del Triunfo, Lima")</f>
        <v>Avenida José Carlos Mariátegui, Villa María del Triunfo, Lima</v>
      </c>
      <c r="N190">
        <v>6.9</v>
      </c>
      <c r="O190">
        <v>100</v>
      </c>
      <c r="P190">
        <v>1613.2</v>
      </c>
      <c r="Q190" t="s">
        <v>456</v>
      </c>
      <c r="R190" t="s">
        <v>23</v>
      </c>
      <c r="S190" t="s">
        <v>23</v>
      </c>
      <c r="T190" t="s">
        <v>23</v>
      </c>
      <c r="U190" t="s">
        <v>23</v>
      </c>
    </row>
    <row r="191" spans="1:21" x14ac:dyDescent="0.25">
      <c r="A191" t="s">
        <v>457</v>
      </c>
      <c r="B191" t="s">
        <v>21</v>
      </c>
      <c r="C191" t="s">
        <v>22</v>
      </c>
      <c r="D191" t="s">
        <v>22</v>
      </c>
      <c r="E191" t="s">
        <v>23</v>
      </c>
      <c r="F191" t="s">
        <v>24</v>
      </c>
      <c r="G191" t="s">
        <v>25</v>
      </c>
      <c r="H191" t="s">
        <v>23</v>
      </c>
      <c r="I191" t="s">
        <v>26</v>
      </c>
      <c r="J191" t="s">
        <v>458</v>
      </c>
      <c r="K191">
        <v>-12.153464</v>
      </c>
      <c r="L191">
        <v>-76.951903999999999</v>
      </c>
      <c r="M191" t="str">
        <f>HYPERLINK("https://www.google.com/maps/search/?api=1&amp;query=-12.153464,-76.951904","Avenida José Carlos Mariátegui, Villa María del Triunfo, Lima")</f>
        <v>Avenida José Carlos Mariátegui, Villa María del Triunfo, Lima</v>
      </c>
      <c r="N191">
        <v>5</v>
      </c>
      <c r="O191">
        <v>100</v>
      </c>
      <c r="P191">
        <v>1613.2</v>
      </c>
      <c r="Q191" t="s">
        <v>456</v>
      </c>
      <c r="R191" t="s">
        <v>23</v>
      </c>
      <c r="S191" t="s">
        <v>23</v>
      </c>
      <c r="T191" t="s">
        <v>23</v>
      </c>
      <c r="U191" t="s">
        <v>23</v>
      </c>
    </row>
    <row r="192" spans="1:21" x14ac:dyDescent="0.25">
      <c r="A192" t="s">
        <v>459</v>
      </c>
      <c r="B192" t="s">
        <v>21</v>
      </c>
      <c r="C192" t="s">
        <v>22</v>
      </c>
      <c r="D192" t="s">
        <v>22</v>
      </c>
      <c r="E192" t="s">
        <v>23</v>
      </c>
      <c r="F192" t="s">
        <v>24</v>
      </c>
      <c r="G192" t="s">
        <v>25</v>
      </c>
      <c r="H192" t="s">
        <v>23</v>
      </c>
      <c r="I192" t="s">
        <v>26</v>
      </c>
      <c r="J192" t="s">
        <v>460</v>
      </c>
      <c r="K192">
        <v>-12.151406</v>
      </c>
      <c r="L192">
        <v>-76.951355000000007</v>
      </c>
      <c r="M192" t="str">
        <f>HYPERLINK("https://www.google.com/maps/search/?api=1&amp;query=-12.151406,-76.951355","Avenida José Carlos Mariátegui, Villa María del Triunfo, Lima")</f>
        <v>Avenida José Carlos Mariátegui, Villa María del Triunfo, Lima</v>
      </c>
      <c r="N192">
        <v>19</v>
      </c>
      <c r="O192">
        <v>100</v>
      </c>
      <c r="P192">
        <v>1613.5</v>
      </c>
      <c r="Q192" t="s">
        <v>461</v>
      </c>
      <c r="R192" t="s">
        <v>23</v>
      </c>
      <c r="S192" t="s">
        <v>23</v>
      </c>
      <c r="T192" t="s">
        <v>23</v>
      </c>
      <c r="U192" t="s">
        <v>23</v>
      </c>
    </row>
    <row r="193" spans="1:21" x14ac:dyDescent="0.25">
      <c r="A193" t="s">
        <v>462</v>
      </c>
      <c r="B193" t="s">
        <v>21</v>
      </c>
      <c r="C193" t="s">
        <v>22</v>
      </c>
      <c r="D193" t="s">
        <v>22</v>
      </c>
      <c r="E193" t="s">
        <v>23</v>
      </c>
      <c r="F193" t="s">
        <v>24</v>
      </c>
      <c r="G193" t="s">
        <v>25</v>
      </c>
      <c r="H193" t="s">
        <v>23</v>
      </c>
      <c r="I193" t="s">
        <v>26</v>
      </c>
      <c r="J193" t="s">
        <v>463</v>
      </c>
      <c r="K193">
        <v>-12.148148000000001</v>
      </c>
      <c r="L193">
        <v>-76.950689999999994</v>
      </c>
      <c r="M193" t="str">
        <f>HYPERLINK("https://www.google.com/maps/search/?api=1&amp;query=-12.148148,-76.95069","Avenida José Carlos Mariátegui, Villa María del Triunfo, Lima")</f>
        <v>Avenida José Carlos Mariátegui, Villa María del Triunfo, Lima</v>
      </c>
      <c r="N193">
        <v>19.7</v>
      </c>
      <c r="O193">
        <v>100</v>
      </c>
      <c r="P193">
        <v>1613.7</v>
      </c>
      <c r="Q193" t="s">
        <v>461</v>
      </c>
      <c r="R193" t="s">
        <v>23</v>
      </c>
      <c r="S193" t="s">
        <v>23</v>
      </c>
      <c r="T193" t="s">
        <v>23</v>
      </c>
      <c r="U193" t="s">
        <v>23</v>
      </c>
    </row>
    <row r="194" spans="1:21" x14ac:dyDescent="0.25">
      <c r="A194" t="s">
        <v>464</v>
      </c>
      <c r="B194" t="s">
        <v>21</v>
      </c>
      <c r="C194" t="s">
        <v>22</v>
      </c>
      <c r="D194" t="s">
        <v>22</v>
      </c>
      <c r="E194" t="s">
        <v>23</v>
      </c>
      <c r="F194" t="s">
        <v>24</v>
      </c>
      <c r="G194" t="s">
        <v>25</v>
      </c>
      <c r="H194" t="s">
        <v>23</v>
      </c>
      <c r="I194" t="s">
        <v>26</v>
      </c>
      <c r="J194" t="s">
        <v>463</v>
      </c>
      <c r="K194">
        <v>-12.148148000000001</v>
      </c>
      <c r="L194">
        <v>-76.950689999999994</v>
      </c>
      <c r="M194" t="str">
        <f>HYPERLINK("https://www.google.com/maps/search/?api=1&amp;query=-12.148148,-76.95069","Avenida José Carlos Mariátegui, Villa María del Triunfo, Lima")</f>
        <v>Avenida José Carlos Mariátegui, Villa María del Triunfo, Lima</v>
      </c>
      <c r="N194">
        <v>19.7</v>
      </c>
      <c r="O194">
        <v>100</v>
      </c>
      <c r="P194">
        <v>1613.7</v>
      </c>
      <c r="Q194" t="s">
        <v>461</v>
      </c>
      <c r="R194" t="s">
        <v>221</v>
      </c>
      <c r="S194" t="s">
        <v>465</v>
      </c>
      <c r="T194" t="s">
        <v>223</v>
      </c>
      <c r="U194" t="s">
        <v>23</v>
      </c>
    </row>
    <row r="195" spans="1:21" x14ac:dyDescent="0.25">
      <c r="A195" t="s">
        <v>466</v>
      </c>
      <c r="B195" t="s">
        <v>21</v>
      </c>
      <c r="C195" t="s">
        <v>22</v>
      </c>
      <c r="D195" t="s">
        <v>22</v>
      </c>
      <c r="E195" t="s">
        <v>23</v>
      </c>
      <c r="F195" t="s">
        <v>24</v>
      </c>
      <c r="G195" t="s">
        <v>25</v>
      </c>
      <c r="H195" t="s">
        <v>23</v>
      </c>
      <c r="I195" t="s">
        <v>26</v>
      </c>
      <c r="J195" t="s">
        <v>467</v>
      </c>
      <c r="K195">
        <v>-12.146132</v>
      </c>
      <c r="L195">
        <v>-76.950270000000003</v>
      </c>
      <c r="M195" t="str">
        <f>HYPERLINK("https://www.google.com/maps/search/?api=1&amp;query=-12.146132,-76.95027","Avenida José Carlos Mariátegui, Villa María del Triunfo, Lima")</f>
        <v>Avenida José Carlos Mariátegui, Villa María del Triunfo, Lima</v>
      </c>
      <c r="N195">
        <v>7.6</v>
      </c>
      <c r="O195">
        <v>100</v>
      </c>
      <c r="P195">
        <v>1614.3</v>
      </c>
      <c r="Q195" t="s">
        <v>468</v>
      </c>
      <c r="R195" t="s">
        <v>338</v>
      </c>
      <c r="S195" t="s">
        <v>465</v>
      </c>
      <c r="T195" t="s">
        <v>223</v>
      </c>
      <c r="U195" t="s">
        <v>23</v>
      </c>
    </row>
    <row r="196" spans="1:21" x14ac:dyDescent="0.25">
      <c r="A196" t="s">
        <v>469</v>
      </c>
      <c r="B196" t="s">
        <v>21</v>
      </c>
      <c r="C196" t="s">
        <v>22</v>
      </c>
      <c r="D196" t="s">
        <v>22</v>
      </c>
      <c r="E196" t="s">
        <v>23</v>
      </c>
      <c r="F196" t="s">
        <v>24</v>
      </c>
      <c r="G196" t="s">
        <v>25</v>
      </c>
      <c r="H196" t="s">
        <v>23</v>
      </c>
      <c r="I196" t="s">
        <v>26</v>
      </c>
      <c r="J196" t="s">
        <v>467</v>
      </c>
      <c r="K196">
        <v>-12.146132</v>
      </c>
      <c r="L196">
        <v>-76.950270000000003</v>
      </c>
      <c r="M196" t="str">
        <f>HYPERLINK("https://www.google.com/maps/search/?api=1&amp;query=-12.146132,-76.95027","Avenida José Carlos Mariátegui, Villa María del Triunfo, Lima")</f>
        <v>Avenida José Carlos Mariátegui, Villa María del Triunfo, Lima</v>
      </c>
      <c r="N196">
        <v>7.6</v>
      </c>
      <c r="O196">
        <v>100</v>
      </c>
      <c r="P196">
        <v>1614.3</v>
      </c>
      <c r="Q196" t="s">
        <v>468</v>
      </c>
      <c r="R196" t="s">
        <v>23</v>
      </c>
      <c r="S196" t="s">
        <v>23</v>
      </c>
      <c r="T196" t="s">
        <v>23</v>
      </c>
      <c r="U196" t="s">
        <v>23</v>
      </c>
    </row>
    <row r="197" spans="1:21" x14ac:dyDescent="0.25">
      <c r="A197" t="s">
        <v>470</v>
      </c>
      <c r="B197" t="s">
        <v>21</v>
      </c>
      <c r="C197" t="s">
        <v>22</v>
      </c>
      <c r="D197" t="s">
        <v>22</v>
      </c>
      <c r="E197" t="s">
        <v>23</v>
      </c>
      <c r="F197" t="s">
        <v>24</v>
      </c>
      <c r="G197" t="s">
        <v>25</v>
      </c>
      <c r="H197" t="s">
        <v>23</v>
      </c>
      <c r="I197" t="s">
        <v>26</v>
      </c>
      <c r="J197" t="s">
        <v>471</v>
      </c>
      <c r="K197">
        <v>-12.143936</v>
      </c>
      <c r="L197">
        <v>-76.949759999999998</v>
      </c>
      <c r="M197" t="str">
        <f>HYPERLINK("https://www.google.com/maps/search/?api=1&amp;query=-12.143936,-76.94976","Avenida José Carlos Mariátegui, Villa María del Triunfo, Lima")</f>
        <v>Avenida José Carlos Mariátegui, Villa María del Triunfo, Lima</v>
      </c>
      <c r="N197">
        <v>18.100000000000001</v>
      </c>
      <c r="O197">
        <v>100</v>
      </c>
      <c r="P197">
        <v>1614.3</v>
      </c>
      <c r="Q197" t="s">
        <v>468</v>
      </c>
      <c r="R197" t="s">
        <v>23</v>
      </c>
      <c r="S197" t="s">
        <v>23</v>
      </c>
      <c r="T197" t="s">
        <v>23</v>
      </c>
      <c r="U197" t="s">
        <v>23</v>
      </c>
    </row>
    <row r="198" spans="1:21" x14ac:dyDescent="0.25">
      <c r="A198" t="s">
        <v>472</v>
      </c>
      <c r="B198" t="s">
        <v>21</v>
      </c>
      <c r="C198" t="s">
        <v>22</v>
      </c>
      <c r="D198" t="s">
        <v>22</v>
      </c>
      <c r="E198" t="s">
        <v>23</v>
      </c>
      <c r="F198" t="s">
        <v>24</v>
      </c>
      <c r="G198" t="s">
        <v>25</v>
      </c>
      <c r="H198" t="s">
        <v>23</v>
      </c>
      <c r="I198" t="s">
        <v>26</v>
      </c>
      <c r="J198" t="s">
        <v>473</v>
      </c>
      <c r="K198">
        <v>-12.142049999999999</v>
      </c>
      <c r="L198">
        <v>-76.949325999999999</v>
      </c>
      <c r="M198" t="str">
        <f>HYPERLINK("https://www.google.com/maps/search/?api=1&amp;query=-12.14205,-76.949326","Avenida José Carlos Mariátegui, Villa María del Triunfo, Lima")</f>
        <v>Avenida José Carlos Mariátegui, Villa María del Triunfo, Lima</v>
      </c>
      <c r="N198">
        <v>11.4</v>
      </c>
      <c r="O198">
        <v>100</v>
      </c>
      <c r="P198">
        <v>1614.6</v>
      </c>
      <c r="Q198" t="s">
        <v>468</v>
      </c>
      <c r="R198" t="s">
        <v>221</v>
      </c>
      <c r="S198" t="s">
        <v>474</v>
      </c>
      <c r="T198" t="s">
        <v>223</v>
      </c>
      <c r="U198" t="s">
        <v>23</v>
      </c>
    </row>
    <row r="199" spans="1:21" x14ac:dyDescent="0.25">
      <c r="A199" t="s">
        <v>475</v>
      </c>
      <c r="B199" t="s">
        <v>21</v>
      </c>
      <c r="C199" t="s">
        <v>22</v>
      </c>
      <c r="D199" t="s">
        <v>22</v>
      </c>
      <c r="E199" t="s">
        <v>23</v>
      </c>
      <c r="F199" t="s">
        <v>24</v>
      </c>
      <c r="G199" t="s">
        <v>25</v>
      </c>
      <c r="H199" t="s">
        <v>23</v>
      </c>
      <c r="I199" t="s">
        <v>26</v>
      </c>
      <c r="J199" t="s">
        <v>473</v>
      </c>
      <c r="K199">
        <v>-12.142049999999999</v>
      </c>
      <c r="L199">
        <v>-76.949325999999999</v>
      </c>
      <c r="M199" t="str">
        <f>HYPERLINK("https://www.google.com/maps/search/?api=1&amp;query=-12.14205,-76.949326","Avenida José Carlos Mariátegui, Villa María del Triunfo, Lima")</f>
        <v>Avenida José Carlos Mariátegui, Villa María del Triunfo, Lima</v>
      </c>
      <c r="N199">
        <v>11.4</v>
      </c>
      <c r="O199">
        <v>100</v>
      </c>
      <c r="P199">
        <v>1614.6</v>
      </c>
      <c r="Q199" t="s">
        <v>468</v>
      </c>
      <c r="R199" t="s">
        <v>23</v>
      </c>
      <c r="S199" t="s">
        <v>23</v>
      </c>
      <c r="T199" t="s">
        <v>23</v>
      </c>
      <c r="U199" t="s">
        <v>23</v>
      </c>
    </row>
    <row r="200" spans="1:21" x14ac:dyDescent="0.25">
      <c r="A200" t="s">
        <v>476</v>
      </c>
      <c r="B200" t="s">
        <v>21</v>
      </c>
      <c r="C200" t="s">
        <v>22</v>
      </c>
      <c r="D200" t="s">
        <v>22</v>
      </c>
      <c r="E200" t="s">
        <v>23</v>
      </c>
      <c r="F200" t="s">
        <v>24</v>
      </c>
      <c r="G200" t="s">
        <v>25</v>
      </c>
      <c r="H200" t="s">
        <v>23</v>
      </c>
      <c r="I200" t="s">
        <v>26</v>
      </c>
      <c r="J200" t="s">
        <v>477</v>
      </c>
      <c r="K200">
        <v>-12.141862</v>
      </c>
      <c r="L200">
        <v>-76.94932</v>
      </c>
      <c r="M200" t="str">
        <f>HYPERLINK("https://www.google.com/maps/search/?api=1&amp;query=-12.141862,-76.94932","Avenida José Carlos Mariátegui, Villa María del Triunfo, Lima")</f>
        <v>Avenida José Carlos Mariátegui, Villa María del Triunfo, Lima</v>
      </c>
      <c r="N200">
        <v>6.4</v>
      </c>
      <c r="O200">
        <v>100</v>
      </c>
      <c r="P200">
        <v>1614.8</v>
      </c>
      <c r="Q200" t="s">
        <v>478</v>
      </c>
      <c r="R200" t="s">
        <v>23</v>
      </c>
      <c r="S200" t="s">
        <v>23</v>
      </c>
      <c r="T200" t="s">
        <v>23</v>
      </c>
      <c r="U200" t="s">
        <v>23</v>
      </c>
    </row>
    <row r="201" spans="1:21" x14ac:dyDescent="0.25">
      <c r="A201" t="s">
        <v>479</v>
      </c>
      <c r="B201" t="s">
        <v>21</v>
      </c>
      <c r="C201" t="s">
        <v>22</v>
      </c>
      <c r="D201" t="s">
        <v>22</v>
      </c>
      <c r="E201" t="s">
        <v>23</v>
      </c>
      <c r="F201" t="s">
        <v>24</v>
      </c>
      <c r="G201" t="s">
        <v>25</v>
      </c>
      <c r="H201" t="s">
        <v>23</v>
      </c>
      <c r="I201" t="s">
        <v>26</v>
      </c>
      <c r="J201" t="s">
        <v>480</v>
      </c>
      <c r="K201">
        <v>-12.141705999999999</v>
      </c>
      <c r="L201">
        <v>-76.949614999999994</v>
      </c>
      <c r="M201" t="str">
        <f>HYPERLINK("https://www.google.com/maps/search/?api=1&amp;query=-12.141706,-76.949615","Avenida Leoncio Prado, Villa María del Triunfo, Lima")</f>
        <v>Avenida Leoncio Prado, Villa María del Triunfo, Lima</v>
      </c>
      <c r="N201">
        <v>7.8</v>
      </c>
      <c r="O201">
        <v>100</v>
      </c>
      <c r="P201">
        <v>1614.8</v>
      </c>
      <c r="Q201" t="s">
        <v>478</v>
      </c>
      <c r="R201" t="s">
        <v>23</v>
      </c>
      <c r="S201" t="s">
        <v>23</v>
      </c>
      <c r="T201" t="s">
        <v>23</v>
      </c>
      <c r="U201" t="s">
        <v>23</v>
      </c>
    </row>
    <row r="202" spans="1:21" x14ac:dyDescent="0.25">
      <c r="A202" t="s">
        <v>481</v>
      </c>
      <c r="B202" t="s">
        <v>21</v>
      </c>
      <c r="C202" t="s">
        <v>22</v>
      </c>
      <c r="D202" t="s">
        <v>22</v>
      </c>
      <c r="E202" t="s">
        <v>23</v>
      </c>
      <c r="F202" t="s">
        <v>24</v>
      </c>
      <c r="G202" t="s">
        <v>25</v>
      </c>
      <c r="H202" t="s">
        <v>23</v>
      </c>
      <c r="I202" t="s">
        <v>26</v>
      </c>
      <c r="J202" t="s">
        <v>482</v>
      </c>
      <c r="K202">
        <v>-12.141738999999999</v>
      </c>
      <c r="L202">
        <v>-76.949680000000001</v>
      </c>
      <c r="M202" t="str">
        <f>HYPERLINK("https://www.google.com/maps/search/?api=1&amp;query=-12.141739,-76.94968","Avenida Primavera, Villa María del Triunfo, Lima")</f>
        <v>Avenida Primavera, Villa María del Triunfo, Lima</v>
      </c>
      <c r="N202">
        <v>11</v>
      </c>
      <c r="O202">
        <v>100</v>
      </c>
      <c r="P202">
        <v>1614.8</v>
      </c>
      <c r="Q202" t="s">
        <v>478</v>
      </c>
      <c r="R202" t="s">
        <v>23</v>
      </c>
      <c r="S202" t="s">
        <v>23</v>
      </c>
      <c r="T202" t="s">
        <v>23</v>
      </c>
      <c r="U202" t="s">
        <v>23</v>
      </c>
    </row>
    <row r="203" spans="1:21" x14ac:dyDescent="0.25">
      <c r="A203" t="s">
        <v>483</v>
      </c>
      <c r="B203" t="s">
        <v>21</v>
      </c>
      <c r="C203" t="s">
        <v>22</v>
      </c>
      <c r="D203" t="s">
        <v>22</v>
      </c>
      <c r="E203" t="s">
        <v>23</v>
      </c>
      <c r="F203" t="s">
        <v>24</v>
      </c>
      <c r="G203" t="s">
        <v>25</v>
      </c>
      <c r="H203" t="s">
        <v>23</v>
      </c>
      <c r="I203" t="s">
        <v>26</v>
      </c>
      <c r="J203" t="s">
        <v>484</v>
      </c>
      <c r="K203">
        <v>-12.141738999999999</v>
      </c>
      <c r="L203">
        <v>-76.949680000000001</v>
      </c>
      <c r="M203" t="str">
        <f>HYPERLINK("https://www.google.com/maps/search/?api=1&amp;query=-12.141739,-76.94968","Avenida Primavera, Villa María del Triunfo, Lima")</f>
        <v>Avenida Primavera, Villa María del Triunfo, Lima</v>
      </c>
      <c r="N203">
        <v>11</v>
      </c>
      <c r="O203">
        <v>100</v>
      </c>
      <c r="P203">
        <v>1614.8</v>
      </c>
      <c r="Q203" t="s">
        <v>478</v>
      </c>
      <c r="R203" t="s">
        <v>252</v>
      </c>
      <c r="S203" t="s">
        <v>23</v>
      </c>
      <c r="T203" t="s">
        <v>23</v>
      </c>
      <c r="U203" t="s">
        <v>23</v>
      </c>
    </row>
    <row r="204" spans="1:21" x14ac:dyDescent="0.25">
      <c r="A204" t="s">
        <v>485</v>
      </c>
      <c r="B204" t="s">
        <v>21</v>
      </c>
      <c r="C204" t="s">
        <v>22</v>
      </c>
      <c r="D204" t="s">
        <v>22</v>
      </c>
      <c r="E204" t="s">
        <v>23</v>
      </c>
      <c r="F204" t="s">
        <v>24</v>
      </c>
      <c r="G204" t="s">
        <v>25</v>
      </c>
      <c r="H204" t="s">
        <v>23</v>
      </c>
      <c r="I204" t="s">
        <v>26</v>
      </c>
      <c r="J204" t="s">
        <v>486</v>
      </c>
      <c r="K204">
        <v>-12.141913000000001</v>
      </c>
      <c r="L204">
        <v>-76.949740000000006</v>
      </c>
      <c r="M204" t="str">
        <f>HYPERLINK("https://www.google.com/maps/search/?api=1&amp;query=-12.141913,-76.94974","Avenida Primavera, Villa María del Triunfo, Lima")</f>
        <v>Avenida Primavera, Villa María del Triunfo, Lima</v>
      </c>
      <c r="N204">
        <v>0</v>
      </c>
      <c r="O204">
        <v>100</v>
      </c>
      <c r="P204">
        <v>1614.8</v>
      </c>
      <c r="Q204" t="s">
        <v>478</v>
      </c>
      <c r="R204" t="s">
        <v>23</v>
      </c>
      <c r="S204" t="s">
        <v>23</v>
      </c>
      <c r="T204" t="s">
        <v>23</v>
      </c>
      <c r="U204" t="s">
        <v>23</v>
      </c>
    </row>
    <row r="205" spans="1:21" x14ac:dyDescent="0.25">
      <c r="A205" t="s">
        <v>487</v>
      </c>
      <c r="B205" t="s">
        <v>21</v>
      </c>
      <c r="C205" t="s">
        <v>22</v>
      </c>
      <c r="D205" t="s">
        <v>22</v>
      </c>
      <c r="E205" t="s">
        <v>23</v>
      </c>
      <c r="F205" t="s">
        <v>24</v>
      </c>
      <c r="G205" t="s">
        <v>25</v>
      </c>
      <c r="H205" t="s">
        <v>23</v>
      </c>
      <c r="I205" t="s">
        <v>26</v>
      </c>
      <c r="J205" t="s">
        <v>488</v>
      </c>
      <c r="K205">
        <v>-12.141913000000001</v>
      </c>
      <c r="L205">
        <v>-76.949740000000006</v>
      </c>
      <c r="M205" t="str">
        <f>HYPERLINK("https://www.google.com/maps/search/?api=1&amp;query=-12.141913,-76.94974","Avenida Primavera, Villa María del Triunfo, Lima")</f>
        <v>Avenida Primavera, Villa María del Triunfo, Lima</v>
      </c>
      <c r="N205">
        <v>0</v>
      </c>
      <c r="O205">
        <v>100</v>
      </c>
      <c r="P205">
        <v>1614.8</v>
      </c>
      <c r="Q205" t="s">
        <v>478</v>
      </c>
      <c r="R205" t="s">
        <v>63</v>
      </c>
      <c r="S205" t="s">
        <v>23</v>
      </c>
      <c r="T205" t="s">
        <v>23</v>
      </c>
      <c r="U205" t="s">
        <v>23</v>
      </c>
    </row>
    <row r="206" spans="1:21" x14ac:dyDescent="0.25">
      <c r="A206" t="s">
        <v>489</v>
      </c>
      <c r="B206" t="s">
        <v>21</v>
      </c>
      <c r="C206" t="s">
        <v>22</v>
      </c>
      <c r="D206" t="s">
        <v>22</v>
      </c>
      <c r="E206" t="s">
        <v>23</v>
      </c>
      <c r="F206" t="s">
        <v>24</v>
      </c>
      <c r="G206" t="s">
        <v>25</v>
      </c>
      <c r="H206" t="s">
        <v>23</v>
      </c>
      <c r="I206" t="s">
        <v>26</v>
      </c>
      <c r="J206" t="s">
        <v>490</v>
      </c>
      <c r="K206">
        <v>-12.141939000000001</v>
      </c>
      <c r="L206">
        <v>-76.949749999999995</v>
      </c>
      <c r="M206" t="str">
        <f>HYPERLINK("https://www.google.com/maps/search/?api=1&amp;query=-12.141939,-76.94975","Avenida Primavera, Villa María del Triunfo, Lima")</f>
        <v>Avenida Primavera, Villa María del Triunfo, Lima</v>
      </c>
      <c r="N206">
        <v>0.8</v>
      </c>
      <c r="O206">
        <v>100</v>
      </c>
      <c r="P206">
        <v>1614.8</v>
      </c>
      <c r="Q206" t="s">
        <v>478</v>
      </c>
      <c r="R206" t="s">
        <v>23</v>
      </c>
      <c r="S206" t="s">
        <v>23</v>
      </c>
      <c r="T206" t="s">
        <v>23</v>
      </c>
      <c r="U206" t="s">
        <v>23</v>
      </c>
    </row>
    <row r="207" spans="1:21" x14ac:dyDescent="0.25">
      <c r="A207" t="s">
        <v>491</v>
      </c>
      <c r="B207" t="s">
        <v>21</v>
      </c>
      <c r="C207" t="s">
        <v>22</v>
      </c>
      <c r="D207" t="s">
        <v>22</v>
      </c>
      <c r="E207" t="s">
        <v>23</v>
      </c>
      <c r="F207" t="s">
        <v>24</v>
      </c>
      <c r="G207" t="s">
        <v>25</v>
      </c>
      <c r="H207" t="s">
        <v>23</v>
      </c>
      <c r="I207" t="s">
        <v>26</v>
      </c>
      <c r="J207" t="s">
        <v>492</v>
      </c>
      <c r="K207">
        <v>-12.141939000000001</v>
      </c>
      <c r="L207">
        <v>-76.949749999999995</v>
      </c>
      <c r="M207" t="str">
        <f>HYPERLINK("https://www.google.com/maps/search/?api=1&amp;query=-12.141939,-76.94975","Avenida Primavera, Villa María del Triunfo, Lima")</f>
        <v>Avenida Primavera, Villa María del Triunfo, Lima</v>
      </c>
      <c r="N207">
        <v>0.8</v>
      </c>
      <c r="O207">
        <v>100</v>
      </c>
      <c r="P207">
        <v>1614.8</v>
      </c>
      <c r="Q207" t="s">
        <v>478</v>
      </c>
      <c r="R207" t="s">
        <v>252</v>
      </c>
      <c r="S207" t="s">
        <v>23</v>
      </c>
      <c r="T207" t="s">
        <v>23</v>
      </c>
      <c r="U207" t="s">
        <v>23</v>
      </c>
    </row>
    <row r="208" spans="1:21" x14ac:dyDescent="0.25">
      <c r="A208" t="s">
        <v>493</v>
      </c>
      <c r="B208" t="s">
        <v>21</v>
      </c>
      <c r="C208" t="s">
        <v>22</v>
      </c>
      <c r="D208" t="s">
        <v>22</v>
      </c>
      <c r="E208" t="s">
        <v>23</v>
      </c>
      <c r="F208" t="s">
        <v>24</v>
      </c>
      <c r="G208" t="s">
        <v>25</v>
      </c>
      <c r="H208" t="s">
        <v>23</v>
      </c>
      <c r="I208" t="s">
        <v>26</v>
      </c>
      <c r="J208" t="s">
        <v>494</v>
      </c>
      <c r="K208">
        <v>-12.141953000000001</v>
      </c>
      <c r="L208">
        <v>-76.949780000000004</v>
      </c>
      <c r="M208" t="str">
        <f>HYPERLINK("https://www.google.com/maps/search/?api=1&amp;query=-12.141953,-76.94978","Avenida Primavera, Villa María del Triunfo, Lima")</f>
        <v>Avenida Primavera, Villa María del Triunfo, Lima</v>
      </c>
      <c r="N208">
        <v>0</v>
      </c>
      <c r="O208">
        <v>100</v>
      </c>
      <c r="P208">
        <v>1614.8</v>
      </c>
      <c r="Q208" t="s">
        <v>478</v>
      </c>
      <c r="R208" t="s">
        <v>23</v>
      </c>
      <c r="S208" t="s">
        <v>23</v>
      </c>
      <c r="T208" t="s">
        <v>23</v>
      </c>
      <c r="U208" t="s">
        <v>23</v>
      </c>
    </row>
    <row r="209" spans="1:21" x14ac:dyDescent="0.25">
      <c r="A209" t="s">
        <v>495</v>
      </c>
      <c r="B209" t="s">
        <v>21</v>
      </c>
      <c r="C209" t="s">
        <v>22</v>
      </c>
      <c r="D209" t="s">
        <v>22</v>
      </c>
      <c r="E209" t="s">
        <v>23</v>
      </c>
      <c r="F209" t="s">
        <v>24</v>
      </c>
      <c r="G209" t="s">
        <v>25</v>
      </c>
      <c r="H209" t="s">
        <v>23</v>
      </c>
      <c r="I209" t="s">
        <v>26</v>
      </c>
      <c r="J209" t="s">
        <v>496</v>
      </c>
      <c r="K209">
        <v>-12.141953000000001</v>
      </c>
      <c r="L209">
        <v>-76.949780000000004</v>
      </c>
      <c r="M209" t="str">
        <f>HYPERLINK("https://www.google.com/maps/search/?api=1&amp;query=-12.141953,-76.94978","Avenida Primavera, Villa María del Triunfo, Lima")</f>
        <v>Avenida Primavera, Villa María del Triunfo, Lima</v>
      </c>
      <c r="N209">
        <v>0</v>
      </c>
      <c r="O209">
        <v>100</v>
      </c>
      <c r="P209">
        <v>1614.8</v>
      </c>
      <c r="Q209" t="s">
        <v>497</v>
      </c>
      <c r="R209" t="s">
        <v>23</v>
      </c>
      <c r="S209" t="s">
        <v>23</v>
      </c>
      <c r="T209" t="s">
        <v>23</v>
      </c>
      <c r="U209" t="s">
        <v>23</v>
      </c>
    </row>
    <row r="210" spans="1:21" x14ac:dyDescent="0.25">
      <c r="A210" t="s">
        <v>498</v>
      </c>
      <c r="B210" t="s">
        <v>21</v>
      </c>
      <c r="C210" t="s">
        <v>22</v>
      </c>
      <c r="D210" t="s">
        <v>22</v>
      </c>
      <c r="E210" t="s">
        <v>23</v>
      </c>
      <c r="F210" t="s">
        <v>24</v>
      </c>
      <c r="G210" t="s">
        <v>25</v>
      </c>
      <c r="H210" t="s">
        <v>23</v>
      </c>
      <c r="I210" t="s">
        <v>26</v>
      </c>
      <c r="J210" t="s">
        <v>499</v>
      </c>
      <c r="K210">
        <v>-12.141953000000001</v>
      </c>
      <c r="L210">
        <v>-76.949780000000004</v>
      </c>
      <c r="M210" t="str">
        <f>HYPERLINK("https://www.google.com/maps/search/?api=1&amp;query=-12.141953,-76.94978","Avenida Primavera, Villa María del Triunfo, Lima")</f>
        <v>Avenida Primavera, Villa María del Triunfo, Lima</v>
      </c>
      <c r="N210">
        <v>0</v>
      </c>
      <c r="O210">
        <v>100</v>
      </c>
      <c r="P210">
        <v>1614.8</v>
      </c>
      <c r="Q210" t="s">
        <v>497</v>
      </c>
      <c r="R210" t="s">
        <v>63</v>
      </c>
      <c r="S210" t="s">
        <v>23</v>
      </c>
      <c r="T210" t="s">
        <v>23</v>
      </c>
      <c r="U210" t="s">
        <v>23</v>
      </c>
    </row>
    <row r="211" spans="1:21" x14ac:dyDescent="0.25">
      <c r="A211" t="s">
        <v>500</v>
      </c>
      <c r="B211" t="s">
        <v>21</v>
      </c>
      <c r="C211" t="s">
        <v>22</v>
      </c>
      <c r="D211" t="s">
        <v>22</v>
      </c>
      <c r="E211" t="s">
        <v>23</v>
      </c>
      <c r="F211" t="s">
        <v>24</v>
      </c>
      <c r="G211" t="s">
        <v>25</v>
      </c>
      <c r="H211" t="s">
        <v>23</v>
      </c>
      <c r="I211" t="s">
        <v>26</v>
      </c>
      <c r="J211" t="s">
        <v>501</v>
      </c>
      <c r="K211">
        <v>-12.14198</v>
      </c>
      <c r="L211">
        <v>-76.95</v>
      </c>
      <c r="M211" t="str">
        <f>HYPERLINK("https://www.google.com/maps/search/?api=1&amp;query=-12.14198,-76.95","Avenida Ramon Castilla, Villa María del Triunfo, Lima")</f>
        <v>Avenida Ramon Castilla, Villa María del Triunfo, Lima</v>
      </c>
      <c r="N211">
        <v>0</v>
      </c>
      <c r="O211">
        <v>100</v>
      </c>
      <c r="P211">
        <v>1614.8</v>
      </c>
      <c r="Q211" t="s">
        <v>497</v>
      </c>
      <c r="R211" t="s">
        <v>338</v>
      </c>
      <c r="S211" t="s">
        <v>474</v>
      </c>
      <c r="T211" t="s">
        <v>223</v>
      </c>
      <c r="U211" t="s">
        <v>23</v>
      </c>
    </row>
    <row r="212" spans="1:21" x14ac:dyDescent="0.25">
      <c r="A212" t="s">
        <v>502</v>
      </c>
      <c r="B212" t="s">
        <v>21</v>
      </c>
      <c r="C212" t="s">
        <v>22</v>
      </c>
      <c r="D212" t="s">
        <v>22</v>
      </c>
      <c r="E212" t="s">
        <v>23</v>
      </c>
      <c r="F212" t="s">
        <v>24</v>
      </c>
      <c r="G212" t="s">
        <v>25</v>
      </c>
      <c r="H212" t="s">
        <v>23</v>
      </c>
      <c r="I212" t="s">
        <v>26</v>
      </c>
      <c r="J212" t="s">
        <v>501</v>
      </c>
      <c r="K212">
        <v>-12.14198</v>
      </c>
      <c r="L212">
        <v>-76.95</v>
      </c>
      <c r="M212" t="str">
        <f>HYPERLINK("https://www.google.com/maps/search/?api=1&amp;query=-12.14198,-76.95","Avenida Ramon Castilla, Villa María del Triunfo, Lima")</f>
        <v>Avenida Ramon Castilla, Villa María del Triunfo, Lima</v>
      </c>
      <c r="N212">
        <v>0</v>
      </c>
      <c r="O212">
        <v>100</v>
      </c>
      <c r="P212">
        <v>1614.8</v>
      </c>
      <c r="Q212" t="s">
        <v>497</v>
      </c>
      <c r="R212" t="s">
        <v>23</v>
      </c>
      <c r="S212" t="s">
        <v>23</v>
      </c>
      <c r="T212" t="s">
        <v>23</v>
      </c>
      <c r="U212" t="s">
        <v>23</v>
      </c>
    </row>
    <row r="213" spans="1:21" x14ac:dyDescent="0.25">
      <c r="A213" t="s">
        <v>503</v>
      </c>
      <c r="B213" t="s">
        <v>21</v>
      </c>
      <c r="C213" t="s">
        <v>22</v>
      </c>
      <c r="D213" t="s">
        <v>22</v>
      </c>
      <c r="E213" t="s">
        <v>23</v>
      </c>
      <c r="F213" t="s">
        <v>24</v>
      </c>
      <c r="G213" t="s">
        <v>25</v>
      </c>
      <c r="H213" t="s">
        <v>23</v>
      </c>
      <c r="I213" t="s">
        <v>26</v>
      </c>
      <c r="J213" t="s">
        <v>504</v>
      </c>
      <c r="K213">
        <v>-12.142002</v>
      </c>
      <c r="L213">
        <v>-76.949979999999996</v>
      </c>
      <c r="M213" t="str">
        <f>HYPERLINK("https://www.google.com/maps/search/?api=1&amp;query=-12.142002,-76.94998","Avenida Ramon Castilla, Villa María del Triunfo, Lima")</f>
        <v>Avenida Ramon Castilla, Villa María del Triunfo, Lima</v>
      </c>
      <c r="N213">
        <v>11.8</v>
      </c>
      <c r="O213">
        <v>100</v>
      </c>
      <c r="P213">
        <v>1614.9</v>
      </c>
      <c r="Q213" t="s">
        <v>497</v>
      </c>
      <c r="R213" t="s">
        <v>23</v>
      </c>
      <c r="S213" t="s">
        <v>23</v>
      </c>
      <c r="T213" t="s">
        <v>23</v>
      </c>
      <c r="U213" t="s">
        <v>23</v>
      </c>
    </row>
    <row r="214" spans="1:21" x14ac:dyDescent="0.25">
      <c r="A214" t="s">
        <v>505</v>
      </c>
      <c r="B214" t="s">
        <v>21</v>
      </c>
      <c r="C214" t="s">
        <v>22</v>
      </c>
      <c r="D214" t="s">
        <v>22</v>
      </c>
      <c r="E214" t="s">
        <v>23</v>
      </c>
      <c r="F214" t="s">
        <v>24</v>
      </c>
      <c r="G214" t="s">
        <v>25</v>
      </c>
      <c r="H214" t="s">
        <v>23</v>
      </c>
      <c r="I214" t="s">
        <v>26</v>
      </c>
      <c r="J214" t="s">
        <v>506</v>
      </c>
      <c r="K214">
        <v>-12.144598</v>
      </c>
      <c r="L214">
        <v>-76.950469999999996</v>
      </c>
      <c r="M214" t="str">
        <f>HYPERLINK("https://www.google.com/maps/search/?api=1&amp;query=-12.144598,-76.95047","Avenida Primavera, Villa María del Triunfo, Lima")</f>
        <v>Avenida Primavera, Villa María del Triunfo, Lima</v>
      </c>
      <c r="N214">
        <v>9</v>
      </c>
      <c r="O214">
        <v>100</v>
      </c>
      <c r="P214">
        <v>1615.2</v>
      </c>
      <c r="Q214" t="s">
        <v>497</v>
      </c>
      <c r="R214" t="s">
        <v>23</v>
      </c>
      <c r="S214" t="s">
        <v>23</v>
      </c>
      <c r="T214" t="s">
        <v>23</v>
      </c>
      <c r="U214" t="s">
        <v>23</v>
      </c>
    </row>
    <row r="215" spans="1:21" x14ac:dyDescent="0.25">
      <c r="A215" t="s">
        <v>507</v>
      </c>
      <c r="B215" t="s">
        <v>21</v>
      </c>
      <c r="C215" t="s">
        <v>22</v>
      </c>
      <c r="D215" t="s">
        <v>22</v>
      </c>
      <c r="E215" t="s">
        <v>23</v>
      </c>
      <c r="F215" t="s">
        <v>24</v>
      </c>
      <c r="G215" t="s">
        <v>25</v>
      </c>
      <c r="H215" t="s">
        <v>23</v>
      </c>
      <c r="I215" t="s">
        <v>26</v>
      </c>
      <c r="J215" t="s">
        <v>508</v>
      </c>
      <c r="K215">
        <v>-12.147378</v>
      </c>
      <c r="L215">
        <v>-76.951099999999997</v>
      </c>
      <c r="M215" t="str">
        <f>HYPERLINK("https://www.google.com/maps/search/?api=1&amp;query=-12.147378,-76.9511","Avenida Primavera, Villa María del Triunfo, Lima")</f>
        <v>Avenida Primavera, Villa María del Triunfo, Lima</v>
      </c>
      <c r="N215">
        <v>10.5</v>
      </c>
      <c r="O215">
        <v>100</v>
      </c>
      <c r="P215">
        <v>1615.5</v>
      </c>
      <c r="Q215" t="s">
        <v>509</v>
      </c>
      <c r="R215" t="s">
        <v>23</v>
      </c>
      <c r="S215" t="s">
        <v>23</v>
      </c>
      <c r="T215" t="s">
        <v>23</v>
      </c>
      <c r="U215" t="s">
        <v>23</v>
      </c>
    </row>
    <row r="216" spans="1:21" x14ac:dyDescent="0.25">
      <c r="A216" t="s">
        <v>510</v>
      </c>
      <c r="B216" t="s">
        <v>21</v>
      </c>
      <c r="C216" t="s">
        <v>22</v>
      </c>
      <c r="D216" t="s">
        <v>22</v>
      </c>
      <c r="E216" t="s">
        <v>23</v>
      </c>
      <c r="F216" t="s">
        <v>24</v>
      </c>
      <c r="G216" t="s">
        <v>25</v>
      </c>
      <c r="H216" t="s">
        <v>23</v>
      </c>
      <c r="I216" t="s">
        <v>26</v>
      </c>
      <c r="J216" t="s">
        <v>511</v>
      </c>
      <c r="K216">
        <v>-12.150407</v>
      </c>
      <c r="L216">
        <v>-76.951740000000001</v>
      </c>
      <c r="M216" t="str">
        <f>HYPERLINK("https://www.google.com/maps/search/?api=1&amp;query=-12.150407,-76.95174","Avenida Primavera, Villa María del Triunfo, Lima")</f>
        <v>Avenida Primavera, Villa María del Triunfo, Lima</v>
      </c>
      <c r="N216">
        <v>5.0999999999999996</v>
      </c>
      <c r="O216">
        <v>100</v>
      </c>
      <c r="P216">
        <v>1615.5</v>
      </c>
      <c r="Q216" t="s">
        <v>509</v>
      </c>
      <c r="R216" t="s">
        <v>23</v>
      </c>
      <c r="S216" t="s">
        <v>23</v>
      </c>
      <c r="T216" t="s">
        <v>23</v>
      </c>
      <c r="U216" t="s">
        <v>23</v>
      </c>
    </row>
    <row r="217" spans="1:21" x14ac:dyDescent="0.25">
      <c r="A217" t="s">
        <v>512</v>
      </c>
      <c r="B217" t="s">
        <v>21</v>
      </c>
      <c r="C217" t="s">
        <v>22</v>
      </c>
      <c r="D217" t="s">
        <v>22</v>
      </c>
      <c r="E217" t="s">
        <v>23</v>
      </c>
      <c r="F217" t="s">
        <v>24</v>
      </c>
      <c r="G217" t="s">
        <v>25</v>
      </c>
      <c r="H217" t="s">
        <v>23</v>
      </c>
      <c r="I217" t="s">
        <v>26</v>
      </c>
      <c r="J217" t="s">
        <v>513</v>
      </c>
      <c r="K217">
        <v>-12.152074000000001</v>
      </c>
      <c r="L217">
        <v>-76.952299999999994</v>
      </c>
      <c r="M217" t="str">
        <f>HYPERLINK("https://www.google.com/maps/search/?api=1&amp;query=-12.152074,-76.9523","Avenida Primavera, Villa María del Triunfo, Lima")</f>
        <v>Avenida Primavera, Villa María del Triunfo, Lima</v>
      </c>
      <c r="N217">
        <v>17.3</v>
      </c>
      <c r="O217">
        <v>100</v>
      </c>
      <c r="P217">
        <v>1615.9</v>
      </c>
      <c r="Q217" t="s">
        <v>514</v>
      </c>
      <c r="R217" t="s">
        <v>23</v>
      </c>
      <c r="S217" t="s">
        <v>23</v>
      </c>
      <c r="T217" t="s">
        <v>23</v>
      </c>
      <c r="U217" t="s">
        <v>23</v>
      </c>
    </row>
    <row r="218" spans="1:21" x14ac:dyDescent="0.25">
      <c r="A218" t="s">
        <v>515</v>
      </c>
      <c r="B218" t="s">
        <v>21</v>
      </c>
      <c r="C218" t="s">
        <v>22</v>
      </c>
      <c r="D218" t="s">
        <v>22</v>
      </c>
      <c r="E218" t="s">
        <v>23</v>
      </c>
      <c r="F218" t="s">
        <v>24</v>
      </c>
      <c r="G218" t="s">
        <v>25</v>
      </c>
      <c r="H218" t="s">
        <v>23</v>
      </c>
      <c r="I218" t="s">
        <v>26</v>
      </c>
      <c r="J218" t="s">
        <v>516</v>
      </c>
      <c r="K218">
        <v>-12.152046</v>
      </c>
      <c r="L218">
        <v>-76.952439999999996</v>
      </c>
      <c r="M218" t="str">
        <f>HYPERLINK("https://www.google.com/maps/search/?api=1&amp;query=-12.152046,-76.95244","Jirón Inti Raymi, Villa María del Triunfo, Lima")</f>
        <v>Jirón Inti Raymi, Villa María del Triunfo, Lima</v>
      </c>
      <c r="N218">
        <v>20.399999999999999</v>
      </c>
      <c r="O218">
        <v>100</v>
      </c>
      <c r="P218">
        <v>1615.9</v>
      </c>
      <c r="Q218" t="s">
        <v>514</v>
      </c>
      <c r="R218" t="s">
        <v>23</v>
      </c>
      <c r="S218" t="s">
        <v>23</v>
      </c>
      <c r="T218" t="s">
        <v>23</v>
      </c>
      <c r="U218" t="s">
        <v>23</v>
      </c>
    </row>
    <row r="219" spans="1:21" x14ac:dyDescent="0.25">
      <c r="A219" t="s">
        <v>517</v>
      </c>
      <c r="B219" t="s">
        <v>21</v>
      </c>
      <c r="C219" t="s">
        <v>22</v>
      </c>
      <c r="D219" t="s">
        <v>22</v>
      </c>
      <c r="E219" t="s">
        <v>23</v>
      </c>
      <c r="F219" t="s">
        <v>24</v>
      </c>
      <c r="G219" t="s">
        <v>25</v>
      </c>
      <c r="H219" t="s">
        <v>23</v>
      </c>
      <c r="I219" t="s">
        <v>26</v>
      </c>
      <c r="J219" t="s">
        <v>518</v>
      </c>
      <c r="K219">
        <v>-12.151569</v>
      </c>
      <c r="L219">
        <v>-76.953316000000001</v>
      </c>
      <c r="M219" t="str">
        <f>HYPERLINK("https://www.google.com/maps/search/?api=1&amp;query=-12.151569,-76.953316","Jirón Micaela Bastidas, Villa María del Triunfo, Lima")</f>
        <v>Jirón Micaela Bastidas, Villa María del Triunfo, Lima</v>
      </c>
      <c r="N219">
        <v>17.8</v>
      </c>
      <c r="O219">
        <v>100</v>
      </c>
      <c r="P219">
        <v>1615.9</v>
      </c>
      <c r="Q219" t="s">
        <v>514</v>
      </c>
      <c r="R219" t="s">
        <v>23</v>
      </c>
      <c r="S219" t="s">
        <v>23</v>
      </c>
      <c r="T219" t="s">
        <v>23</v>
      </c>
      <c r="U219" t="s">
        <v>23</v>
      </c>
    </row>
    <row r="220" spans="1:21" x14ac:dyDescent="0.25">
      <c r="A220" t="s">
        <v>519</v>
      </c>
      <c r="B220" t="s">
        <v>21</v>
      </c>
      <c r="C220" t="s">
        <v>22</v>
      </c>
      <c r="D220" t="s">
        <v>22</v>
      </c>
      <c r="E220" t="s">
        <v>23</v>
      </c>
      <c r="F220" t="s">
        <v>24</v>
      </c>
      <c r="G220" t="s">
        <v>25</v>
      </c>
      <c r="H220" t="s">
        <v>23</v>
      </c>
      <c r="I220" t="s">
        <v>26</v>
      </c>
      <c r="J220" t="s">
        <v>518</v>
      </c>
      <c r="K220">
        <v>-12.151668000000001</v>
      </c>
      <c r="L220">
        <v>-76.953410000000005</v>
      </c>
      <c r="M220" t="str">
        <f>HYPERLINK("https://www.google.com/maps/search/?api=1&amp;query=-12.151668,-76.95341","Jirón Micaela Bastidas, Villa María del Triunfo, Lima")</f>
        <v>Jirón Micaela Bastidas, Villa María del Triunfo, Lima</v>
      </c>
      <c r="N220">
        <v>20</v>
      </c>
      <c r="O220">
        <v>100</v>
      </c>
      <c r="P220">
        <v>1615.9</v>
      </c>
      <c r="Q220" t="s">
        <v>514</v>
      </c>
      <c r="R220" t="s">
        <v>23</v>
      </c>
      <c r="S220" t="s">
        <v>23</v>
      </c>
      <c r="T220" t="s">
        <v>23</v>
      </c>
      <c r="U220" t="s">
        <v>23</v>
      </c>
    </row>
    <row r="221" spans="1:21" x14ac:dyDescent="0.25">
      <c r="A221" t="s">
        <v>520</v>
      </c>
      <c r="B221" t="s">
        <v>21</v>
      </c>
      <c r="C221" t="s">
        <v>22</v>
      </c>
      <c r="D221" t="s">
        <v>22</v>
      </c>
      <c r="E221" t="s">
        <v>23</v>
      </c>
      <c r="F221" t="s">
        <v>24</v>
      </c>
      <c r="G221" t="s">
        <v>25</v>
      </c>
      <c r="H221" t="s">
        <v>23</v>
      </c>
      <c r="I221" t="s">
        <v>26</v>
      </c>
      <c r="J221" t="s">
        <v>521</v>
      </c>
      <c r="K221">
        <v>-12.15314</v>
      </c>
      <c r="L221">
        <v>-76.954300000000003</v>
      </c>
      <c r="M221" t="str">
        <f>HYPERLINK("https://www.google.com/maps/search/?api=1&amp;query=-12.15314,-76.9543","Jirón Micaela Bastidas, Villa María del Triunfo, Lima")</f>
        <v>Jirón Micaela Bastidas, Villa María del Triunfo, Lima</v>
      </c>
      <c r="N221">
        <v>5.2</v>
      </c>
      <c r="O221">
        <v>100</v>
      </c>
      <c r="P221">
        <v>1616.2</v>
      </c>
      <c r="Q221" t="s">
        <v>522</v>
      </c>
      <c r="R221" t="s">
        <v>23</v>
      </c>
      <c r="S221" t="s">
        <v>23</v>
      </c>
      <c r="T221" t="s">
        <v>23</v>
      </c>
      <c r="U221" t="s">
        <v>23</v>
      </c>
    </row>
    <row r="222" spans="1:21" x14ac:dyDescent="0.25">
      <c r="A222" t="s">
        <v>523</v>
      </c>
      <c r="B222" t="s">
        <v>21</v>
      </c>
      <c r="C222" t="s">
        <v>22</v>
      </c>
      <c r="D222" t="s">
        <v>22</v>
      </c>
      <c r="E222" t="s">
        <v>23</v>
      </c>
      <c r="F222" t="s">
        <v>24</v>
      </c>
      <c r="G222" t="s">
        <v>25</v>
      </c>
      <c r="H222" t="s">
        <v>23</v>
      </c>
      <c r="I222" t="s">
        <v>26</v>
      </c>
      <c r="J222" t="s">
        <v>524</v>
      </c>
      <c r="K222">
        <v>-12.153174</v>
      </c>
      <c r="L222">
        <v>-76.954260000000005</v>
      </c>
      <c r="M222" t="str">
        <f>HYPERLINK("https://www.google.com/maps/search/?api=1&amp;query=-12.153174,-76.95426","Jirón Mariano Melgar, Villa María del Triunfo, Lima")</f>
        <v>Jirón Mariano Melgar, Villa María del Triunfo, Lima</v>
      </c>
      <c r="N222">
        <v>7.4</v>
      </c>
      <c r="O222">
        <v>100</v>
      </c>
      <c r="P222">
        <v>1616.2</v>
      </c>
      <c r="Q222" t="s">
        <v>522</v>
      </c>
      <c r="R222" t="s">
        <v>23</v>
      </c>
      <c r="S222" t="s">
        <v>23</v>
      </c>
      <c r="T222" t="s">
        <v>23</v>
      </c>
      <c r="U222" t="s">
        <v>23</v>
      </c>
    </row>
    <row r="223" spans="1:21" x14ac:dyDescent="0.25">
      <c r="A223" t="s">
        <v>525</v>
      </c>
      <c r="B223" t="s">
        <v>21</v>
      </c>
      <c r="C223" t="s">
        <v>22</v>
      </c>
      <c r="D223" t="s">
        <v>22</v>
      </c>
      <c r="E223" t="s">
        <v>23</v>
      </c>
      <c r="F223" t="s">
        <v>24</v>
      </c>
      <c r="G223" t="s">
        <v>25</v>
      </c>
      <c r="H223" t="s">
        <v>23</v>
      </c>
      <c r="I223" t="s">
        <v>26</v>
      </c>
      <c r="J223" t="s">
        <v>526</v>
      </c>
      <c r="K223">
        <v>-12.153578</v>
      </c>
      <c r="L223">
        <v>-76.953834999999998</v>
      </c>
      <c r="M223" t="str">
        <f>HYPERLINK("https://www.google.com/maps/search/?api=1&amp;query=-12.153578,-76.953835","Jirón Mariano Melgar, Villa María del Triunfo, Lima")</f>
        <v>Jirón Mariano Melgar, Villa María del Triunfo, Lima</v>
      </c>
      <c r="N223">
        <v>18.5</v>
      </c>
      <c r="O223">
        <v>100</v>
      </c>
      <c r="P223">
        <v>1616.2</v>
      </c>
      <c r="Q223" t="s">
        <v>522</v>
      </c>
      <c r="R223" t="s">
        <v>23</v>
      </c>
      <c r="S223" t="s">
        <v>23</v>
      </c>
      <c r="T223" t="s">
        <v>23</v>
      </c>
      <c r="U223" t="s">
        <v>23</v>
      </c>
    </row>
    <row r="224" spans="1:21" x14ac:dyDescent="0.25">
      <c r="A224" t="s">
        <v>527</v>
      </c>
      <c r="B224" t="s">
        <v>21</v>
      </c>
      <c r="C224" t="s">
        <v>22</v>
      </c>
      <c r="D224" t="s">
        <v>22</v>
      </c>
      <c r="E224" t="s">
        <v>23</v>
      </c>
      <c r="F224" t="s">
        <v>24</v>
      </c>
      <c r="G224" t="s">
        <v>25</v>
      </c>
      <c r="H224" t="s">
        <v>23</v>
      </c>
      <c r="I224" t="s">
        <v>26</v>
      </c>
      <c r="J224" t="s">
        <v>528</v>
      </c>
      <c r="K224">
        <v>-12.153710999999999</v>
      </c>
      <c r="L224">
        <v>-76.953925999999996</v>
      </c>
      <c r="M224" t="str">
        <f>HYPERLINK("https://www.google.com/maps/search/?api=1&amp;query=-12.153711,-76.953926","Avenida Pando Egusquiza, Villa María del Triunfo, Lima")</f>
        <v>Avenida Pando Egusquiza, Villa María del Triunfo, Lima</v>
      </c>
      <c r="N224">
        <v>22.7</v>
      </c>
      <c r="O224">
        <v>100</v>
      </c>
      <c r="P224">
        <v>1616.2</v>
      </c>
      <c r="Q224" t="s">
        <v>522</v>
      </c>
      <c r="R224" t="s">
        <v>23</v>
      </c>
      <c r="S224" t="s">
        <v>23</v>
      </c>
      <c r="T224" t="s">
        <v>23</v>
      </c>
      <c r="U224" t="s">
        <v>23</v>
      </c>
    </row>
    <row r="225" spans="1:21" x14ac:dyDescent="0.25">
      <c r="A225" t="s">
        <v>529</v>
      </c>
      <c r="B225" t="s">
        <v>21</v>
      </c>
      <c r="C225" t="s">
        <v>22</v>
      </c>
      <c r="D225" t="s">
        <v>22</v>
      </c>
      <c r="E225" t="s">
        <v>23</v>
      </c>
      <c r="F225" t="s">
        <v>24</v>
      </c>
      <c r="G225" t="s">
        <v>25</v>
      </c>
      <c r="H225" t="s">
        <v>23</v>
      </c>
      <c r="I225" t="s">
        <v>26</v>
      </c>
      <c r="J225" t="s">
        <v>530</v>
      </c>
      <c r="K225">
        <v>-12.156079</v>
      </c>
      <c r="L225">
        <v>-76.955929999999995</v>
      </c>
      <c r="M225" t="str">
        <f>HYPERLINK("https://www.google.com/maps/search/?api=1&amp;query=-12.156079,-76.95593","Avenida Pando Egusquiza, Villa María del Triunfo, Lima")</f>
        <v>Avenida Pando Egusquiza, Villa María del Triunfo, Lima</v>
      </c>
      <c r="N225">
        <v>30.3</v>
      </c>
      <c r="O225">
        <v>100</v>
      </c>
      <c r="P225">
        <v>1616.8</v>
      </c>
      <c r="Q225" t="s">
        <v>531</v>
      </c>
      <c r="R225" t="s">
        <v>221</v>
      </c>
      <c r="S225" t="s">
        <v>532</v>
      </c>
      <c r="T225" t="s">
        <v>223</v>
      </c>
      <c r="U225" t="s">
        <v>23</v>
      </c>
    </row>
    <row r="226" spans="1:21" x14ac:dyDescent="0.25">
      <c r="A226" t="s">
        <v>533</v>
      </c>
      <c r="B226" t="s">
        <v>21</v>
      </c>
      <c r="C226" t="s">
        <v>22</v>
      </c>
      <c r="D226" t="s">
        <v>22</v>
      </c>
      <c r="E226" t="s">
        <v>23</v>
      </c>
      <c r="F226" t="s">
        <v>24</v>
      </c>
      <c r="G226" t="s">
        <v>25</v>
      </c>
      <c r="H226" t="s">
        <v>23</v>
      </c>
      <c r="I226" t="s">
        <v>26</v>
      </c>
      <c r="J226" t="s">
        <v>530</v>
      </c>
      <c r="K226">
        <v>-12.156079</v>
      </c>
      <c r="L226">
        <v>-76.955929999999995</v>
      </c>
      <c r="M226" t="str">
        <f>HYPERLINK("https://www.google.com/maps/search/?api=1&amp;query=-12.156079,-76.95593","Avenida Pando Egusquiza, Villa María del Triunfo, Lima")</f>
        <v>Avenida Pando Egusquiza, Villa María del Triunfo, Lima</v>
      </c>
      <c r="N226">
        <v>30.3</v>
      </c>
      <c r="O226">
        <v>100</v>
      </c>
      <c r="P226">
        <v>1616.8</v>
      </c>
      <c r="Q226" t="s">
        <v>531</v>
      </c>
      <c r="R226" t="s">
        <v>23</v>
      </c>
      <c r="S226" t="s">
        <v>23</v>
      </c>
      <c r="T226" t="s">
        <v>23</v>
      </c>
      <c r="U226" t="s">
        <v>23</v>
      </c>
    </row>
    <row r="227" spans="1:21" x14ac:dyDescent="0.25">
      <c r="A227" t="s">
        <v>534</v>
      </c>
      <c r="B227" t="s">
        <v>21</v>
      </c>
      <c r="C227" t="s">
        <v>22</v>
      </c>
      <c r="D227" t="s">
        <v>22</v>
      </c>
      <c r="E227" t="s">
        <v>23</v>
      </c>
      <c r="F227" t="s">
        <v>24</v>
      </c>
      <c r="G227" t="s">
        <v>25</v>
      </c>
      <c r="H227" t="s">
        <v>23</v>
      </c>
      <c r="I227" t="s">
        <v>26</v>
      </c>
      <c r="J227" t="s">
        <v>535</v>
      </c>
      <c r="K227">
        <v>-12.158049999999999</v>
      </c>
      <c r="L227">
        <v>-76.957750000000004</v>
      </c>
      <c r="M227" t="str">
        <f>HYPERLINK("https://www.google.com/maps/search/?api=1&amp;query=-12.15805,-76.95775","Avenida Nicolás de Piérola, Villa María del Triunfo, Lima")</f>
        <v>Avenida Nicolás de Piérola, Villa María del Triunfo, Lima</v>
      </c>
      <c r="N227">
        <v>12.5</v>
      </c>
      <c r="O227">
        <v>100</v>
      </c>
      <c r="P227">
        <v>1616.8</v>
      </c>
      <c r="Q227" t="s">
        <v>531</v>
      </c>
      <c r="R227" t="s">
        <v>23</v>
      </c>
      <c r="S227" t="s">
        <v>23</v>
      </c>
      <c r="T227" t="s">
        <v>23</v>
      </c>
      <c r="U227" t="s">
        <v>23</v>
      </c>
    </row>
    <row r="228" spans="1:21" x14ac:dyDescent="0.25">
      <c r="A228" t="s">
        <v>536</v>
      </c>
      <c r="B228" t="s">
        <v>21</v>
      </c>
      <c r="C228" t="s">
        <v>22</v>
      </c>
      <c r="D228" t="s">
        <v>22</v>
      </c>
      <c r="E228" t="s">
        <v>23</v>
      </c>
      <c r="F228" t="s">
        <v>24</v>
      </c>
      <c r="G228" t="s">
        <v>25</v>
      </c>
      <c r="H228" t="s">
        <v>23</v>
      </c>
      <c r="I228" t="s">
        <v>26</v>
      </c>
      <c r="J228" t="s">
        <v>535</v>
      </c>
      <c r="K228">
        <v>-12.158049999999999</v>
      </c>
      <c r="L228">
        <v>-76.957750000000004</v>
      </c>
      <c r="M228" t="str">
        <f>HYPERLINK("https://www.google.com/maps/search/?api=1&amp;query=-12.15805,-76.95775","Avenida Nicolás de Piérola, Villa María del Triunfo, Lima")</f>
        <v>Avenida Nicolás de Piérola, Villa María del Triunfo, Lima</v>
      </c>
      <c r="N228">
        <v>12.5</v>
      </c>
      <c r="O228">
        <v>100</v>
      </c>
      <c r="P228">
        <v>1616.8</v>
      </c>
      <c r="Q228" t="s">
        <v>531</v>
      </c>
      <c r="R228" t="s">
        <v>338</v>
      </c>
      <c r="S228" t="s">
        <v>532</v>
      </c>
      <c r="T228" t="s">
        <v>223</v>
      </c>
      <c r="U228" t="s">
        <v>23</v>
      </c>
    </row>
    <row r="229" spans="1:21" x14ac:dyDescent="0.25">
      <c r="A229" t="s">
        <v>537</v>
      </c>
      <c r="B229" t="s">
        <v>21</v>
      </c>
      <c r="C229" t="s">
        <v>22</v>
      </c>
      <c r="D229" t="s">
        <v>22</v>
      </c>
      <c r="E229" t="s">
        <v>23</v>
      </c>
      <c r="F229" t="s">
        <v>24</v>
      </c>
      <c r="G229" t="s">
        <v>25</v>
      </c>
      <c r="H229" t="s">
        <v>23</v>
      </c>
      <c r="I229" t="s">
        <v>26</v>
      </c>
      <c r="J229" t="s">
        <v>538</v>
      </c>
      <c r="K229">
        <v>-12.158009</v>
      </c>
      <c r="L229">
        <v>-76.957939999999994</v>
      </c>
      <c r="M229" t="str">
        <f>HYPERLINK("https://www.google.com/maps/search/?api=1&amp;query=-12.158009,-76.95794","Avenida Nicolás de Piérola, Villa María del Triunfo, Lima")</f>
        <v>Avenida Nicolás de Piérola, Villa María del Triunfo, Lima</v>
      </c>
      <c r="N229">
        <v>14.2</v>
      </c>
      <c r="O229">
        <v>100</v>
      </c>
      <c r="P229">
        <v>1616.8</v>
      </c>
      <c r="Q229" t="s">
        <v>531</v>
      </c>
      <c r="R229" t="s">
        <v>23</v>
      </c>
      <c r="S229" t="s">
        <v>23</v>
      </c>
      <c r="T229" t="s">
        <v>23</v>
      </c>
      <c r="U229" t="s">
        <v>23</v>
      </c>
    </row>
    <row r="230" spans="1:21" x14ac:dyDescent="0.25">
      <c r="A230" t="s">
        <v>539</v>
      </c>
      <c r="B230" t="s">
        <v>21</v>
      </c>
      <c r="C230" t="s">
        <v>22</v>
      </c>
      <c r="D230" t="s">
        <v>22</v>
      </c>
      <c r="E230" t="s">
        <v>23</v>
      </c>
      <c r="F230" t="s">
        <v>24</v>
      </c>
      <c r="G230" t="s">
        <v>25</v>
      </c>
      <c r="H230" t="s">
        <v>23</v>
      </c>
      <c r="I230" t="s">
        <v>26</v>
      </c>
      <c r="J230" t="s">
        <v>540</v>
      </c>
      <c r="K230">
        <v>-12.158091000000001</v>
      </c>
      <c r="L230">
        <v>-76.958010000000002</v>
      </c>
      <c r="M230" t="str">
        <f>HYPERLINK("https://www.google.com/maps/search/?api=1&amp;query=-12.158091,-76.95801","Avenida Nicolás de Piérola, Villa María del Triunfo, Lima")</f>
        <v>Avenida Nicolás de Piérola, Villa María del Triunfo, Lima</v>
      </c>
      <c r="N230">
        <v>13.2</v>
      </c>
      <c r="O230">
        <v>100</v>
      </c>
      <c r="P230">
        <v>1616.8</v>
      </c>
      <c r="Q230" t="s">
        <v>531</v>
      </c>
      <c r="R230" t="s">
        <v>23</v>
      </c>
      <c r="S230" t="s">
        <v>23</v>
      </c>
      <c r="T230" t="s">
        <v>23</v>
      </c>
      <c r="U230" t="s">
        <v>23</v>
      </c>
    </row>
    <row r="231" spans="1:21" x14ac:dyDescent="0.25">
      <c r="A231" t="s">
        <v>541</v>
      </c>
      <c r="B231" t="s">
        <v>21</v>
      </c>
      <c r="C231" t="s">
        <v>22</v>
      </c>
      <c r="D231" t="s">
        <v>22</v>
      </c>
      <c r="E231" t="s">
        <v>23</v>
      </c>
      <c r="F231" t="s">
        <v>24</v>
      </c>
      <c r="G231" t="s">
        <v>25</v>
      </c>
      <c r="H231" t="s">
        <v>23</v>
      </c>
      <c r="I231" t="s">
        <v>26</v>
      </c>
      <c r="J231" t="s">
        <v>542</v>
      </c>
      <c r="K231">
        <v>-12.158461000000001</v>
      </c>
      <c r="L231">
        <v>-76.958269999999999</v>
      </c>
      <c r="M231" t="str">
        <f>HYPERLINK("https://www.google.com/maps/search/?api=1&amp;query=-12.158461,-76.95827","Jirón Túpac Amaru, San Juan de Miraflores, Lima")</f>
        <v>Jirón Túpac Amaru, San Juan de Miraflores, Lima</v>
      </c>
      <c r="N231">
        <v>14.8</v>
      </c>
      <c r="O231">
        <v>100</v>
      </c>
      <c r="P231">
        <v>1617.2</v>
      </c>
      <c r="Q231" t="s">
        <v>543</v>
      </c>
      <c r="R231" t="s">
        <v>23</v>
      </c>
      <c r="S231" t="s">
        <v>23</v>
      </c>
      <c r="T231" t="s">
        <v>23</v>
      </c>
      <c r="U231" t="s">
        <v>23</v>
      </c>
    </row>
    <row r="232" spans="1:21" x14ac:dyDescent="0.25">
      <c r="A232" t="s">
        <v>544</v>
      </c>
      <c r="B232" t="s">
        <v>21</v>
      </c>
      <c r="C232" t="s">
        <v>22</v>
      </c>
      <c r="D232" t="s">
        <v>22</v>
      </c>
      <c r="E232" t="s">
        <v>23</v>
      </c>
      <c r="F232" t="s">
        <v>24</v>
      </c>
      <c r="G232" t="s">
        <v>25</v>
      </c>
      <c r="H232" t="s">
        <v>23</v>
      </c>
      <c r="I232" t="s">
        <v>26</v>
      </c>
      <c r="J232" t="s">
        <v>542</v>
      </c>
      <c r="K232">
        <v>-12.158461000000001</v>
      </c>
      <c r="L232">
        <v>-76.958269999999999</v>
      </c>
      <c r="M232" t="str">
        <f>HYPERLINK("https://www.google.com/maps/search/?api=1&amp;query=-12.158461,-76.95827","Jirón Túpac Amaru, San Juan de Miraflores, Lima")</f>
        <v>Jirón Túpac Amaru, San Juan de Miraflores, Lima</v>
      </c>
      <c r="N232">
        <v>14.8</v>
      </c>
      <c r="O232">
        <v>100</v>
      </c>
      <c r="P232">
        <v>1617.2</v>
      </c>
      <c r="Q232" t="s">
        <v>543</v>
      </c>
      <c r="R232" t="s">
        <v>221</v>
      </c>
      <c r="S232" t="s">
        <v>439</v>
      </c>
      <c r="T232" t="s">
        <v>223</v>
      </c>
      <c r="U232" t="s">
        <v>23</v>
      </c>
    </row>
    <row r="233" spans="1:21" x14ac:dyDescent="0.25">
      <c r="A233" t="s">
        <v>545</v>
      </c>
      <c r="B233" t="s">
        <v>21</v>
      </c>
      <c r="C233" t="s">
        <v>22</v>
      </c>
      <c r="D233" t="s">
        <v>22</v>
      </c>
      <c r="E233" t="s">
        <v>23</v>
      </c>
      <c r="F233" t="s">
        <v>24</v>
      </c>
      <c r="G233" t="s">
        <v>25</v>
      </c>
      <c r="H233" t="s">
        <v>23</v>
      </c>
      <c r="I233" t="s">
        <v>26</v>
      </c>
      <c r="J233" t="s">
        <v>546</v>
      </c>
      <c r="K233">
        <v>-12.158719</v>
      </c>
      <c r="L233">
        <v>-76.958519999999993</v>
      </c>
      <c r="M233" t="str">
        <f>HYPERLINK("https://www.google.com/maps/search/?api=1&amp;query=-12.158719,-76.95852","Jirón Túpac Amaru, San Juan de Miraflores, Lima")</f>
        <v>Jirón Túpac Amaru, San Juan de Miraflores, Lima</v>
      </c>
      <c r="N233">
        <v>0</v>
      </c>
      <c r="O233">
        <v>100</v>
      </c>
      <c r="P233">
        <v>1617.2</v>
      </c>
      <c r="Q233" t="s">
        <v>547</v>
      </c>
      <c r="R233" t="s">
        <v>23</v>
      </c>
      <c r="S233" t="s">
        <v>23</v>
      </c>
      <c r="T233" t="s">
        <v>23</v>
      </c>
      <c r="U233" t="s">
        <v>23</v>
      </c>
    </row>
    <row r="234" spans="1:21" x14ac:dyDescent="0.25">
      <c r="A234" t="s">
        <v>548</v>
      </c>
      <c r="B234" t="s">
        <v>21</v>
      </c>
      <c r="C234" t="s">
        <v>22</v>
      </c>
      <c r="D234" t="s">
        <v>22</v>
      </c>
      <c r="E234" t="s">
        <v>23</v>
      </c>
      <c r="F234" t="s">
        <v>24</v>
      </c>
      <c r="G234" t="s">
        <v>25</v>
      </c>
      <c r="H234" t="s">
        <v>23</v>
      </c>
      <c r="I234" t="s">
        <v>26</v>
      </c>
      <c r="J234" t="s">
        <v>546</v>
      </c>
      <c r="K234">
        <v>-12.158719</v>
      </c>
      <c r="L234">
        <v>-76.958519999999993</v>
      </c>
      <c r="M234" t="str">
        <f>HYPERLINK("https://www.google.com/maps/search/?api=1&amp;query=-12.158719,-76.95852","Jirón Túpac Amaru, San Juan de Miraflores, Lima")</f>
        <v>Jirón Túpac Amaru, San Juan de Miraflores, Lima</v>
      </c>
      <c r="N234">
        <v>0</v>
      </c>
      <c r="O234">
        <v>100</v>
      </c>
      <c r="P234">
        <v>1617.2</v>
      </c>
      <c r="Q234" t="s">
        <v>547</v>
      </c>
      <c r="R234" t="s">
        <v>338</v>
      </c>
      <c r="S234" t="s">
        <v>439</v>
      </c>
      <c r="T234" t="s">
        <v>223</v>
      </c>
      <c r="U234" t="s">
        <v>23</v>
      </c>
    </row>
    <row r="235" spans="1:21" x14ac:dyDescent="0.25">
      <c r="A235" t="s">
        <v>549</v>
      </c>
      <c r="B235" t="s">
        <v>21</v>
      </c>
      <c r="C235" t="s">
        <v>22</v>
      </c>
      <c r="D235" t="s">
        <v>22</v>
      </c>
      <c r="E235" t="s">
        <v>23</v>
      </c>
      <c r="F235" t="s">
        <v>24</v>
      </c>
      <c r="G235" t="s">
        <v>25</v>
      </c>
      <c r="H235" t="s">
        <v>23</v>
      </c>
      <c r="I235" t="s">
        <v>26</v>
      </c>
      <c r="J235" t="s">
        <v>550</v>
      </c>
      <c r="K235">
        <v>-12.158719</v>
      </c>
      <c r="L235">
        <v>-76.958519999999993</v>
      </c>
      <c r="M235" t="str">
        <f>HYPERLINK("https://www.google.com/maps/search/?api=1&amp;query=-12.158719,-76.95852","Jirón Túpac Amaru, San Juan de Miraflores, Lima")</f>
        <v>Jirón Túpac Amaru, San Juan de Miraflores, Lima</v>
      </c>
      <c r="N235">
        <v>0</v>
      </c>
      <c r="O235">
        <v>100</v>
      </c>
      <c r="P235">
        <v>1617.3</v>
      </c>
      <c r="Q235" t="s">
        <v>551</v>
      </c>
      <c r="R235" t="s">
        <v>23</v>
      </c>
      <c r="S235" t="s">
        <v>23</v>
      </c>
      <c r="T235" t="s">
        <v>23</v>
      </c>
      <c r="U235" t="s">
        <v>23</v>
      </c>
    </row>
    <row r="236" spans="1:21" x14ac:dyDescent="0.25">
      <c r="A236" t="s">
        <v>552</v>
      </c>
      <c r="B236" t="s">
        <v>21</v>
      </c>
      <c r="C236" t="s">
        <v>22</v>
      </c>
      <c r="D236" t="s">
        <v>22</v>
      </c>
      <c r="E236" t="s">
        <v>23</v>
      </c>
      <c r="F236" t="s">
        <v>24</v>
      </c>
      <c r="G236" t="s">
        <v>25</v>
      </c>
      <c r="H236" t="s">
        <v>23</v>
      </c>
      <c r="I236" t="s">
        <v>26</v>
      </c>
      <c r="J236" t="s">
        <v>553</v>
      </c>
      <c r="K236">
        <v>-12.159069000000001</v>
      </c>
      <c r="L236">
        <v>-76.958754999999996</v>
      </c>
      <c r="M236" t="str">
        <f>HYPERLINK("https://www.google.com/maps/search/?api=1&amp;query=-12.159069,-76.958755","Jirón Túpac Amaru, San Juan de Miraflores, Lima")</f>
        <v>Jirón Túpac Amaru, San Juan de Miraflores, Lima</v>
      </c>
      <c r="N236">
        <v>14.9</v>
      </c>
      <c r="O236">
        <v>100</v>
      </c>
      <c r="P236">
        <v>1617.3</v>
      </c>
      <c r="Q236" t="s">
        <v>554</v>
      </c>
      <c r="R236" t="s">
        <v>23</v>
      </c>
      <c r="S236" t="s">
        <v>23</v>
      </c>
      <c r="T236" t="s">
        <v>23</v>
      </c>
      <c r="U236" t="s">
        <v>23</v>
      </c>
    </row>
    <row r="237" spans="1:21" x14ac:dyDescent="0.25">
      <c r="A237" t="s">
        <v>555</v>
      </c>
      <c r="B237" t="s">
        <v>21</v>
      </c>
      <c r="C237" t="s">
        <v>22</v>
      </c>
      <c r="D237" t="s">
        <v>22</v>
      </c>
      <c r="E237" t="s">
        <v>23</v>
      </c>
      <c r="F237" t="s">
        <v>24</v>
      </c>
      <c r="G237" t="s">
        <v>25</v>
      </c>
      <c r="H237" t="s">
        <v>23</v>
      </c>
      <c r="I237" t="s">
        <v>26</v>
      </c>
      <c r="J237" t="s">
        <v>556</v>
      </c>
      <c r="K237">
        <v>-12.157871</v>
      </c>
      <c r="L237">
        <v>-76.961969999999994</v>
      </c>
      <c r="M237" t="str">
        <f>HYPERLINK("https://www.google.com/maps/search/?api=1&amp;query=-12.157871,-76.96197","Avenida Los Héroes, San Juan de Miraflores, Lima")</f>
        <v>Avenida Los Héroes, San Juan de Miraflores, Lima</v>
      </c>
      <c r="N237">
        <v>59.7</v>
      </c>
      <c r="O237">
        <v>100</v>
      </c>
      <c r="P237">
        <v>1617.3</v>
      </c>
      <c r="Q237" t="s">
        <v>554</v>
      </c>
      <c r="R237" t="s">
        <v>23</v>
      </c>
      <c r="S237" t="s">
        <v>23</v>
      </c>
      <c r="T237" t="s">
        <v>23</v>
      </c>
      <c r="U237" t="s">
        <v>23</v>
      </c>
    </row>
    <row r="238" spans="1:21" x14ac:dyDescent="0.25">
      <c r="A238" t="s">
        <v>557</v>
      </c>
      <c r="B238" t="s">
        <v>21</v>
      </c>
      <c r="C238" t="s">
        <v>22</v>
      </c>
      <c r="D238" t="s">
        <v>22</v>
      </c>
      <c r="E238" t="s">
        <v>23</v>
      </c>
      <c r="F238" t="s">
        <v>24</v>
      </c>
      <c r="G238" t="s">
        <v>25</v>
      </c>
      <c r="H238" t="s">
        <v>23</v>
      </c>
      <c r="I238" t="s">
        <v>26</v>
      </c>
      <c r="J238" t="s">
        <v>558</v>
      </c>
      <c r="K238">
        <v>-12.155125999999999</v>
      </c>
      <c r="L238">
        <v>-76.968834000000001</v>
      </c>
      <c r="M238" t="str">
        <f>HYPERLINK("https://www.google.com/maps/search/?api=1&amp;query=-12.155126,-76.968834","Avenida Los Héroes, San Juan de Miraflores, Lima")</f>
        <v>Avenida Los Héroes, San Juan de Miraflores, Lima</v>
      </c>
      <c r="N238">
        <v>61.9</v>
      </c>
      <c r="O238">
        <v>100</v>
      </c>
      <c r="P238">
        <v>1618.4</v>
      </c>
      <c r="Q238" t="s">
        <v>559</v>
      </c>
      <c r="R238" t="s">
        <v>560</v>
      </c>
      <c r="S238" t="s">
        <v>23</v>
      </c>
      <c r="T238" t="s">
        <v>23</v>
      </c>
      <c r="U238" t="s">
        <v>23</v>
      </c>
    </row>
    <row r="239" spans="1:21" x14ac:dyDescent="0.25">
      <c r="A239" t="s">
        <v>561</v>
      </c>
      <c r="B239" t="s">
        <v>21</v>
      </c>
      <c r="C239" t="s">
        <v>22</v>
      </c>
      <c r="D239" t="s">
        <v>22</v>
      </c>
      <c r="E239" t="s">
        <v>23</v>
      </c>
      <c r="F239" t="s">
        <v>24</v>
      </c>
      <c r="G239" t="s">
        <v>25</v>
      </c>
      <c r="H239" t="s">
        <v>23</v>
      </c>
      <c r="I239" t="s">
        <v>26</v>
      </c>
      <c r="J239" t="s">
        <v>562</v>
      </c>
      <c r="K239">
        <v>-12.152547</v>
      </c>
      <c r="L239">
        <v>-76.975300000000004</v>
      </c>
      <c r="M239" t="str">
        <f>HYPERLINK("https://www.google.com/maps/search/?api=1&amp;query=-12.152547,-76.9753","Avenida Los Héroes, San Juan de Miraflores, Lima")</f>
        <v>Avenida Los Héroes, San Juan de Miraflores, Lima</v>
      </c>
      <c r="N239">
        <v>43.3</v>
      </c>
      <c r="O239">
        <v>100</v>
      </c>
      <c r="P239">
        <v>1618.4</v>
      </c>
      <c r="Q239" t="s">
        <v>559</v>
      </c>
      <c r="R239" t="s">
        <v>23</v>
      </c>
      <c r="S239" t="s">
        <v>23</v>
      </c>
      <c r="T239" t="s">
        <v>23</v>
      </c>
      <c r="U239" t="s">
        <v>23</v>
      </c>
    </row>
    <row r="240" spans="1:21" x14ac:dyDescent="0.25">
      <c r="A240" t="s">
        <v>563</v>
      </c>
      <c r="B240" t="s">
        <v>21</v>
      </c>
      <c r="C240" t="s">
        <v>22</v>
      </c>
      <c r="D240" t="s">
        <v>22</v>
      </c>
      <c r="E240" t="s">
        <v>23</v>
      </c>
      <c r="F240" t="s">
        <v>24</v>
      </c>
      <c r="G240" t="s">
        <v>25</v>
      </c>
      <c r="H240" t="s">
        <v>23</v>
      </c>
      <c r="I240" t="s">
        <v>26</v>
      </c>
      <c r="J240" t="s">
        <v>564</v>
      </c>
      <c r="K240">
        <v>-12.150558999999999</v>
      </c>
      <c r="L240">
        <v>-76.979860000000002</v>
      </c>
      <c r="M240" t="str">
        <f>HYPERLINK("https://www.google.com/maps/search/?api=1&amp;query=-12.150559,-76.97986","Avenida Los Héroes, San Juan de Miraflores, Lima")</f>
        <v>Avenida Los Héroes, San Juan de Miraflores, Lima</v>
      </c>
      <c r="N240">
        <v>13.2</v>
      </c>
      <c r="O240">
        <v>100</v>
      </c>
      <c r="P240">
        <v>1619.2</v>
      </c>
      <c r="Q240" t="s">
        <v>565</v>
      </c>
      <c r="R240" t="s">
        <v>23</v>
      </c>
      <c r="S240" t="s">
        <v>23</v>
      </c>
      <c r="T240" t="s">
        <v>23</v>
      </c>
      <c r="U240" t="s">
        <v>23</v>
      </c>
    </row>
    <row r="241" spans="1:21" x14ac:dyDescent="0.25">
      <c r="A241" t="s">
        <v>566</v>
      </c>
      <c r="B241" t="s">
        <v>21</v>
      </c>
      <c r="C241" t="s">
        <v>22</v>
      </c>
      <c r="D241" t="s">
        <v>22</v>
      </c>
      <c r="E241" t="s">
        <v>23</v>
      </c>
      <c r="F241" t="s">
        <v>24</v>
      </c>
      <c r="G241" t="s">
        <v>25</v>
      </c>
      <c r="H241" t="s">
        <v>23</v>
      </c>
      <c r="I241" t="s">
        <v>26</v>
      </c>
      <c r="J241" t="s">
        <v>567</v>
      </c>
      <c r="K241">
        <v>-12.150373999999999</v>
      </c>
      <c r="L241">
        <v>-76.980969999999999</v>
      </c>
      <c r="M241" t="str">
        <f>HYPERLINK("https://www.google.com/maps/search/?api=1&amp;query=-12.150374,-76.98097","Avenida Los Héroes, San Juan de Miraflores, Lima")</f>
        <v>Avenida Los Héroes, San Juan de Miraflores, Lima</v>
      </c>
      <c r="N241">
        <v>31.7</v>
      </c>
      <c r="O241">
        <v>100</v>
      </c>
      <c r="P241">
        <v>1619.8</v>
      </c>
      <c r="Q241" t="s">
        <v>568</v>
      </c>
      <c r="R241" t="s">
        <v>23</v>
      </c>
      <c r="S241" t="s">
        <v>23</v>
      </c>
      <c r="T241" t="s">
        <v>23</v>
      </c>
      <c r="U241" t="s">
        <v>23</v>
      </c>
    </row>
    <row r="242" spans="1:21" x14ac:dyDescent="0.25">
      <c r="A242" t="s">
        <v>569</v>
      </c>
      <c r="B242" t="s">
        <v>21</v>
      </c>
      <c r="C242" t="s">
        <v>22</v>
      </c>
      <c r="D242" t="s">
        <v>22</v>
      </c>
      <c r="E242" t="s">
        <v>23</v>
      </c>
      <c r="F242" t="s">
        <v>24</v>
      </c>
      <c r="G242" t="s">
        <v>25</v>
      </c>
      <c r="H242" t="s">
        <v>23</v>
      </c>
      <c r="I242" t="s">
        <v>26</v>
      </c>
      <c r="J242" t="s">
        <v>570</v>
      </c>
      <c r="K242">
        <v>-12.148918</v>
      </c>
      <c r="L242">
        <v>-76.983894000000006</v>
      </c>
      <c r="M242" t="str">
        <f>HYPERLINK("https://www.google.com/maps/search/?api=1&amp;query=-12.148918,-76.983894","Avenida Santiago de Surco, Lima")</f>
        <v>Avenida Santiago de Surco, Lima</v>
      </c>
      <c r="N242">
        <v>33.1</v>
      </c>
      <c r="O242">
        <v>100</v>
      </c>
      <c r="P242">
        <v>1619.9</v>
      </c>
      <c r="Q242" t="s">
        <v>571</v>
      </c>
      <c r="R242" t="s">
        <v>23</v>
      </c>
      <c r="S242" t="s">
        <v>23</v>
      </c>
      <c r="T242" t="s">
        <v>23</v>
      </c>
      <c r="U242" t="s">
        <v>23</v>
      </c>
    </row>
    <row r="243" spans="1:21" x14ac:dyDescent="0.25">
      <c r="A243" t="s">
        <v>572</v>
      </c>
      <c r="B243" t="s">
        <v>21</v>
      </c>
      <c r="C243" t="s">
        <v>22</v>
      </c>
      <c r="D243" t="s">
        <v>22</v>
      </c>
      <c r="E243" t="s">
        <v>23</v>
      </c>
      <c r="F243" t="s">
        <v>24</v>
      </c>
      <c r="G243" t="s">
        <v>25</v>
      </c>
      <c r="H243" t="s">
        <v>23</v>
      </c>
      <c r="I243" t="s">
        <v>26</v>
      </c>
      <c r="J243" t="s">
        <v>573</v>
      </c>
      <c r="K243">
        <v>-12.1487</v>
      </c>
      <c r="L243">
        <v>-76.983829999999998</v>
      </c>
      <c r="M243" t="str">
        <f>HYPERLINK("https://www.google.com/maps/search/?api=1&amp;query=-12.1487,-76.98383","Jirón Morro Solar, Santiago de Surco, Lima")</f>
        <v>Jirón Morro Solar, Santiago de Surco, Lima</v>
      </c>
      <c r="N243">
        <v>30.1</v>
      </c>
      <c r="O243">
        <v>100</v>
      </c>
      <c r="P243">
        <v>1619.9</v>
      </c>
      <c r="Q243" t="s">
        <v>571</v>
      </c>
      <c r="R243" t="s">
        <v>23</v>
      </c>
      <c r="S243" t="s">
        <v>23</v>
      </c>
      <c r="T243" t="s">
        <v>23</v>
      </c>
      <c r="U243" t="s">
        <v>23</v>
      </c>
    </row>
    <row r="244" spans="1:21" x14ac:dyDescent="0.25">
      <c r="A244" t="s">
        <v>574</v>
      </c>
      <c r="B244" t="s">
        <v>21</v>
      </c>
      <c r="C244" t="s">
        <v>22</v>
      </c>
      <c r="D244" t="s">
        <v>22</v>
      </c>
      <c r="E244" t="s">
        <v>23</v>
      </c>
      <c r="F244" t="s">
        <v>24</v>
      </c>
      <c r="G244" t="s">
        <v>25</v>
      </c>
      <c r="H244" t="s">
        <v>23</v>
      </c>
      <c r="I244" t="s">
        <v>26</v>
      </c>
      <c r="J244" t="s">
        <v>575</v>
      </c>
      <c r="K244">
        <v>-12.148624</v>
      </c>
      <c r="L244">
        <v>-76.983630000000005</v>
      </c>
      <c r="M244" t="str">
        <f>HYPERLINK("https://www.google.com/maps/search/?api=1&amp;query=-12.148624,-76.98363","Jirón Morro Solar, Santiago de Surco, Lima")</f>
        <v>Jirón Morro Solar, Santiago de Surco, Lima</v>
      </c>
      <c r="N244">
        <v>31.2</v>
      </c>
      <c r="O244">
        <v>100</v>
      </c>
      <c r="P244">
        <v>1619.9</v>
      </c>
      <c r="Q244" t="s">
        <v>571</v>
      </c>
      <c r="R244" t="s">
        <v>23</v>
      </c>
      <c r="S244" t="s">
        <v>23</v>
      </c>
      <c r="T244" t="s">
        <v>23</v>
      </c>
      <c r="U244" t="s">
        <v>23</v>
      </c>
    </row>
    <row r="245" spans="1:21" x14ac:dyDescent="0.25">
      <c r="A245" t="s">
        <v>576</v>
      </c>
      <c r="B245" t="s">
        <v>21</v>
      </c>
      <c r="C245" t="s">
        <v>22</v>
      </c>
      <c r="D245" t="s">
        <v>22</v>
      </c>
      <c r="E245" t="s">
        <v>23</v>
      </c>
      <c r="F245" t="s">
        <v>24</v>
      </c>
      <c r="G245" t="s">
        <v>25</v>
      </c>
      <c r="H245" t="s">
        <v>23</v>
      </c>
      <c r="I245" t="s">
        <v>26</v>
      </c>
      <c r="J245" t="s">
        <v>577</v>
      </c>
      <c r="K245">
        <v>-12.148808000000001</v>
      </c>
      <c r="L245">
        <v>-76.983215000000001</v>
      </c>
      <c r="M245" t="str">
        <f>HYPERLINK("https://www.google.com/maps/search/?api=1&amp;query=-12.148808,-76.983215","Avenida Panamericana Sur, Santiago de Surco, Lima")</f>
        <v>Avenida Panamericana Sur, Santiago de Surco, Lima</v>
      </c>
      <c r="N245">
        <v>27.2</v>
      </c>
      <c r="O245">
        <v>100</v>
      </c>
      <c r="P245">
        <v>1619.9</v>
      </c>
      <c r="Q245" t="s">
        <v>571</v>
      </c>
      <c r="R245" t="s">
        <v>23</v>
      </c>
      <c r="S245" t="s">
        <v>23</v>
      </c>
      <c r="T245" t="s">
        <v>23</v>
      </c>
      <c r="U245" t="s">
        <v>23</v>
      </c>
    </row>
    <row r="246" spans="1:21" x14ac:dyDescent="0.25">
      <c r="A246" t="s">
        <v>578</v>
      </c>
      <c r="B246" t="s">
        <v>21</v>
      </c>
      <c r="C246" t="s">
        <v>22</v>
      </c>
      <c r="D246" t="s">
        <v>22</v>
      </c>
      <c r="E246" t="s">
        <v>23</v>
      </c>
      <c r="F246" t="s">
        <v>24</v>
      </c>
      <c r="G246" t="s">
        <v>25</v>
      </c>
      <c r="H246" t="s">
        <v>23</v>
      </c>
      <c r="I246" t="s">
        <v>26</v>
      </c>
      <c r="J246" t="s">
        <v>579</v>
      </c>
      <c r="K246">
        <v>-12.149055000000001</v>
      </c>
      <c r="L246">
        <v>-76.983159999999998</v>
      </c>
      <c r="M246" t="str">
        <f>HYPERLINK("https://www.google.com/maps/search/?api=1&amp;query=-12.149055,-76.98316","Avenida Panamericana Sur, Santiago de Surco, Lima")</f>
        <v>Avenida Panamericana Sur, Santiago de Surco, Lima</v>
      </c>
      <c r="N246">
        <v>12.6</v>
      </c>
      <c r="O246">
        <v>100</v>
      </c>
      <c r="P246">
        <v>1619.9</v>
      </c>
      <c r="Q246" t="s">
        <v>571</v>
      </c>
      <c r="R246" t="s">
        <v>23</v>
      </c>
      <c r="S246" t="s">
        <v>23</v>
      </c>
      <c r="T246" t="s">
        <v>23</v>
      </c>
      <c r="U246" t="s">
        <v>23</v>
      </c>
    </row>
    <row r="247" spans="1:21" x14ac:dyDescent="0.25">
      <c r="A247" t="s">
        <v>580</v>
      </c>
      <c r="B247" t="s">
        <v>21</v>
      </c>
      <c r="C247" t="s">
        <v>22</v>
      </c>
      <c r="D247" t="s">
        <v>22</v>
      </c>
      <c r="E247" t="s">
        <v>23</v>
      </c>
      <c r="F247" t="s">
        <v>24</v>
      </c>
      <c r="G247" t="s">
        <v>25</v>
      </c>
      <c r="H247" t="s">
        <v>23</v>
      </c>
      <c r="I247" t="s">
        <v>26</v>
      </c>
      <c r="J247" t="s">
        <v>581</v>
      </c>
      <c r="K247">
        <v>-12.149193</v>
      </c>
      <c r="L247">
        <v>-76.983199999999997</v>
      </c>
      <c r="M247" t="str">
        <f>HYPERLINK("https://www.google.com/maps/search/?api=1&amp;query=-12.149193,-76.9832","Avenida Panamericana Sur, Santiago de Surco, Lima")</f>
        <v>Avenida Panamericana Sur, Santiago de Surco, Lima</v>
      </c>
      <c r="N247">
        <v>24.5</v>
      </c>
      <c r="O247">
        <v>100</v>
      </c>
      <c r="P247">
        <v>1619.9</v>
      </c>
      <c r="Q247" t="s">
        <v>571</v>
      </c>
      <c r="R247" t="s">
        <v>23</v>
      </c>
      <c r="S247" t="s">
        <v>23</v>
      </c>
      <c r="T247" t="s">
        <v>23</v>
      </c>
      <c r="U247" t="s">
        <v>23</v>
      </c>
    </row>
    <row r="248" spans="1:21" x14ac:dyDescent="0.25">
      <c r="A248" t="s">
        <v>582</v>
      </c>
      <c r="B248" t="s">
        <v>21</v>
      </c>
      <c r="C248" t="s">
        <v>22</v>
      </c>
      <c r="D248" t="s">
        <v>22</v>
      </c>
      <c r="E248" t="s">
        <v>23</v>
      </c>
      <c r="F248" t="s">
        <v>24</v>
      </c>
      <c r="G248" t="s">
        <v>25</v>
      </c>
      <c r="H248" t="s">
        <v>23</v>
      </c>
      <c r="I248" t="s">
        <v>26</v>
      </c>
      <c r="J248" t="s">
        <v>583</v>
      </c>
      <c r="K248">
        <v>-12.156762000000001</v>
      </c>
      <c r="L248">
        <v>-76.983419999999995</v>
      </c>
      <c r="M248" t="str">
        <f>HYPERLINK("https://www.google.com/maps/search/?api=1&amp;query=-12.156762,-76.98342","Avenida Panamericana Sur, San Juan de Miraflores, Lima")</f>
        <v>Avenida Panamericana Sur, San Juan de Miraflores, Lima</v>
      </c>
      <c r="N248">
        <v>55.4</v>
      </c>
      <c r="O248">
        <v>100</v>
      </c>
      <c r="P248">
        <v>1620.4</v>
      </c>
      <c r="Q248" t="s">
        <v>584</v>
      </c>
      <c r="R248" t="s">
        <v>23</v>
      </c>
      <c r="S248" t="s">
        <v>23</v>
      </c>
      <c r="T248" t="s">
        <v>23</v>
      </c>
      <c r="U248" t="s">
        <v>23</v>
      </c>
    </row>
    <row r="249" spans="1:21" x14ac:dyDescent="0.25">
      <c r="A249" t="s">
        <v>585</v>
      </c>
      <c r="B249" t="s">
        <v>21</v>
      </c>
      <c r="C249" t="s">
        <v>22</v>
      </c>
      <c r="D249" t="s">
        <v>22</v>
      </c>
      <c r="E249" t="s">
        <v>23</v>
      </c>
      <c r="F249" t="s">
        <v>24</v>
      </c>
      <c r="G249" t="s">
        <v>25</v>
      </c>
      <c r="H249" t="s">
        <v>23</v>
      </c>
      <c r="I249" t="s">
        <v>26</v>
      </c>
      <c r="J249" t="s">
        <v>586</v>
      </c>
      <c r="K249">
        <v>-12.163563999999999</v>
      </c>
      <c r="L249">
        <v>-76.98142</v>
      </c>
      <c r="M249" t="str">
        <f>HYPERLINK("https://www.google.com/maps/search/?api=1&amp;query=-12.163564,-76.98142","Avenida Panamericana Sur, San Juan de Miraflores, Lima")</f>
        <v>Avenida Panamericana Sur, San Juan de Miraflores, Lima</v>
      </c>
      <c r="N249">
        <v>57.1</v>
      </c>
      <c r="O249">
        <v>100</v>
      </c>
      <c r="P249">
        <v>1621.3</v>
      </c>
      <c r="Q249" t="s">
        <v>587</v>
      </c>
      <c r="R249" t="s">
        <v>23</v>
      </c>
      <c r="S249" t="s">
        <v>23</v>
      </c>
      <c r="T249" t="s">
        <v>23</v>
      </c>
      <c r="U249" t="s">
        <v>23</v>
      </c>
    </row>
    <row r="250" spans="1:21" x14ac:dyDescent="0.25">
      <c r="A250" t="s">
        <v>588</v>
      </c>
      <c r="B250" t="s">
        <v>21</v>
      </c>
      <c r="C250" t="s">
        <v>22</v>
      </c>
      <c r="D250" t="s">
        <v>22</v>
      </c>
      <c r="E250" t="s">
        <v>23</v>
      </c>
      <c r="F250" t="s">
        <v>24</v>
      </c>
      <c r="G250" t="s">
        <v>25</v>
      </c>
      <c r="H250" t="s">
        <v>23</v>
      </c>
      <c r="I250" t="s">
        <v>26</v>
      </c>
      <c r="J250" t="s">
        <v>589</v>
      </c>
      <c r="K250">
        <v>-12.171498</v>
      </c>
      <c r="L250">
        <v>-76.979039999999998</v>
      </c>
      <c r="M250" t="str">
        <f>HYPERLINK("https://www.google.com/maps/search/?api=1&amp;query=-12.171498,-76.97904","Avenida Panamericana Sur, San Juan de Miraflores, Lima")</f>
        <v>Avenida Panamericana Sur, San Juan de Miraflores, Lima</v>
      </c>
      <c r="N250">
        <v>49.9</v>
      </c>
      <c r="O250">
        <v>100</v>
      </c>
      <c r="P250">
        <v>1622</v>
      </c>
      <c r="Q250" t="s">
        <v>590</v>
      </c>
      <c r="R250" t="s">
        <v>23</v>
      </c>
      <c r="S250" t="s">
        <v>23</v>
      </c>
      <c r="T250" t="s">
        <v>23</v>
      </c>
      <c r="U250" t="s">
        <v>23</v>
      </c>
    </row>
    <row r="251" spans="1:21" x14ac:dyDescent="0.25">
      <c r="A251" t="s">
        <v>591</v>
      </c>
      <c r="B251" t="s">
        <v>21</v>
      </c>
      <c r="C251" t="s">
        <v>22</v>
      </c>
      <c r="D251" t="s">
        <v>22</v>
      </c>
      <c r="E251" t="s">
        <v>23</v>
      </c>
      <c r="F251" t="s">
        <v>24</v>
      </c>
      <c r="G251" t="s">
        <v>25</v>
      </c>
      <c r="H251" t="s">
        <v>23</v>
      </c>
      <c r="I251" t="s">
        <v>26</v>
      </c>
      <c r="J251" t="s">
        <v>592</v>
      </c>
      <c r="K251">
        <v>-12.181255999999999</v>
      </c>
      <c r="L251">
        <v>-76.975970000000004</v>
      </c>
      <c r="M251" t="str">
        <f>HYPERLINK("https://www.google.com/maps/search/?api=1&amp;query=-12.181256,-76.97597","Avenida Panamericana Sur, San Juan de Miraflores, Lima")</f>
        <v>Avenida Panamericana Sur, San Juan de Miraflores, Lima</v>
      </c>
      <c r="N251">
        <v>65.3</v>
      </c>
      <c r="O251">
        <v>100</v>
      </c>
      <c r="P251">
        <v>1624.1</v>
      </c>
      <c r="Q251" t="s">
        <v>593</v>
      </c>
      <c r="R251" t="s">
        <v>23</v>
      </c>
      <c r="S251" t="s">
        <v>23</v>
      </c>
      <c r="T251" t="s">
        <v>23</v>
      </c>
      <c r="U251" t="s">
        <v>23</v>
      </c>
    </row>
    <row r="252" spans="1:21" x14ac:dyDescent="0.25">
      <c r="A252" t="s">
        <v>594</v>
      </c>
      <c r="B252" t="s">
        <v>21</v>
      </c>
      <c r="C252" t="s">
        <v>22</v>
      </c>
      <c r="D252" t="s">
        <v>22</v>
      </c>
      <c r="E252" t="s">
        <v>23</v>
      </c>
      <c r="F252" t="s">
        <v>24</v>
      </c>
      <c r="G252" t="s">
        <v>25</v>
      </c>
      <c r="H252" t="s">
        <v>23</v>
      </c>
      <c r="I252" t="s">
        <v>26</v>
      </c>
      <c r="J252" t="s">
        <v>595</v>
      </c>
      <c r="K252">
        <v>-12.187592</v>
      </c>
      <c r="L252">
        <v>-76.973950000000002</v>
      </c>
      <c r="M252" t="str">
        <f>HYPERLINK("https://www.google.com/maps/search/?api=1&amp;query=-12.187592,-76.97395","Avenida Panamericana Sur, San Juan de Miraflores, Lima")</f>
        <v>Avenida Panamericana Sur, San Juan de Miraflores, Lima</v>
      </c>
      <c r="N252">
        <v>29.8</v>
      </c>
      <c r="O252">
        <v>100</v>
      </c>
      <c r="P252">
        <v>1624.9</v>
      </c>
      <c r="Q252" t="s">
        <v>596</v>
      </c>
      <c r="R252" t="s">
        <v>23</v>
      </c>
      <c r="S252" t="s">
        <v>23</v>
      </c>
      <c r="T252" t="s">
        <v>23</v>
      </c>
      <c r="U252" t="s">
        <v>23</v>
      </c>
    </row>
    <row r="253" spans="1:21" x14ac:dyDescent="0.25">
      <c r="A253" t="s">
        <v>597</v>
      </c>
      <c r="B253" t="s">
        <v>21</v>
      </c>
      <c r="C253" t="s">
        <v>22</v>
      </c>
      <c r="D253" t="s">
        <v>22</v>
      </c>
      <c r="E253" t="s">
        <v>23</v>
      </c>
      <c r="F253" t="s">
        <v>24</v>
      </c>
      <c r="G253" t="s">
        <v>25</v>
      </c>
      <c r="H253" t="s">
        <v>23</v>
      </c>
      <c r="I253" t="s">
        <v>26</v>
      </c>
      <c r="J253" t="s">
        <v>598</v>
      </c>
      <c r="K253">
        <v>-12.196381000000001</v>
      </c>
      <c r="L253">
        <v>-76.973113999999995</v>
      </c>
      <c r="M253" t="str">
        <f>HYPERLINK("https://www.google.com/maps/search/?api=1&amp;query=-12.196381,-76.973114","Carretera Panamericana Sur, Villa El Salvador, Lima")</f>
        <v>Carretera Panamericana Sur, Villa El Salvador, Lima</v>
      </c>
      <c r="N253">
        <v>63.4</v>
      </c>
      <c r="O253">
        <v>100</v>
      </c>
      <c r="P253">
        <v>1624.9</v>
      </c>
      <c r="Q253" t="s">
        <v>596</v>
      </c>
      <c r="R253" t="s">
        <v>23</v>
      </c>
      <c r="S253" t="s">
        <v>23</v>
      </c>
      <c r="T253" t="s">
        <v>23</v>
      </c>
      <c r="U253" t="s">
        <v>23</v>
      </c>
    </row>
    <row r="254" spans="1:21" x14ac:dyDescent="0.25">
      <c r="A254" t="s">
        <v>599</v>
      </c>
      <c r="B254" t="s">
        <v>21</v>
      </c>
      <c r="C254" t="s">
        <v>22</v>
      </c>
      <c r="D254" t="s">
        <v>22</v>
      </c>
      <c r="E254" t="s">
        <v>23</v>
      </c>
      <c r="F254" t="s">
        <v>24</v>
      </c>
      <c r="G254" t="s">
        <v>25</v>
      </c>
      <c r="H254" t="s">
        <v>23</v>
      </c>
      <c r="I254" t="s">
        <v>26</v>
      </c>
      <c r="J254" t="s">
        <v>600</v>
      </c>
      <c r="K254">
        <v>-12.206573000000001</v>
      </c>
      <c r="L254">
        <v>-76.975020000000001</v>
      </c>
      <c r="M254" t="str">
        <f>HYPERLINK("https://www.google.com/maps/search/?api=1&amp;query=-12.206573,-76.97502","Carretera Panamericana Sur, Chorrillos, Lima")</f>
        <v>Carretera Panamericana Sur, Chorrillos, Lima</v>
      </c>
      <c r="N254">
        <v>72.5</v>
      </c>
      <c r="O254">
        <v>100</v>
      </c>
      <c r="P254">
        <v>1625.8</v>
      </c>
      <c r="Q254" t="s">
        <v>596</v>
      </c>
      <c r="R254" t="s">
        <v>23</v>
      </c>
      <c r="S254" t="s">
        <v>23</v>
      </c>
      <c r="T254" t="s">
        <v>23</v>
      </c>
      <c r="U254" t="s">
        <v>23</v>
      </c>
    </row>
    <row r="255" spans="1:21" x14ac:dyDescent="0.25">
      <c r="A255" t="s">
        <v>601</v>
      </c>
      <c r="B255" t="s">
        <v>21</v>
      </c>
      <c r="C255" t="s">
        <v>22</v>
      </c>
      <c r="D255" t="s">
        <v>22</v>
      </c>
      <c r="E255" t="s">
        <v>23</v>
      </c>
      <c r="F255" t="s">
        <v>24</v>
      </c>
      <c r="G255" t="s">
        <v>25</v>
      </c>
      <c r="H255" t="s">
        <v>23</v>
      </c>
      <c r="I255" t="s">
        <v>26</v>
      </c>
      <c r="J255" t="s">
        <v>602</v>
      </c>
      <c r="K255">
        <v>-12.217824999999999</v>
      </c>
      <c r="L255">
        <v>-76.977040000000002</v>
      </c>
      <c r="M255" t="str">
        <f>HYPERLINK("https://www.google.com/maps/search/?api=1&amp;query=-12.217825,-76.97704","Carretera Panamericana Sur, Chorrillos, Lima")</f>
        <v>Carretera Panamericana Sur, Chorrillos, Lima</v>
      </c>
      <c r="N255">
        <v>67.599999999999994</v>
      </c>
      <c r="O255">
        <v>100</v>
      </c>
      <c r="P255">
        <v>1627</v>
      </c>
      <c r="Q255" t="s">
        <v>603</v>
      </c>
      <c r="R255" t="s">
        <v>23</v>
      </c>
      <c r="S255" t="s">
        <v>23</v>
      </c>
      <c r="T255" t="s">
        <v>23</v>
      </c>
      <c r="U255" t="s">
        <v>23</v>
      </c>
    </row>
    <row r="256" spans="1:21" x14ac:dyDescent="0.25">
      <c r="A256" t="s">
        <v>604</v>
      </c>
      <c r="B256" t="s">
        <v>21</v>
      </c>
      <c r="C256" t="s">
        <v>22</v>
      </c>
      <c r="D256" t="s">
        <v>22</v>
      </c>
      <c r="E256" t="s">
        <v>23</v>
      </c>
      <c r="F256" t="s">
        <v>24</v>
      </c>
      <c r="G256" t="s">
        <v>25</v>
      </c>
      <c r="H256" t="s">
        <v>23</v>
      </c>
      <c r="I256" t="s">
        <v>26</v>
      </c>
      <c r="J256" t="s">
        <v>605</v>
      </c>
      <c r="K256">
        <v>-12.220314</v>
      </c>
      <c r="L256">
        <v>-76.976529999999997</v>
      </c>
      <c r="M256" t="str">
        <f>HYPERLINK("https://www.google.com/maps/search/?api=1&amp;query=-12.220314,-76.97653","Carretera Panamericana Sur, Villa El Salvador, Lima")</f>
        <v>Carretera Panamericana Sur, Villa El Salvador, Lima</v>
      </c>
      <c r="N256">
        <v>67.7</v>
      </c>
      <c r="O256">
        <v>100</v>
      </c>
      <c r="P256">
        <v>1628.2</v>
      </c>
      <c r="Q256" t="s">
        <v>603</v>
      </c>
      <c r="R256" t="s">
        <v>23</v>
      </c>
      <c r="S256" t="s">
        <v>23</v>
      </c>
      <c r="T256" t="s">
        <v>23</v>
      </c>
      <c r="U256" t="s">
        <v>23</v>
      </c>
    </row>
    <row r="257" spans="1:21" x14ac:dyDescent="0.25">
      <c r="A257" t="s">
        <v>606</v>
      </c>
      <c r="B257" t="s">
        <v>21</v>
      </c>
      <c r="C257" t="s">
        <v>22</v>
      </c>
      <c r="D257" t="s">
        <v>22</v>
      </c>
      <c r="E257" t="s">
        <v>23</v>
      </c>
      <c r="F257" t="s">
        <v>24</v>
      </c>
      <c r="G257" t="s">
        <v>25</v>
      </c>
      <c r="H257" t="s">
        <v>23</v>
      </c>
      <c r="I257" t="s">
        <v>26</v>
      </c>
      <c r="J257" t="s">
        <v>607</v>
      </c>
      <c r="K257">
        <v>-12.225977</v>
      </c>
      <c r="L257">
        <v>-76.97148</v>
      </c>
      <c r="M257" t="str">
        <f>HYPERLINK("https://www.google.com/maps/search/?api=1&amp;query=-12.225977,-76.97148","Carretera Panamericana Sur, Villa El Salvador, Lima")</f>
        <v>Carretera Panamericana Sur, Villa El Salvador, Lima</v>
      </c>
      <c r="N257">
        <v>34.700000000000003</v>
      </c>
      <c r="O257">
        <v>100</v>
      </c>
      <c r="P257">
        <v>1628.2</v>
      </c>
      <c r="Q257" t="s">
        <v>603</v>
      </c>
      <c r="R257" t="s">
        <v>23</v>
      </c>
      <c r="S257" t="s">
        <v>23</v>
      </c>
      <c r="T257" t="s">
        <v>23</v>
      </c>
      <c r="U257" t="s">
        <v>23</v>
      </c>
    </row>
    <row r="258" spans="1:21" x14ac:dyDescent="0.25">
      <c r="A258" t="s">
        <v>608</v>
      </c>
      <c r="B258" t="s">
        <v>21</v>
      </c>
      <c r="C258" t="s">
        <v>22</v>
      </c>
      <c r="D258" t="s">
        <v>22</v>
      </c>
      <c r="E258" t="s">
        <v>23</v>
      </c>
      <c r="F258" t="s">
        <v>24</v>
      </c>
      <c r="G258" t="s">
        <v>25</v>
      </c>
      <c r="H258" t="s">
        <v>23</v>
      </c>
      <c r="I258" t="s">
        <v>26</v>
      </c>
      <c r="J258" t="s">
        <v>609</v>
      </c>
      <c r="K258">
        <v>-12.230983999999999</v>
      </c>
      <c r="L258">
        <v>-76.966049999999996</v>
      </c>
      <c r="M258" t="str">
        <f>HYPERLINK("https://www.google.com/maps/search/?api=1&amp;query=-12.230984,-76.96605","Carretera Panamericana Sur, Villa El Salvador, Lima")</f>
        <v>Carretera Panamericana Sur, Villa El Salvador, Lima</v>
      </c>
      <c r="N258">
        <v>70.3</v>
      </c>
      <c r="O258">
        <v>100</v>
      </c>
      <c r="P258">
        <v>1629.4</v>
      </c>
      <c r="Q258" t="s">
        <v>610</v>
      </c>
      <c r="R258" t="s">
        <v>23</v>
      </c>
      <c r="S258" t="s">
        <v>23</v>
      </c>
      <c r="T258" t="s">
        <v>23</v>
      </c>
      <c r="U258" t="s">
        <v>23</v>
      </c>
    </row>
    <row r="259" spans="1:21" x14ac:dyDescent="0.25">
      <c r="A259" t="s">
        <v>611</v>
      </c>
      <c r="B259" t="s">
        <v>21</v>
      </c>
      <c r="C259" t="s">
        <v>22</v>
      </c>
      <c r="D259" t="s">
        <v>22</v>
      </c>
      <c r="E259" t="s">
        <v>23</v>
      </c>
      <c r="F259" t="s">
        <v>24</v>
      </c>
      <c r="G259" t="s">
        <v>25</v>
      </c>
      <c r="H259" t="s">
        <v>23</v>
      </c>
      <c r="I259" t="s">
        <v>26</v>
      </c>
      <c r="J259" t="s">
        <v>612</v>
      </c>
      <c r="K259">
        <v>-12.236445</v>
      </c>
      <c r="L259">
        <v>-76.955640000000002</v>
      </c>
      <c r="M259" t="str">
        <f>HYPERLINK("https://www.google.com/maps/search/?api=1&amp;query=-12.236445,-76.95564","Carretera Panamericana Sur, Villa El Salvador, Lima")</f>
        <v>Carretera Panamericana Sur, Villa El Salvador, Lima</v>
      </c>
      <c r="N259">
        <v>79</v>
      </c>
      <c r="O259">
        <v>100</v>
      </c>
      <c r="P259">
        <v>1631.5</v>
      </c>
      <c r="Q259" t="s">
        <v>613</v>
      </c>
      <c r="R259" t="s">
        <v>23</v>
      </c>
      <c r="S259" t="s">
        <v>23</v>
      </c>
      <c r="T259" t="s">
        <v>23</v>
      </c>
      <c r="U259" t="s">
        <v>23</v>
      </c>
    </row>
    <row r="260" spans="1:21" x14ac:dyDescent="0.25">
      <c r="A260" t="s">
        <v>614</v>
      </c>
      <c r="B260" t="s">
        <v>21</v>
      </c>
      <c r="C260" t="s">
        <v>22</v>
      </c>
      <c r="D260" t="s">
        <v>22</v>
      </c>
      <c r="E260" t="s">
        <v>23</v>
      </c>
      <c r="F260" t="s">
        <v>24</v>
      </c>
      <c r="G260" t="s">
        <v>25</v>
      </c>
      <c r="H260" t="s">
        <v>23</v>
      </c>
      <c r="I260" t="s">
        <v>26</v>
      </c>
      <c r="J260" t="s">
        <v>615</v>
      </c>
      <c r="K260">
        <v>-12.237817</v>
      </c>
      <c r="L260">
        <v>-76.952929999999995</v>
      </c>
      <c r="M260" t="str">
        <f>HYPERLINK("https://www.google.com/maps/search/?api=1&amp;query=-12.237817,-76.95293","Carretera Panamericana Sur, Villa El Salvador, Lima")</f>
        <v>Carretera Panamericana Sur, Villa El Salvador, Lima</v>
      </c>
      <c r="N260">
        <v>80.599999999999994</v>
      </c>
      <c r="O260">
        <v>100</v>
      </c>
      <c r="P260">
        <v>1631.5</v>
      </c>
      <c r="Q260" t="s">
        <v>613</v>
      </c>
      <c r="R260" t="s">
        <v>616</v>
      </c>
      <c r="S260" t="s">
        <v>23</v>
      </c>
      <c r="T260" t="s">
        <v>23</v>
      </c>
      <c r="U260" t="s">
        <v>23</v>
      </c>
    </row>
    <row r="261" spans="1:21" x14ac:dyDescent="0.25">
      <c r="A261" t="s">
        <v>617</v>
      </c>
      <c r="B261" t="s">
        <v>21</v>
      </c>
      <c r="C261" t="s">
        <v>22</v>
      </c>
      <c r="D261" t="s">
        <v>22</v>
      </c>
      <c r="E261" t="s">
        <v>23</v>
      </c>
      <c r="F261" t="s">
        <v>24</v>
      </c>
      <c r="G261" t="s">
        <v>25</v>
      </c>
      <c r="H261" t="s">
        <v>23</v>
      </c>
      <c r="I261" t="s">
        <v>26</v>
      </c>
      <c r="J261" t="s">
        <v>618</v>
      </c>
      <c r="K261">
        <v>-12.242032999999999</v>
      </c>
      <c r="L261">
        <v>-76.944785999999993</v>
      </c>
      <c r="M261" t="str">
        <f>HYPERLINK("https://www.google.com/maps/search/?api=1&amp;query=-12.242033,-76.944786","Carretera Panamericana Sur, Villa El Salvador, Lima")</f>
        <v>Carretera Panamericana Sur, Villa El Salvador, Lima</v>
      </c>
      <c r="N261">
        <v>71.900000000000006</v>
      </c>
      <c r="O261">
        <v>100</v>
      </c>
      <c r="P261">
        <v>1631.5</v>
      </c>
      <c r="Q261" t="s">
        <v>613</v>
      </c>
      <c r="R261" t="s">
        <v>23</v>
      </c>
      <c r="S261" t="s">
        <v>23</v>
      </c>
      <c r="T261" t="s">
        <v>23</v>
      </c>
      <c r="U261" t="s">
        <v>23</v>
      </c>
    </row>
    <row r="262" spans="1:21" x14ac:dyDescent="0.25">
      <c r="A262" t="s">
        <v>619</v>
      </c>
      <c r="B262" t="s">
        <v>21</v>
      </c>
      <c r="C262" t="s">
        <v>22</v>
      </c>
      <c r="D262" t="s">
        <v>22</v>
      </c>
      <c r="E262" t="s">
        <v>23</v>
      </c>
      <c r="F262" t="s">
        <v>24</v>
      </c>
      <c r="G262" t="s">
        <v>25</v>
      </c>
      <c r="H262" t="s">
        <v>23</v>
      </c>
      <c r="I262" t="s">
        <v>26</v>
      </c>
      <c r="J262" t="s">
        <v>620</v>
      </c>
      <c r="K262">
        <v>-12.247273</v>
      </c>
      <c r="L262">
        <v>-76.934809999999999</v>
      </c>
      <c r="M262" t="str">
        <f>HYPERLINK("https://www.google.com/maps/search/?api=1&amp;query=-12.247273,-76.93481","Carretera Panamericana Sur, Lurín, Lima")</f>
        <v>Carretera Panamericana Sur, Lurín, Lima</v>
      </c>
      <c r="N262">
        <v>79</v>
      </c>
      <c r="O262">
        <v>100</v>
      </c>
      <c r="P262">
        <v>1632.9</v>
      </c>
      <c r="Q262" t="s">
        <v>621</v>
      </c>
      <c r="R262" t="s">
        <v>23</v>
      </c>
      <c r="S262" t="s">
        <v>23</v>
      </c>
      <c r="T262" t="s">
        <v>23</v>
      </c>
      <c r="U262" t="s">
        <v>23</v>
      </c>
    </row>
    <row r="263" spans="1:21" x14ac:dyDescent="0.25">
      <c r="A263" t="s">
        <v>622</v>
      </c>
      <c r="B263" t="s">
        <v>21</v>
      </c>
      <c r="C263" t="s">
        <v>22</v>
      </c>
      <c r="D263" t="s">
        <v>22</v>
      </c>
      <c r="E263" t="s">
        <v>23</v>
      </c>
      <c r="F263" t="s">
        <v>24</v>
      </c>
      <c r="G263" t="s">
        <v>25</v>
      </c>
      <c r="H263" t="s">
        <v>23</v>
      </c>
      <c r="I263" t="s">
        <v>26</v>
      </c>
      <c r="J263" t="s">
        <v>623</v>
      </c>
      <c r="K263">
        <v>-12.253966</v>
      </c>
      <c r="L263">
        <v>-76.925449999999998</v>
      </c>
      <c r="M263" t="str">
        <f>HYPERLINK("https://www.google.com/maps/search/?api=1&amp;query=-12.253966,-76.92545","Carretera Panamericana Sur, Lurín, Lima")</f>
        <v>Carretera Panamericana Sur, Lurín, Lima</v>
      </c>
      <c r="N263">
        <v>59.1</v>
      </c>
      <c r="O263">
        <v>100</v>
      </c>
      <c r="P263">
        <v>1635.3</v>
      </c>
      <c r="Q263" t="s">
        <v>624</v>
      </c>
      <c r="R263" t="s">
        <v>23</v>
      </c>
      <c r="S263" t="s">
        <v>23</v>
      </c>
      <c r="T263" t="s">
        <v>23</v>
      </c>
      <c r="U263" t="s">
        <v>23</v>
      </c>
    </row>
    <row r="264" spans="1:21" x14ac:dyDescent="0.25">
      <c r="A264" t="s">
        <v>625</v>
      </c>
      <c r="B264" t="s">
        <v>21</v>
      </c>
      <c r="C264" t="s">
        <v>22</v>
      </c>
      <c r="D264" t="s">
        <v>22</v>
      </c>
      <c r="E264" t="s">
        <v>23</v>
      </c>
      <c r="F264" t="s">
        <v>24</v>
      </c>
      <c r="G264" t="s">
        <v>25</v>
      </c>
      <c r="H264" t="s">
        <v>23</v>
      </c>
      <c r="I264" t="s">
        <v>26</v>
      </c>
      <c r="J264" t="s">
        <v>626</v>
      </c>
      <c r="K264">
        <v>-12.259824</v>
      </c>
      <c r="L264">
        <v>-76.915854999999993</v>
      </c>
      <c r="M264" t="str">
        <f>HYPERLINK("https://www.google.com/maps/search/?api=1&amp;query=-12.259824,-76.915855","Carretera Panamericana Sur, Lurín, Lima")</f>
        <v>Carretera Panamericana Sur, Lurín, Lima</v>
      </c>
      <c r="N264">
        <v>79.400000000000006</v>
      </c>
      <c r="O264">
        <v>100</v>
      </c>
      <c r="P264">
        <v>1636.5</v>
      </c>
      <c r="Q264" t="s">
        <v>627</v>
      </c>
      <c r="R264" t="s">
        <v>23</v>
      </c>
      <c r="S264" t="s">
        <v>23</v>
      </c>
      <c r="T264" t="s">
        <v>23</v>
      </c>
      <c r="U264" t="s">
        <v>23</v>
      </c>
    </row>
    <row r="265" spans="1:21" x14ac:dyDescent="0.25">
      <c r="A265" t="s">
        <v>628</v>
      </c>
      <c r="B265" t="s">
        <v>21</v>
      </c>
      <c r="C265" t="s">
        <v>22</v>
      </c>
      <c r="D265" t="s">
        <v>22</v>
      </c>
      <c r="E265" t="s">
        <v>23</v>
      </c>
      <c r="F265" t="s">
        <v>24</v>
      </c>
      <c r="G265" t="s">
        <v>25</v>
      </c>
      <c r="H265" t="s">
        <v>23</v>
      </c>
      <c r="I265" t="s">
        <v>26</v>
      </c>
      <c r="J265" t="s">
        <v>629</v>
      </c>
      <c r="K265">
        <v>-12.262112</v>
      </c>
      <c r="L265">
        <v>-76.91225</v>
      </c>
      <c r="M265" t="str">
        <f>HYPERLINK("https://www.google.com/maps/search/?api=1&amp;query=-12.262112,-76.91225","Carretera Panamericana Sur, Lurín, Lima")</f>
        <v>Carretera Panamericana Sur, Lurín, Lima</v>
      </c>
      <c r="N265">
        <v>81.2</v>
      </c>
      <c r="O265">
        <v>100</v>
      </c>
      <c r="P265">
        <v>1636.5</v>
      </c>
      <c r="Q265" t="s">
        <v>627</v>
      </c>
      <c r="R265" t="s">
        <v>616</v>
      </c>
      <c r="S265" t="s">
        <v>23</v>
      </c>
      <c r="T265" t="s">
        <v>23</v>
      </c>
      <c r="U265" t="s">
        <v>23</v>
      </c>
    </row>
    <row r="266" spans="1:21" x14ac:dyDescent="0.25">
      <c r="A266" t="s">
        <v>630</v>
      </c>
      <c r="B266" t="s">
        <v>21</v>
      </c>
      <c r="C266" t="s">
        <v>22</v>
      </c>
      <c r="D266" t="s">
        <v>22</v>
      </c>
      <c r="E266" t="s">
        <v>23</v>
      </c>
      <c r="F266" t="s">
        <v>24</v>
      </c>
      <c r="G266" t="s">
        <v>25</v>
      </c>
      <c r="H266" t="s">
        <v>23</v>
      </c>
      <c r="I266" t="s">
        <v>26</v>
      </c>
      <c r="J266" t="s">
        <v>631</v>
      </c>
      <c r="K266">
        <v>-12.266188</v>
      </c>
      <c r="L266">
        <v>-76.905680000000004</v>
      </c>
      <c r="M266" t="str">
        <f>HYPERLINK("https://www.google.com/maps/search/?api=1&amp;query=-12.266188,-76.90568","Carretera Panamericana Sur, Lurín, Lima")</f>
        <v>Carretera Panamericana Sur, Lurín, Lima</v>
      </c>
      <c r="N266">
        <v>80.3</v>
      </c>
      <c r="O266">
        <v>100</v>
      </c>
      <c r="P266">
        <v>1636.5</v>
      </c>
      <c r="Q266" t="s">
        <v>627</v>
      </c>
      <c r="R266" t="s">
        <v>23</v>
      </c>
      <c r="S266" t="s">
        <v>23</v>
      </c>
      <c r="T266" t="s">
        <v>23</v>
      </c>
      <c r="U266" t="s">
        <v>23</v>
      </c>
    </row>
    <row r="267" spans="1:21" x14ac:dyDescent="0.25">
      <c r="A267" t="s">
        <v>632</v>
      </c>
      <c r="B267" t="s">
        <v>21</v>
      </c>
      <c r="C267" t="s">
        <v>22</v>
      </c>
      <c r="D267" t="s">
        <v>22</v>
      </c>
      <c r="E267" t="s">
        <v>23</v>
      </c>
      <c r="F267" t="s">
        <v>24</v>
      </c>
      <c r="G267" t="s">
        <v>25</v>
      </c>
      <c r="H267" t="s">
        <v>23</v>
      </c>
      <c r="I267" t="s">
        <v>26</v>
      </c>
      <c r="J267" t="s">
        <v>633</v>
      </c>
      <c r="K267">
        <v>-12.272492</v>
      </c>
      <c r="L267">
        <v>-76.895645000000002</v>
      </c>
      <c r="M267" t="str">
        <f>HYPERLINK("https://www.google.com/maps/search/?api=1&amp;query=-12.272492,-76.895645","Carretera Panamericana Sur, Lurín, Lima")</f>
        <v>Carretera Panamericana Sur, Lurín, Lima</v>
      </c>
      <c r="N267">
        <v>79.900000000000006</v>
      </c>
      <c r="O267">
        <v>100</v>
      </c>
      <c r="P267">
        <v>1637.9</v>
      </c>
      <c r="Q267" t="s">
        <v>634</v>
      </c>
      <c r="R267" t="s">
        <v>23</v>
      </c>
      <c r="S267" t="s">
        <v>23</v>
      </c>
      <c r="T267" t="s">
        <v>23</v>
      </c>
      <c r="U267" t="s">
        <v>23</v>
      </c>
    </row>
    <row r="268" spans="1:21" x14ac:dyDescent="0.25">
      <c r="A268" t="s">
        <v>635</v>
      </c>
      <c r="B268" t="s">
        <v>21</v>
      </c>
      <c r="C268" t="s">
        <v>22</v>
      </c>
      <c r="D268" t="s">
        <v>22</v>
      </c>
      <c r="E268" t="s">
        <v>23</v>
      </c>
      <c r="F268" t="s">
        <v>24</v>
      </c>
      <c r="G268" t="s">
        <v>25</v>
      </c>
      <c r="H268" t="s">
        <v>23</v>
      </c>
      <c r="I268" t="s">
        <v>26</v>
      </c>
      <c r="J268" t="s">
        <v>636</v>
      </c>
      <c r="K268">
        <v>-12.278836</v>
      </c>
      <c r="L268">
        <v>-76.885604999999998</v>
      </c>
      <c r="M268" t="str">
        <f>HYPERLINK("https://www.google.com/maps/search/?api=1&amp;query=-12.278836,-76.885605","Carretera Panamericana Sur, Lurín, Lima")</f>
        <v>Carretera Panamericana Sur, Lurín, Lima</v>
      </c>
      <c r="N268">
        <v>81.599999999999994</v>
      </c>
      <c r="O268">
        <v>100</v>
      </c>
      <c r="P268">
        <v>1640.5</v>
      </c>
      <c r="Q268" t="s">
        <v>637</v>
      </c>
      <c r="R268" t="s">
        <v>616</v>
      </c>
      <c r="S268" t="s">
        <v>23</v>
      </c>
      <c r="T268" t="s">
        <v>23</v>
      </c>
      <c r="U268" t="s">
        <v>23</v>
      </c>
    </row>
    <row r="269" spans="1:21" x14ac:dyDescent="0.25">
      <c r="A269" t="s">
        <v>638</v>
      </c>
      <c r="B269" t="s">
        <v>21</v>
      </c>
      <c r="C269" t="s">
        <v>22</v>
      </c>
      <c r="D269" t="s">
        <v>22</v>
      </c>
      <c r="E269" t="s">
        <v>23</v>
      </c>
      <c r="F269" t="s">
        <v>24</v>
      </c>
      <c r="G269" t="s">
        <v>25</v>
      </c>
      <c r="H269" t="s">
        <v>23</v>
      </c>
      <c r="I269" t="s">
        <v>26</v>
      </c>
      <c r="J269" t="s">
        <v>639</v>
      </c>
      <c r="K269">
        <v>-12.278836</v>
      </c>
      <c r="L269">
        <v>-76.885604999999998</v>
      </c>
      <c r="M269" t="str">
        <f>HYPERLINK("https://www.google.com/maps/search/?api=1&amp;query=-12.278836,-76.885605","Carretera Panamericana Sur, Lurín, Lima")</f>
        <v>Carretera Panamericana Sur, Lurín, Lima</v>
      </c>
      <c r="N269">
        <v>81.599999999999994</v>
      </c>
      <c r="O269">
        <v>100</v>
      </c>
      <c r="P269">
        <v>1639.2</v>
      </c>
      <c r="Q269" t="s">
        <v>640</v>
      </c>
      <c r="R269" t="s">
        <v>23</v>
      </c>
      <c r="S269" t="s">
        <v>23</v>
      </c>
      <c r="T269" t="s">
        <v>23</v>
      </c>
      <c r="U269" t="s">
        <v>23</v>
      </c>
    </row>
    <row r="270" spans="1:21" x14ac:dyDescent="0.25">
      <c r="A270" t="s">
        <v>641</v>
      </c>
      <c r="B270" t="s">
        <v>21</v>
      </c>
      <c r="C270" t="s">
        <v>22</v>
      </c>
      <c r="D270" t="s">
        <v>22</v>
      </c>
      <c r="E270" t="s">
        <v>23</v>
      </c>
      <c r="F270" t="s">
        <v>24</v>
      </c>
      <c r="G270" t="s">
        <v>25</v>
      </c>
      <c r="H270" t="s">
        <v>23</v>
      </c>
      <c r="I270" t="s">
        <v>26</v>
      </c>
      <c r="J270" t="s">
        <v>642</v>
      </c>
      <c r="K270">
        <v>-12.285061000000001</v>
      </c>
      <c r="L270">
        <v>-76.875690000000006</v>
      </c>
      <c r="M270" t="str">
        <f>HYPERLINK("https://www.google.com/maps/search/?api=1&amp;query=-12.285061,-76.87569","Carretera Panamericana Sur, Lurín, Lima")</f>
        <v>Carretera Panamericana Sur, Lurín, Lima</v>
      </c>
      <c r="N270">
        <v>75.900000000000006</v>
      </c>
      <c r="O270">
        <v>100</v>
      </c>
      <c r="P270">
        <v>1640.5</v>
      </c>
      <c r="Q270" t="s">
        <v>637</v>
      </c>
      <c r="R270" t="s">
        <v>23</v>
      </c>
      <c r="S270" t="s">
        <v>23</v>
      </c>
      <c r="T270" t="s">
        <v>23</v>
      </c>
      <c r="U270" t="s">
        <v>23</v>
      </c>
    </row>
    <row r="271" spans="1:21" x14ac:dyDescent="0.25">
      <c r="A271" t="s">
        <v>643</v>
      </c>
      <c r="B271" t="s">
        <v>21</v>
      </c>
      <c r="C271" t="s">
        <v>22</v>
      </c>
      <c r="D271" t="s">
        <v>22</v>
      </c>
      <c r="E271" t="s">
        <v>23</v>
      </c>
      <c r="F271" t="s">
        <v>24</v>
      </c>
      <c r="G271" t="s">
        <v>25</v>
      </c>
      <c r="H271" t="s">
        <v>23</v>
      </c>
      <c r="I271" t="s">
        <v>26</v>
      </c>
      <c r="J271" t="s">
        <v>644</v>
      </c>
      <c r="K271">
        <v>-12.291441000000001</v>
      </c>
      <c r="L271">
        <v>-76.865520000000004</v>
      </c>
      <c r="M271" t="str">
        <f>HYPERLINK("https://www.google.com/maps/search/?api=1&amp;query=-12.291441,-76.86552","Carretera Panamericana Sur, Lurín, Lima")</f>
        <v>Carretera Panamericana Sur, Lurín, Lima</v>
      </c>
      <c r="N271">
        <v>79.8</v>
      </c>
      <c r="O271">
        <v>100</v>
      </c>
      <c r="P271">
        <v>1641.8</v>
      </c>
      <c r="Q271" t="s">
        <v>645</v>
      </c>
      <c r="R271" t="s">
        <v>23</v>
      </c>
      <c r="S271" t="s">
        <v>23</v>
      </c>
      <c r="T271" t="s">
        <v>23</v>
      </c>
      <c r="U271" t="s">
        <v>23</v>
      </c>
    </row>
    <row r="272" spans="1:21" x14ac:dyDescent="0.25">
      <c r="A272" t="s">
        <v>646</v>
      </c>
      <c r="B272" t="s">
        <v>21</v>
      </c>
      <c r="C272" t="s">
        <v>22</v>
      </c>
      <c r="D272" t="s">
        <v>22</v>
      </c>
      <c r="E272" t="s">
        <v>23</v>
      </c>
      <c r="F272" t="s">
        <v>24</v>
      </c>
      <c r="G272" t="s">
        <v>25</v>
      </c>
      <c r="H272" t="s">
        <v>23</v>
      </c>
      <c r="I272" t="s">
        <v>26</v>
      </c>
      <c r="J272" t="s">
        <v>647</v>
      </c>
      <c r="K272">
        <v>-12.293697</v>
      </c>
      <c r="L272">
        <v>-76.861909999999995</v>
      </c>
      <c r="M272" t="str">
        <f>HYPERLINK("https://www.google.com/maps/search/?api=1&amp;query=-12.293697,-76.86191","Carretera Panamericana Sur, Lurín, Lima")</f>
        <v>Carretera Panamericana Sur, Lurín, Lima</v>
      </c>
      <c r="N272">
        <v>80.099999999999994</v>
      </c>
      <c r="O272">
        <v>100</v>
      </c>
      <c r="P272">
        <v>1643.1</v>
      </c>
      <c r="Q272" t="s">
        <v>648</v>
      </c>
      <c r="R272" t="s">
        <v>616</v>
      </c>
      <c r="S272" t="s">
        <v>23</v>
      </c>
      <c r="T272" t="s">
        <v>23</v>
      </c>
      <c r="U272" t="s">
        <v>23</v>
      </c>
    </row>
    <row r="273" spans="1:21" x14ac:dyDescent="0.25">
      <c r="A273" t="s">
        <v>649</v>
      </c>
      <c r="B273" t="s">
        <v>21</v>
      </c>
      <c r="C273" t="s">
        <v>22</v>
      </c>
      <c r="D273" t="s">
        <v>22</v>
      </c>
      <c r="E273" t="s">
        <v>23</v>
      </c>
      <c r="F273" t="s">
        <v>24</v>
      </c>
      <c r="G273" t="s">
        <v>25</v>
      </c>
      <c r="H273" t="s">
        <v>23</v>
      </c>
      <c r="I273" t="s">
        <v>26</v>
      </c>
      <c r="J273" t="s">
        <v>650</v>
      </c>
      <c r="K273">
        <v>-12.297451000000001</v>
      </c>
      <c r="L273">
        <v>-76.854990000000001</v>
      </c>
      <c r="M273" t="str">
        <f>HYPERLINK("https://www.google.com/maps/search/?api=1&amp;query=-12.297451,-76.85499","Carretera Panamericana Sur, Lurín, Lima")</f>
        <v>Carretera Panamericana Sur, Lurín, Lima</v>
      </c>
      <c r="N273">
        <v>78.099999999999994</v>
      </c>
      <c r="O273">
        <v>100</v>
      </c>
      <c r="P273">
        <v>1644.4</v>
      </c>
      <c r="Q273" t="s">
        <v>651</v>
      </c>
      <c r="R273" t="s">
        <v>23</v>
      </c>
      <c r="S273" t="s">
        <v>23</v>
      </c>
      <c r="T273" t="s">
        <v>23</v>
      </c>
      <c r="U273" t="s">
        <v>23</v>
      </c>
    </row>
    <row r="274" spans="1:21" x14ac:dyDescent="0.25">
      <c r="A274" t="s">
        <v>652</v>
      </c>
      <c r="B274" t="s">
        <v>21</v>
      </c>
      <c r="C274" t="s">
        <v>22</v>
      </c>
      <c r="D274" t="s">
        <v>22</v>
      </c>
      <c r="E274" t="s">
        <v>23</v>
      </c>
      <c r="F274" t="s">
        <v>24</v>
      </c>
      <c r="G274" t="s">
        <v>25</v>
      </c>
      <c r="H274" t="s">
        <v>23</v>
      </c>
      <c r="I274" t="s">
        <v>26</v>
      </c>
      <c r="J274" t="s">
        <v>653</v>
      </c>
      <c r="K274">
        <v>-12.301982000000001</v>
      </c>
      <c r="L274">
        <v>-76.84478</v>
      </c>
      <c r="M274" t="str">
        <f>HYPERLINK("https://www.google.com/maps/search/?api=1&amp;query=-12.301982,-76.84478","Carretera Panamericana Sur, Lurín, Lima")</f>
        <v>Carretera Panamericana Sur, Lurín, Lima</v>
      </c>
      <c r="N274">
        <v>71.400000000000006</v>
      </c>
      <c r="O274">
        <v>100</v>
      </c>
      <c r="P274">
        <v>1645.7</v>
      </c>
      <c r="Q274" t="s">
        <v>654</v>
      </c>
      <c r="R274" t="s">
        <v>23</v>
      </c>
      <c r="S274" t="s">
        <v>23</v>
      </c>
      <c r="T274" t="s">
        <v>23</v>
      </c>
      <c r="U274" t="s">
        <v>23</v>
      </c>
    </row>
    <row r="275" spans="1:21" x14ac:dyDescent="0.25">
      <c r="A275" t="s">
        <v>655</v>
      </c>
      <c r="B275" t="s">
        <v>21</v>
      </c>
      <c r="C275" t="s">
        <v>22</v>
      </c>
      <c r="D275" t="s">
        <v>22</v>
      </c>
      <c r="E275" t="s">
        <v>23</v>
      </c>
      <c r="F275" t="s">
        <v>24</v>
      </c>
      <c r="G275" t="s">
        <v>25</v>
      </c>
      <c r="H275" t="s">
        <v>23</v>
      </c>
      <c r="I275" t="s">
        <v>26</v>
      </c>
      <c r="J275" t="s">
        <v>656</v>
      </c>
      <c r="K275">
        <v>-12.308672</v>
      </c>
      <c r="L275">
        <v>-76.836494000000002</v>
      </c>
      <c r="M275" t="str">
        <f>HYPERLINK("https://www.google.com/maps/search/?api=1&amp;query=-12.308672,-76.836494","Carretera Panamericana Sur, Punta Hermosa, Lima")</f>
        <v>Carretera Panamericana Sur, Punta Hermosa, Lima</v>
      </c>
      <c r="N275">
        <v>73.3</v>
      </c>
      <c r="O275">
        <v>100</v>
      </c>
      <c r="P275">
        <v>1645.7</v>
      </c>
      <c r="Q275" t="s">
        <v>654</v>
      </c>
      <c r="R275" t="s">
        <v>23</v>
      </c>
      <c r="S275" t="s">
        <v>23</v>
      </c>
      <c r="T275" t="s">
        <v>23</v>
      </c>
      <c r="U275" t="s">
        <v>23</v>
      </c>
    </row>
    <row r="276" spans="1:21" x14ac:dyDescent="0.25">
      <c r="A276" t="s">
        <v>657</v>
      </c>
      <c r="B276" t="s">
        <v>21</v>
      </c>
      <c r="C276" t="s">
        <v>22</v>
      </c>
      <c r="D276" t="s">
        <v>22</v>
      </c>
      <c r="E276" t="s">
        <v>23</v>
      </c>
      <c r="F276" t="s">
        <v>24</v>
      </c>
      <c r="G276" t="s">
        <v>25</v>
      </c>
      <c r="H276" t="s">
        <v>23</v>
      </c>
      <c r="I276" t="s">
        <v>26</v>
      </c>
      <c r="J276" t="s">
        <v>658</v>
      </c>
      <c r="K276">
        <v>-12.318372</v>
      </c>
      <c r="L276">
        <v>-76.83005</v>
      </c>
      <c r="M276" t="str">
        <f>HYPERLINK("https://www.google.com/maps/search/?api=1&amp;query=-12.318372,-76.83005","Carretera Panamericana Sur, Punta Hermosa, Lima")</f>
        <v>Carretera Panamericana Sur, Punta Hermosa, Lima</v>
      </c>
      <c r="N276">
        <v>71.400000000000006</v>
      </c>
      <c r="O276">
        <v>100</v>
      </c>
      <c r="P276">
        <v>1646.8</v>
      </c>
      <c r="Q276" t="s">
        <v>659</v>
      </c>
      <c r="R276" t="s">
        <v>23</v>
      </c>
      <c r="S276" t="s">
        <v>23</v>
      </c>
      <c r="T276" t="s">
        <v>23</v>
      </c>
      <c r="U276" t="s">
        <v>23</v>
      </c>
    </row>
    <row r="277" spans="1:21" x14ac:dyDescent="0.25">
      <c r="A277" t="s">
        <v>660</v>
      </c>
      <c r="B277" t="s">
        <v>21</v>
      </c>
      <c r="C277" t="s">
        <v>22</v>
      </c>
      <c r="D277" t="s">
        <v>22</v>
      </c>
      <c r="E277" t="s">
        <v>23</v>
      </c>
      <c r="F277" t="s">
        <v>24</v>
      </c>
      <c r="G277" t="s">
        <v>25</v>
      </c>
      <c r="H277" t="s">
        <v>23</v>
      </c>
      <c r="I277" t="s">
        <v>26</v>
      </c>
      <c r="J277" t="s">
        <v>661</v>
      </c>
      <c r="K277">
        <v>-12.325384</v>
      </c>
      <c r="L277">
        <v>-76.825329999999994</v>
      </c>
      <c r="M277" t="str">
        <f>HYPERLINK("https://www.google.com/maps/search/?api=1&amp;query=-12.325384,-76.82533","Carretera Panamericana Sur, Punta Hermosa, Lima")</f>
        <v>Carretera Panamericana Sur, Punta Hermosa, Lima</v>
      </c>
      <c r="N277">
        <v>83.2</v>
      </c>
      <c r="O277">
        <v>100</v>
      </c>
      <c r="P277">
        <v>1648.1</v>
      </c>
      <c r="Q277" t="s">
        <v>662</v>
      </c>
      <c r="R277" t="s">
        <v>616</v>
      </c>
      <c r="S277" t="s">
        <v>23</v>
      </c>
      <c r="T277" t="s">
        <v>23</v>
      </c>
      <c r="U277" t="s">
        <v>23</v>
      </c>
    </row>
    <row r="278" spans="1:21" x14ac:dyDescent="0.25">
      <c r="A278" t="s">
        <v>663</v>
      </c>
      <c r="B278" t="s">
        <v>21</v>
      </c>
      <c r="C278" t="s">
        <v>22</v>
      </c>
      <c r="D278" t="s">
        <v>22</v>
      </c>
      <c r="E278" t="s">
        <v>23</v>
      </c>
      <c r="F278" t="s">
        <v>24</v>
      </c>
      <c r="G278" t="s">
        <v>25</v>
      </c>
      <c r="H278" t="s">
        <v>23</v>
      </c>
      <c r="I278" t="s">
        <v>26</v>
      </c>
      <c r="J278" t="s">
        <v>664</v>
      </c>
      <c r="K278">
        <v>-12.328042999999999</v>
      </c>
      <c r="L278">
        <v>-76.823589999999996</v>
      </c>
      <c r="M278" t="str">
        <f>HYPERLINK("https://www.google.com/maps/search/?api=1&amp;query=-12.328043,-76.82359","Carretera Panamericana Sur, Punta Hermosa, Lima")</f>
        <v>Carretera Panamericana Sur, Punta Hermosa, Lima</v>
      </c>
      <c r="N278">
        <v>83.8</v>
      </c>
      <c r="O278">
        <v>100</v>
      </c>
      <c r="P278">
        <v>1648.1</v>
      </c>
      <c r="Q278" t="s">
        <v>662</v>
      </c>
      <c r="R278" t="s">
        <v>560</v>
      </c>
      <c r="S278" t="s">
        <v>23</v>
      </c>
      <c r="T278" t="s">
        <v>23</v>
      </c>
      <c r="U278" t="s">
        <v>23</v>
      </c>
    </row>
    <row r="279" spans="1:21" x14ac:dyDescent="0.25">
      <c r="A279" t="s">
        <v>665</v>
      </c>
      <c r="B279" t="s">
        <v>21</v>
      </c>
      <c r="C279" t="s">
        <v>22</v>
      </c>
      <c r="D279" t="s">
        <v>22</v>
      </c>
      <c r="E279" t="s">
        <v>23</v>
      </c>
      <c r="F279" t="s">
        <v>24</v>
      </c>
      <c r="G279" t="s">
        <v>25</v>
      </c>
      <c r="H279" t="s">
        <v>23</v>
      </c>
      <c r="I279" t="s">
        <v>26</v>
      </c>
      <c r="J279" t="s">
        <v>666</v>
      </c>
      <c r="K279">
        <v>-12.335594</v>
      </c>
      <c r="L279">
        <v>-76.818793999999997</v>
      </c>
      <c r="M279" t="str">
        <f>HYPERLINK("https://www.google.com/maps/search/?api=1&amp;query=-12.335594,-76.818794","Carretera Panamericana Sur, Punta Hermosa, Lima")</f>
        <v>Carretera Panamericana Sur, Punta Hermosa, Lima</v>
      </c>
      <c r="N279">
        <v>17.100000000000001</v>
      </c>
      <c r="O279">
        <v>100</v>
      </c>
      <c r="P279">
        <v>1649.4</v>
      </c>
      <c r="Q279" t="s">
        <v>667</v>
      </c>
      <c r="R279" t="s">
        <v>23</v>
      </c>
      <c r="S279" t="s">
        <v>23</v>
      </c>
      <c r="T279" t="s">
        <v>23</v>
      </c>
      <c r="U279" t="s">
        <v>23</v>
      </c>
    </row>
    <row r="280" spans="1:21" x14ac:dyDescent="0.25">
      <c r="A280" t="s">
        <v>668</v>
      </c>
      <c r="B280" t="s">
        <v>21</v>
      </c>
      <c r="C280" t="s">
        <v>22</v>
      </c>
      <c r="D280" t="s">
        <v>22</v>
      </c>
      <c r="E280" t="s">
        <v>23</v>
      </c>
      <c r="F280" t="s">
        <v>24</v>
      </c>
      <c r="G280" t="s">
        <v>25</v>
      </c>
      <c r="H280" t="s">
        <v>23</v>
      </c>
      <c r="I280" t="s">
        <v>26</v>
      </c>
      <c r="J280" t="s">
        <v>669</v>
      </c>
      <c r="K280">
        <v>-12.335806</v>
      </c>
      <c r="L280">
        <v>-76.818899999999999</v>
      </c>
      <c r="M280" t="str">
        <f>HYPERLINK("https://www.google.com/maps/search/?api=1&amp;query=-12.335806,-76.8189","Antigua Panamericana Sur, Punta Hermosa, Lima")</f>
        <v>Antigua Panamericana Sur, Punta Hermosa, Lima</v>
      </c>
      <c r="N280">
        <v>9.8000000000000007</v>
      </c>
      <c r="O280">
        <v>100</v>
      </c>
      <c r="P280">
        <v>1650.4</v>
      </c>
      <c r="Q280" t="s">
        <v>670</v>
      </c>
      <c r="R280" t="s">
        <v>23</v>
      </c>
      <c r="S280" t="s">
        <v>23</v>
      </c>
      <c r="T280" t="s">
        <v>23</v>
      </c>
      <c r="U280" t="s">
        <v>23</v>
      </c>
    </row>
    <row r="281" spans="1:21" x14ac:dyDescent="0.25">
      <c r="A281" t="s">
        <v>671</v>
      </c>
      <c r="B281" t="s">
        <v>21</v>
      </c>
      <c r="C281" t="s">
        <v>22</v>
      </c>
      <c r="D281" t="s">
        <v>22</v>
      </c>
      <c r="E281" t="s">
        <v>23</v>
      </c>
      <c r="F281" t="s">
        <v>24</v>
      </c>
      <c r="G281" t="s">
        <v>25</v>
      </c>
      <c r="H281" t="s">
        <v>23</v>
      </c>
      <c r="I281" t="s">
        <v>26</v>
      </c>
      <c r="J281" t="s">
        <v>672</v>
      </c>
      <c r="K281">
        <v>-12.335865</v>
      </c>
      <c r="L281">
        <v>-76.819069999999996</v>
      </c>
      <c r="M281" t="str">
        <f>HYPERLINK("https://www.google.com/maps/search/?api=1&amp;query=-12.335865,-76.81907","Antigua Panamericana Sur, Punta Hermosa, Lima")</f>
        <v>Antigua Panamericana Sur, Punta Hermosa, Lima</v>
      </c>
      <c r="N281">
        <v>5.9</v>
      </c>
      <c r="O281">
        <v>100</v>
      </c>
      <c r="P281">
        <v>1650.4</v>
      </c>
      <c r="Q281" t="s">
        <v>670</v>
      </c>
      <c r="R281" t="s">
        <v>23</v>
      </c>
      <c r="S281" t="s">
        <v>23</v>
      </c>
      <c r="T281" t="s">
        <v>23</v>
      </c>
      <c r="U281" t="s">
        <v>23</v>
      </c>
    </row>
    <row r="282" spans="1:21" x14ac:dyDescent="0.25">
      <c r="A282" t="s">
        <v>673</v>
      </c>
      <c r="B282" t="s">
        <v>21</v>
      </c>
      <c r="C282" t="s">
        <v>22</v>
      </c>
      <c r="D282" t="s">
        <v>22</v>
      </c>
      <c r="E282" t="s">
        <v>23</v>
      </c>
      <c r="F282" t="s">
        <v>24</v>
      </c>
      <c r="G282" t="s">
        <v>25</v>
      </c>
      <c r="H282" t="s">
        <v>23</v>
      </c>
      <c r="I282" t="s">
        <v>26</v>
      </c>
      <c r="J282" t="s">
        <v>674</v>
      </c>
      <c r="K282">
        <v>-12.335705000000001</v>
      </c>
      <c r="L282">
        <v>-76.819220000000001</v>
      </c>
      <c r="M282" t="str">
        <f>HYPERLINK("https://www.google.com/maps/search/?api=1&amp;query=-12.335705,-76.81922","Antigua Panamericana Sur, Punta Hermosa, Lima")</f>
        <v>Antigua Panamericana Sur, Punta Hermosa, Lima</v>
      </c>
      <c r="N282">
        <v>19</v>
      </c>
      <c r="O282">
        <v>100</v>
      </c>
      <c r="P282">
        <v>1650.4</v>
      </c>
      <c r="Q282" t="s">
        <v>670</v>
      </c>
      <c r="R282" t="s">
        <v>23</v>
      </c>
      <c r="S282" t="s">
        <v>23</v>
      </c>
      <c r="T282" t="s">
        <v>23</v>
      </c>
      <c r="U282" t="s">
        <v>23</v>
      </c>
    </row>
    <row r="283" spans="1:21" x14ac:dyDescent="0.25">
      <c r="A283" t="s">
        <v>675</v>
      </c>
      <c r="B283" t="s">
        <v>21</v>
      </c>
      <c r="C283" t="s">
        <v>22</v>
      </c>
      <c r="D283" t="s">
        <v>22</v>
      </c>
      <c r="E283" t="s">
        <v>23</v>
      </c>
      <c r="F283" t="s">
        <v>24</v>
      </c>
      <c r="G283" t="s">
        <v>25</v>
      </c>
      <c r="H283" t="s">
        <v>23</v>
      </c>
      <c r="I283" t="s">
        <v>26</v>
      </c>
      <c r="J283" t="s">
        <v>676</v>
      </c>
      <c r="K283">
        <v>-12.333895999999999</v>
      </c>
      <c r="L283">
        <v>-76.82047</v>
      </c>
      <c r="M283" t="str">
        <f>HYPERLINK("https://www.google.com/maps/search/?api=1&amp;query=-12.333896,-76.82047","Antigua Panamericana Sur, Punta Hermosa, Lima")</f>
        <v>Antigua Panamericana Sur, Punta Hermosa, Lima</v>
      </c>
      <c r="N283">
        <v>21.7</v>
      </c>
      <c r="O283">
        <v>100</v>
      </c>
      <c r="P283">
        <v>1650.8</v>
      </c>
      <c r="Q283" t="s">
        <v>677</v>
      </c>
      <c r="R283" t="s">
        <v>23</v>
      </c>
      <c r="S283" t="s">
        <v>23</v>
      </c>
      <c r="T283" t="s">
        <v>23</v>
      </c>
      <c r="U283" t="s">
        <v>23</v>
      </c>
    </row>
    <row r="284" spans="1:21" x14ac:dyDescent="0.25">
      <c r="A284" t="s">
        <v>678</v>
      </c>
      <c r="B284" t="s">
        <v>21</v>
      </c>
      <c r="C284" t="s">
        <v>22</v>
      </c>
      <c r="D284" t="s">
        <v>22</v>
      </c>
      <c r="E284" t="s">
        <v>23</v>
      </c>
      <c r="F284" t="s">
        <v>24</v>
      </c>
      <c r="G284" t="s">
        <v>25</v>
      </c>
      <c r="H284" t="s">
        <v>23</v>
      </c>
      <c r="I284" t="s">
        <v>26</v>
      </c>
      <c r="J284" t="s">
        <v>676</v>
      </c>
      <c r="K284">
        <v>-12.333764</v>
      </c>
      <c r="L284">
        <v>-76.820464999999999</v>
      </c>
      <c r="M284" t="str">
        <f>HYPERLINK("https://www.google.com/maps/search/?api=1&amp;query=-12.333764,-76.820465","Antigua Panamericana Sur, Punta Hermosa, Lima")</f>
        <v>Antigua Panamericana Sur, Punta Hermosa, Lima</v>
      </c>
      <c r="N284">
        <v>18.100000000000001</v>
      </c>
      <c r="O284">
        <v>100</v>
      </c>
      <c r="P284">
        <v>1650.8</v>
      </c>
      <c r="Q284" t="s">
        <v>677</v>
      </c>
      <c r="R284" t="s">
        <v>23</v>
      </c>
      <c r="S284" t="s">
        <v>23</v>
      </c>
      <c r="T284" t="s">
        <v>23</v>
      </c>
      <c r="U284" t="s">
        <v>23</v>
      </c>
    </row>
    <row r="285" spans="1:21" x14ac:dyDescent="0.25">
      <c r="A285" t="s">
        <v>679</v>
      </c>
      <c r="B285" t="s">
        <v>21</v>
      </c>
      <c r="C285" t="s">
        <v>22</v>
      </c>
      <c r="D285" t="s">
        <v>22</v>
      </c>
      <c r="E285" t="s">
        <v>23</v>
      </c>
      <c r="F285" t="s">
        <v>24</v>
      </c>
      <c r="G285" t="s">
        <v>25</v>
      </c>
      <c r="H285" t="s">
        <v>23</v>
      </c>
      <c r="I285" t="s">
        <v>26</v>
      </c>
      <c r="J285" t="s">
        <v>680</v>
      </c>
      <c r="K285">
        <v>-12.333735000000001</v>
      </c>
      <c r="L285">
        <v>-76.820329999999998</v>
      </c>
      <c r="M285" t="str">
        <f>HYPERLINK("https://www.google.com/maps/search/?api=1&amp;query=-12.333735,-76.82033","Antigua Panamericana Sur, Punta Hermosa, Lima")</f>
        <v>Antigua Panamericana Sur, Punta Hermosa, Lima</v>
      </c>
      <c r="N285">
        <v>22.8</v>
      </c>
      <c r="O285">
        <v>100</v>
      </c>
      <c r="P285">
        <v>1650.8</v>
      </c>
      <c r="Q285" t="s">
        <v>677</v>
      </c>
      <c r="R285" t="s">
        <v>23</v>
      </c>
      <c r="S285" t="s">
        <v>23</v>
      </c>
      <c r="T285" t="s">
        <v>23</v>
      </c>
      <c r="U285" t="s">
        <v>23</v>
      </c>
    </row>
    <row r="286" spans="1:21" x14ac:dyDescent="0.25">
      <c r="A286" t="s">
        <v>681</v>
      </c>
      <c r="B286" t="s">
        <v>21</v>
      </c>
      <c r="C286" t="s">
        <v>22</v>
      </c>
      <c r="D286" t="s">
        <v>22</v>
      </c>
      <c r="E286" t="s">
        <v>23</v>
      </c>
      <c r="F286" t="s">
        <v>24</v>
      </c>
      <c r="G286" t="s">
        <v>25</v>
      </c>
      <c r="H286" t="s">
        <v>23</v>
      </c>
      <c r="I286" t="s">
        <v>26</v>
      </c>
      <c r="J286" t="s">
        <v>682</v>
      </c>
      <c r="K286">
        <v>-12.333612</v>
      </c>
      <c r="L286">
        <v>-76.819659999999999</v>
      </c>
      <c r="M286" t="str">
        <f>HYPERLINK("https://www.google.com/maps/search/?api=1&amp;query=-12.333612,-76.81966","Carretera Panamericana Sur, Punta Hermosa, Lima")</f>
        <v>Carretera Panamericana Sur, Punta Hermosa, Lima</v>
      </c>
      <c r="N286">
        <v>27.8</v>
      </c>
      <c r="O286">
        <v>100</v>
      </c>
      <c r="P286">
        <v>1650.8</v>
      </c>
      <c r="Q286" t="s">
        <v>677</v>
      </c>
      <c r="R286" t="s">
        <v>23</v>
      </c>
      <c r="S286" t="s">
        <v>23</v>
      </c>
      <c r="T286" t="s">
        <v>23</v>
      </c>
      <c r="U286" t="s">
        <v>23</v>
      </c>
    </row>
    <row r="287" spans="1:21" x14ac:dyDescent="0.25">
      <c r="A287" t="s">
        <v>683</v>
      </c>
      <c r="B287" t="s">
        <v>21</v>
      </c>
      <c r="C287" t="s">
        <v>22</v>
      </c>
      <c r="D287" t="s">
        <v>22</v>
      </c>
      <c r="E287" t="s">
        <v>23</v>
      </c>
      <c r="F287" t="s">
        <v>24</v>
      </c>
      <c r="G287" t="s">
        <v>25</v>
      </c>
      <c r="H287" t="s">
        <v>23</v>
      </c>
      <c r="I287" t="s">
        <v>26</v>
      </c>
      <c r="J287" t="s">
        <v>684</v>
      </c>
      <c r="K287">
        <v>-12.333425</v>
      </c>
      <c r="L287">
        <v>-76.819564999999997</v>
      </c>
      <c r="M287" t="str">
        <f>HYPERLINK("https://www.google.com/maps/search/?api=1&amp;query=-12.333425,-76.819565","Carretera Panamericana Sur, Punta Hermosa, Lima")</f>
        <v>Carretera Panamericana Sur, Punta Hermosa, Lima</v>
      </c>
      <c r="N287">
        <v>29.2</v>
      </c>
      <c r="O287">
        <v>100</v>
      </c>
      <c r="P287">
        <v>1650.8</v>
      </c>
      <c r="Q287" t="s">
        <v>677</v>
      </c>
      <c r="R287" t="s">
        <v>23</v>
      </c>
      <c r="S287" t="s">
        <v>23</v>
      </c>
      <c r="T287" t="s">
        <v>23</v>
      </c>
      <c r="U287" t="s">
        <v>23</v>
      </c>
    </row>
    <row r="288" spans="1:21" x14ac:dyDescent="0.25">
      <c r="A288" t="s">
        <v>685</v>
      </c>
      <c r="B288" t="s">
        <v>21</v>
      </c>
      <c r="C288" t="s">
        <v>22</v>
      </c>
      <c r="D288" t="s">
        <v>22</v>
      </c>
      <c r="E288" t="s">
        <v>23</v>
      </c>
      <c r="F288" t="s">
        <v>24</v>
      </c>
      <c r="G288" t="s">
        <v>25</v>
      </c>
      <c r="H288" t="s">
        <v>23</v>
      </c>
      <c r="I288" t="s">
        <v>26</v>
      </c>
      <c r="J288" t="s">
        <v>686</v>
      </c>
      <c r="K288">
        <v>-12.333024999999999</v>
      </c>
      <c r="L288">
        <v>-76.819749999999999</v>
      </c>
      <c r="M288" t="str">
        <f>HYPERLINK("https://www.google.com/maps/search/?api=1&amp;query=-12.333025,-76.81975","Punta Hermosa, Lima")</f>
        <v>Punta Hermosa, Lima</v>
      </c>
      <c r="N288">
        <v>30.3</v>
      </c>
      <c r="O288">
        <v>100</v>
      </c>
      <c r="P288">
        <v>1650.8</v>
      </c>
      <c r="Q288" t="s">
        <v>677</v>
      </c>
      <c r="R288" t="s">
        <v>23</v>
      </c>
      <c r="S288" t="s">
        <v>23</v>
      </c>
      <c r="T288" t="s">
        <v>23</v>
      </c>
      <c r="U288" t="s">
        <v>23</v>
      </c>
    </row>
    <row r="289" spans="1:21" x14ac:dyDescent="0.25">
      <c r="A289" t="s">
        <v>687</v>
      </c>
      <c r="B289" t="s">
        <v>21</v>
      </c>
      <c r="C289" t="s">
        <v>22</v>
      </c>
      <c r="D289" t="s">
        <v>22</v>
      </c>
      <c r="E289" t="s">
        <v>23</v>
      </c>
      <c r="F289" t="s">
        <v>24</v>
      </c>
      <c r="G289" t="s">
        <v>25</v>
      </c>
      <c r="H289" t="s">
        <v>23</v>
      </c>
      <c r="I289" t="s">
        <v>26</v>
      </c>
      <c r="J289" t="s">
        <v>688</v>
      </c>
      <c r="K289">
        <v>-12.333024999999999</v>
      </c>
      <c r="L289">
        <v>-76.819749999999999</v>
      </c>
      <c r="M289" t="str">
        <f>HYPERLINK("https://www.google.com/maps/search/?api=1&amp;query=-12.333025,-76.81975","Punta Hermosa, Lima")</f>
        <v>Punta Hermosa, Lima</v>
      </c>
      <c r="N289">
        <v>30.3</v>
      </c>
      <c r="O289">
        <v>100</v>
      </c>
      <c r="P289">
        <v>1650.8</v>
      </c>
      <c r="Q289" t="s">
        <v>677</v>
      </c>
      <c r="R289" t="s">
        <v>23</v>
      </c>
      <c r="S289" t="s">
        <v>23</v>
      </c>
      <c r="T289" t="s">
        <v>23</v>
      </c>
      <c r="U289" t="s">
        <v>23</v>
      </c>
    </row>
    <row r="290" spans="1:21" x14ac:dyDescent="0.25">
      <c r="A290" t="s">
        <v>689</v>
      </c>
      <c r="B290" t="s">
        <v>21</v>
      </c>
      <c r="C290" t="s">
        <v>22</v>
      </c>
      <c r="D290" t="s">
        <v>22</v>
      </c>
      <c r="E290" t="s">
        <v>23</v>
      </c>
      <c r="F290" t="s">
        <v>24</v>
      </c>
      <c r="G290" t="s">
        <v>25</v>
      </c>
      <c r="H290" t="s">
        <v>23</v>
      </c>
      <c r="I290" t="s">
        <v>26</v>
      </c>
      <c r="J290" t="s">
        <v>690</v>
      </c>
      <c r="K290">
        <v>-12.329618999999999</v>
      </c>
      <c r="L290">
        <v>-76.822379999999995</v>
      </c>
      <c r="M290" t="str">
        <f>HYPERLINK("https://www.google.com/maps/search/?api=1&amp;query=-12.329619,-76.82238","Carretera Panamericana Sur, Punta Hermosa, Lima")</f>
        <v>Carretera Panamericana Sur, Punta Hermosa, Lima</v>
      </c>
      <c r="N290">
        <v>65.400000000000006</v>
      </c>
      <c r="O290">
        <v>100</v>
      </c>
      <c r="P290">
        <v>1651.4</v>
      </c>
      <c r="Q290" t="s">
        <v>691</v>
      </c>
      <c r="R290" t="s">
        <v>23</v>
      </c>
      <c r="S290" t="s">
        <v>23</v>
      </c>
      <c r="T290" t="s">
        <v>23</v>
      </c>
      <c r="U290" t="s">
        <v>23</v>
      </c>
    </row>
    <row r="291" spans="1:21" x14ac:dyDescent="0.25">
      <c r="A291" t="s">
        <v>692</v>
      </c>
      <c r="B291" t="s">
        <v>21</v>
      </c>
      <c r="C291" t="s">
        <v>22</v>
      </c>
      <c r="D291" t="s">
        <v>22</v>
      </c>
      <c r="E291" t="s">
        <v>23</v>
      </c>
      <c r="F291" t="s">
        <v>24</v>
      </c>
      <c r="G291" t="s">
        <v>25</v>
      </c>
      <c r="H291" t="s">
        <v>23</v>
      </c>
      <c r="I291" t="s">
        <v>26</v>
      </c>
      <c r="J291" t="s">
        <v>693</v>
      </c>
      <c r="K291">
        <v>-12.320665999999999</v>
      </c>
      <c r="L291">
        <v>-76.82835</v>
      </c>
      <c r="M291" t="str">
        <f>HYPERLINK("https://www.google.com/maps/search/?api=1&amp;query=-12.320666,-76.82835","Carretera Panamericana Sur, Punta Hermosa, Lima")</f>
        <v>Carretera Panamericana Sur, Punta Hermosa, Lima</v>
      </c>
      <c r="N291">
        <v>80</v>
      </c>
      <c r="O291">
        <v>100</v>
      </c>
      <c r="P291">
        <v>1652.6</v>
      </c>
      <c r="Q291" t="s">
        <v>694</v>
      </c>
      <c r="R291" t="s">
        <v>23</v>
      </c>
      <c r="S291" t="s">
        <v>23</v>
      </c>
      <c r="T291" t="s">
        <v>23</v>
      </c>
      <c r="U291" t="s">
        <v>23</v>
      </c>
    </row>
    <row r="292" spans="1:21" x14ac:dyDescent="0.25">
      <c r="A292" t="s">
        <v>695</v>
      </c>
      <c r="B292" t="s">
        <v>21</v>
      </c>
      <c r="C292" t="s">
        <v>22</v>
      </c>
      <c r="D292" t="s">
        <v>22</v>
      </c>
      <c r="E292" t="s">
        <v>23</v>
      </c>
      <c r="F292" t="s">
        <v>24</v>
      </c>
      <c r="G292" t="s">
        <v>25</v>
      </c>
      <c r="H292" t="s">
        <v>23</v>
      </c>
      <c r="I292" t="s">
        <v>26</v>
      </c>
      <c r="J292" t="s">
        <v>693</v>
      </c>
      <c r="K292">
        <v>-12.317917</v>
      </c>
      <c r="L292">
        <v>-76.82978</v>
      </c>
      <c r="M292" t="str">
        <f>HYPERLINK("https://www.google.com/maps/search/?api=1&amp;query=-12.317917,-76.82978","Punta Hermosa, Lima")</f>
        <v>Punta Hermosa, Lima</v>
      </c>
      <c r="N292">
        <v>30.8</v>
      </c>
      <c r="O292">
        <v>100</v>
      </c>
      <c r="P292">
        <v>1652.6</v>
      </c>
      <c r="Q292" t="s">
        <v>694</v>
      </c>
      <c r="R292" t="s">
        <v>23</v>
      </c>
      <c r="S292" t="s">
        <v>23</v>
      </c>
      <c r="T292" t="s">
        <v>23</v>
      </c>
      <c r="U292" t="s">
        <v>23</v>
      </c>
    </row>
    <row r="293" spans="1:21" x14ac:dyDescent="0.25">
      <c r="A293" t="s">
        <v>696</v>
      </c>
      <c r="B293" t="s">
        <v>21</v>
      </c>
      <c r="C293" t="s">
        <v>22</v>
      </c>
      <c r="D293" t="s">
        <v>22</v>
      </c>
      <c r="E293" t="s">
        <v>23</v>
      </c>
      <c r="F293" t="s">
        <v>24</v>
      </c>
      <c r="G293" t="s">
        <v>25</v>
      </c>
      <c r="H293" t="s">
        <v>23</v>
      </c>
      <c r="I293" t="s">
        <v>26</v>
      </c>
      <c r="J293" t="s">
        <v>697</v>
      </c>
      <c r="K293">
        <v>-12.317584</v>
      </c>
      <c r="L293">
        <v>-76.829605000000001</v>
      </c>
      <c r="M293" t="str">
        <f>HYPERLINK("https://www.google.com/maps/search/?api=1&amp;query=-12.317584,-76.829605","Punta Hermosa, Lima")</f>
        <v>Punta Hermosa, Lima</v>
      </c>
      <c r="N293">
        <v>5.0999999999999996</v>
      </c>
      <c r="O293">
        <v>100</v>
      </c>
      <c r="P293">
        <v>1652.6</v>
      </c>
      <c r="Q293" t="s">
        <v>694</v>
      </c>
      <c r="R293" t="s">
        <v>221</v>
      </c>
      <c r="S293" t="s">
        <v>222</v>
      </c>
      <c r="T293" t="s">
        <v>223</v>
      </c>
      <c r="U293" t="s">
        <v>23</v>
      </c>
    </row>
    <row r="294" spans="1:21" x14ac:dyDescent="0.25">
      <c r="A294" t="s">
        <v>698</v>
      </c>
      <c r="B294" t="s">
        <v>21</v>
      </c>
      <c r="C294" t="s">
        <v>22</v>
      </c>
      <c r="D294" t="s">
        <v>22</v>
      </c>
      <c r="E294" t="s">
        <v>23</v>
      </c>
      <c r="F294" t="s">
        <v>24</v>
      </c>
      <c r="G294" t="s">
        <v>25</v>
      </c>
      <c r="H294" t="s">
        <v>23</v>
      </c>
      <c r="I294" t="s">
        <v>26</v>
      </c>
      <c r="J294" t="s">
        <v>697</v>
      </c>
      <c r="K294">
        <v>-12.317584</v>
      </c>
      <c r="L294">
        <v>-76.829605000000001</v>
      </c>
      <c r="M294" t="str">
        <f>HYPERLINK("https://www.google.com/maps/search/?api=1&amp;query=-12.317584,-76.829605","Punta Hermosa, Lima")</f>
        <v>Punta Hermosa, Lima</v>
      </c>
      <c r="N294">
        <v>5.0999999999999996</v>
      </c>
      <c r="O294">
        <v>100</v>
      </c>
      <c r="P294">
        <v>1652.6</v>
      </c>
      <c r="Q294" t="s">
        <v>694</v>
      </c>
      <c r="R294" t="s">
        <v>23</v>
      </c>
      <c r="S294" t="s">
        <v>23</v>
      </c>
      <c r="T294" t="s">
        <v>23</v>
      </c>
      <c r="U294" t="s">
        <v>23</v>
      </c>
    </row>
    <row r="295" spans="1:21" x14ac:dyDescent="0.25">
      <c r="A295" t="s">
        <v>699</v>
      </c>
      <c r="B295" t="s">
        <v>21</v>
      </c>
      <c r="C295" t="s">
        <v>22</v>
      </c>
      <c r="D295" t="s">
        <v>22</v>
      </c>
      <c r="E295" t="s">
        <v>23</v>
      </c>
      <c r="F295" t="s">
        <v>24</v>
      </c>
      <c r="G295" t="s">
        <v>25</v>
      </c>
      <c r="H295" t="s">
        <v>23</v>
      </c>
      <c r="I295" t="s">
        <v>26</v>
      </c>
      <c r="J295" t="s">
        <v>700</v>
      </c>
      <c r="K295">
        <v>-12.317572</v>
      </c>
      <c r="L295">
        <v>-76.829589999999996</v>
      </c>
      <c r="M295" t="str">
        <f>HYPERLINK("https://www.google.com/maps/search/?api=1&amp;query=-12.317572,-76.82959","Punta Hermosa, Lima")</f>
        <v>Punta Hermosa, Lima</v>
      </c>
      <c r="N295">
        <v>0</v>
      </c>
      <c r="O295">
        <v>100</v>
      </c>
      <c r="P295">
        <v>1653</v>
      </c>
      <c r="Q295" t="s">
        <v>694</v>
      </c>
      <c r="R295" t="s">
        <v>23</v>
      </c>
      <c r="S295" t="s">
        <v>23</v>
      </c>
      <c r="T295" t="s">
        <v>23</v>
      </c>
      <c r="U295" t="s">
        <v>23</v>
      </c>
    </row>
    <row r="296" spans="1:21" x14ac:dyDescent="0.25">
      <c r="A296" t="s">
        <v>701</v>
      </c>
      <c r="B296" t="s">
        <v>21</v>
      </c>
      <c r="C296" t="s">
        <v>22</v>
      </c>
      <c r="D296" t="s">
        <v>22</v>
      </c>
      <c r="E296" t="s">
        <v>23</v>
      </c>
      <c r="F296" t="s">
        <v>24</v>
      </c>
      <c r="G296" t="s">
        <v>25</v>
      </c>
      <c r="H296" t="s">
        <v>23</v>
      </c>
      <c r="I296" t="s">
        <v>26</v>
      </c>
      <c r="J296" t="s">
        <v>702</v>
      </c>
      <c r="K296">
        <v>-12.317551</v>
      </c>
      <c r="L296">
        <v>-76.829560000000001</v>
      </c>
      <c r="M296" t="str">
        <f>HYPERLINK("https://www.google.com/maps/search/?api=1&amp;query=-12.317551,-76.82956","Punta Hermosa, Lima")</f>
        <v>Punta Hermosa, Lima</v>
      </c>
      <c r="N296">
        <v>4.5999999999999996</v>
      </c>
      <c r="O296">
        <v>100</v>
      </c>
      <c r="P296">
        <v>1653</v>
      </c>
      <c r="Q296" t="s">
        <v>694</v>
      </c>
      <c r="R296" t="s">
        <v>23</v>
      </c>
      <c r="S296" t="s">
        <v>23</v>
      </c>
      <c r="T296" t="s">
        <v>23</v>
      </c>
      <c r="U296" t="s">
        <v>23</v>
      </c>
    </row>
    <row r="297" spans="1:21" x14ac:dyDescent="0.25">
      <c r="A297" t="s">
        <v>703</v>
      </c>
      <c r="B297" t="s">
        <v>21</v>
      </c>
      <c r="C297" t="s">
        <v>22</v>
      </c>
      <c r="D297" t="s">
        <v>22</v>
      </c>
      <c r="E297" t="s">
        <v>23</v>
      </c>
      <c r="F297" t="s">
        <v>24</v>
      </c>
      <c r="G297" t="s">
        <v>25</v>
      </c>
      <c r="H297" t="s">
        <v>23</v>
      </c>
      <c r="I297" t="s">
        <v>26</v>
      </c>
      <c r="J297" t="s">
        <v>704</v>
      </c>
      <c r="K297">
        <v>-12.316851</v>
      </c>
      <c r="L297">
        <v>-76.828445000000002</v>
      </c>
      <c r="M297" t="str">
        <f>HYPERLINK("https://www.google.com/maps/search/?api=1&amp;query=-12.316851,-76.828445","Punta Hermosa, Lima")</f>
        <v>Punta Hermosa, Lima</v>
      </c>
      <c r="N297">
        <v>15.5</v>
      </c>
      <c r="O297">
        <v>100</v>
      </c>
      <c r="P297">
        <v>1653</v>
      </c>
      <c r="Q297" t="s">
        <v>705</v>
      </c>
      <c r="R297" t="s">
        <v>23</v>
      </c>
      <c r="S297" t="s">
        <v>23</v>
      </c>
      <c r="T297" t="s">
        <v>23</v>
      </c>
      <c r="U297" t="s">
        <v>23</v>
      </c>
    </row>
    <row r="298" spans="1:21" x14ac:dyDescent="0.25">
      <c r="A298" t="s">
        <v>706</v>
      </c>
      <c r="B298" t="s">
        <v>21</v>
      </c>
      <c r="C298" t="s">
        <v>22</v>
      </c>
      <c r="D298" t="s">
        <v>22</v>
      </c>
      <c r="E298" t="s">
        <v>23</v>
      </c>
      <c r="F298" t="s">
        <v>24</v>
      </c>
      <c r="G298" t="s">
        <v>25</v>
      </c>
      <c r="H298" t="s">
        <v>23</v>
      </c>
      <c r="I298" t="s">
        <v>26</v>
      </c>
      <c r="J298" t="s">
        <v>707</v>
      </c>
      <c r="K298">
        <v>-12.315499000000001</v>
      </c>
      <c r="L298">
        <v>-76.826179999999994</v>
      </c>
      <c r="M298" t="str">
        <f>HYPERLINK("https://www.google.com/maps/search/?api=1&amp;query=-12.315499,-76.82618","Punta Hermosa, Lima")</f>
        <v>Punta Hermosa, Lima</v>
      </c>
      <c r="N298">
        <v>16.399999999999999</v>
      </c>
      <c r="O298">
        <v>100</v>
      </c>
      <c r="P298">
        <v>1653.2</v>
      </c>
      <c r="Q298" t="s">
        <v>708</v>
      </c>
      <c r="R298" t="s">
        <v>23</v>
      </c>
      <c r="S298" t="s">
        <v>23</v>
      </c>
      <c r="T298" t="s">
        <v>23</v>
      </c>
      <c r="U298" t="s">
        <v>23</v>
      </c>
    </row>
    <row r="299" spans="1:21" x14ac:dyDescent="0.25">
      <c r="A299" t="s">
        <v>709</v>
      </c>
      <c r="B299" t="s">
        <v>21</v>
      </c>
      <c r="C299" t="s">
        <v>22</v>
      </c>
      <c r="D299" t="s">
        <v>22</v>
      </c>
      <c r="E299" t="s">
        <v>23</v>
      </c>
      <c r="F299" t="s">
        <v>24</v>
      </c>
      <c r="G299" t="s">
        <v>25</v>
      </c>
      <c r="H299" t="s">
        <v>23</v>
      </c>
      <c r="I299" t="s">
        <v>26</v>
      </c>
      <c r="J299" t="s">
        <v>707</v>
      </c>
      <c r="K299">
        <v>-12.315440000000001</v>
      </c>
      <c r="L299">
        <v>-76.825873999999999</v>
      </c>
      <c r="M299" t="str">
        <f>HYPERLINK("https://www.google.com/maps/search/?api=1&amp;query=-12.31544,-76.825874","Punta Hermosa, Lima")</f>
        <v>Punta Hermosa, Lima</v>
      </c>
      <c r="N299">
        <v>15.8</v>
      </c>
      <c r="O299">
        <v>100</v>
      </c>
      <c r="P299">
        <v>1653.5</v>
      </c>
      <c r="Q299" t="s">
        <v>710</v>
      </c>
      <c r="R299" t="s">
        <v>23</v>
      </c>
      <c r="S299" t="s">
        <v>23</v>
      </c>
      <c r="T299" t="s">
        <v>23</v>
      </c>
      <c r="U299" t="s">
        <v>23</v>
      </c>
    </row>
    <row r="300" spans="1:21" x14ac:dyDescent="0.25">
      <c r="A300" t="s">
        <v>711</v>
      </c>
      <c r="B300" t="s">
        <v>21</v>
      </c>
      <c r="C300" t="s">
        <v>22</v>
      </c>
      <c r="D300" t="s">
        <v>22</v>
      </c>
      <c r="E300" t="s">
        <v>23</v>
      </c>
      <c r="F300" t="s">
        <v>24</v>
      </c>
      <c r="G300" t="s">
        <v>25</v>
      </c>
      <c r="H300" t="s">
        <v>23</v>
      </c>
      <c r="I300" t="s">
        <v>26</v>
      </c>
      <c r="J300" t="s">
        <v>712</v>
      </c>
      <c r="K300">
        <v>-12.317689</v>
      </c>
      <c r="L300">
        <v>-76.82432</v>
      </c>
      <c r="M300" t="str">
        <f>HYPERLINK("https://www.google.com/maps/search/?api=1&amp;query=-12.317689,-76.82432","Punta Hermosa, Lima")</f>
        <v>Punta Hermosa, Lima</v>
      </c>
      <c r="N300">
        <v>13.5</v>
      </c>
      <c r="O300">
        <v>100</v>
      </c>
      <c r="P300">
        <v>1653.5</v>
      </c>
      <c r="Q300" t="s">
        <v>710</v>
      </c>
      <c r="R300" t="s">
        <v>23</v>
      </c>
      <c r="S300" t="s">
        <v>23</v>
      </c>
      <c r="T300" t="s">
        <v>23</v>
      </c>
      <c r="U300" t="s">
        <v>23</v>
      </c>
    </row>
    <row r="301" spans="1:21" x14ac:dyDescent="0.25">
      <c r="A301" t="s">
        <v>713</v>
      </c>
      <c r="B301" t="s">
        <v>21</v>
      </c>
      <c r="C301" t="s">
        <v>22</v>
      </c>
      <c r="D301" t="s">
        <v>22</v>
      </c>
      <c r="E301" t="s">
        <v>23</v>
      </c>
      <c r="F301" t="s">
        <v>24</v>
      </c>
      <c r="G301" t="s">
        <v>25</v>
      </c>
      <c r="H301" t="s">
        <v>23</v>
      </c>
      <c r="I301" t="s">
        <v>26</v>
      </c>
      <c r="J301" t="s">
        <v>714</v>
      </c>
      <c r="K301">
        <v>-12.318465</v>
      </c>
      <c r="L301">
        <v>-76.823729999999998</v>
      </c>
      <c r="M301" t="str">
        <f>HYPERLINK("https://www.google.com/maps/search/?api=1&amp;query=-12.318465,-76.82373","Punta Hermosa, Lima")</f>
        <v>Punta Hermosa, Lima</v>
      </c>
      <c r="N301">
        <v>15.1</v>
      </c>
      <c r="O301">
        <v>100</v>
      </c>
      <c r="P301">
        <v>1653.8</v>
      </c>
      <c r="Q301" t="s">
        <v>715</v>
      </c>
      <c r="R301" t="s">
        <v>23</v>
      </c>
      <c r="S301" t="s">
        <v>23</v>
      </c>
      <c r="T301" t="s">
        <v>23</v>
      </c>
      <c r="U301" t="s">
        <v>23</v>
      </c>
    </row>
    <row r="302" spans="1:21" x14ac:dyDescent="0.25">
      <c r="A302" t="s">
        <v>716</v>
      </c>
      <c r="B302" t="s">
        <v>21</v>
      </c>
      <c r="C302" t="s">
        <v>22</v>
      </c>
      <c r="D302" t="s">
        <v>22</v>
      </c>
      <c r="E302" t="s">
        <v>23</v>
      </c>
      <c r="F302" t="s">
        <v>24</v>
      </c>
      <c r="G302" t="s">
        <v>25</v>
      </c>
      <c r="H302" t="s">
        <v>23</v>
      </c>
      <c r="I302" t="s">
        <v>26</v>
      </c>
      <c r="J302" t="s">
        <v>717</v>
      </c>
      <c r="K302">
        <v>-12.318377999999999</v>
      </c>
      <c r="L302">
        <v>-76.823520000000002</v>
      </c>
      <c r="M302" t="str">
        <f>HYPERLINK("https://www.google.com/maps/search/?api=1&amp;query=-12.318378,-76.82352","Punta Hermosa, Lima")</f>
        <v>Punta Hermosa, Lima</v>
      </c>
      <c r="N302">
        <v>14.7</v>
      </c>
      <c r="O302">
        <v>100</v>
      </c>
      <c r="P302">
        <v>1653.8</v>
      </c>
      <c r="Q302" t="s">
        <v>715</v>
      </c>
      <c r="R302" t="s">
        <v>23</v>
      </c>
      <c r="S302" t="s">
        <v>23</v>
      </c>
      <c r="T302" t="s">
        <v>23</v>
      </c>
      <c r="U302" t="s">
        <v>23</v>
      </c>
    </row>
    <row r="303" spans="1:21" x14ac:dyDescent="0.25">
      <c r="A303" t="s">
        <v>718</v>
      </c>
      <c r="B303" t="s">
        <v>21</v>
      </c>
      <c r="C303" t="s">
        <v>22</v>
      </c>
      <c r="D303" t="s">
        <v>22</v>
      </c>
      <c r="E303" t="s">
        <v>23</v>
      </c>
      <c r="F303" t="s">
        <v>24</v>
      </c>
      <c r="G303" t="s">
        <v>25</v>
      </c>
      <c r="H303" t="s">
        <v>23</v>
      </c>
      <c r="I303" t="s">
        <v>26</v>
      </c>
      <c r="J303" t="s">
        <v>719</v>
      </c>
      <c r="K303">
        <v>-12.318322</v>
      </c>
      <c r="L303">
        <v>-76.823425</v>
      </c>
      <c r="M303" t="str">
        <f>HYPERLINK("https://www.google.com/maps/search/?api=1&amp;query=-12.318322,-76.823425","Punta Hermosa, Lima")</f>
        <v>Punta Hermosa, Lima</v>
      </c>
      <c r="N303">
        <v>14.2</v>
      </c>
      <c r="O303">
        <v>100</v>
      </c>
      <c r="P303">
        <v>1654</v>
      </c>
      <c r="Q303" t="s">
        <v>720</v>
      </c>
      <c r="R303" t="s">
        <v>23</v>
      </c>
      <c r="S303" t="s">
        <v>23</v>
      </c>
      <c r="T303" t="s">
        <v>23</v>
      </c>
      <c r="U303" t="s">
        <v>23</v>
      </c>
    </row>
    <row r="304" spans="1:21" x14ac:dyDescent="0.25">
      <c r="A304" t="s">
        <v>721</v>
      </c>
      <c r="B304" t="s">
        <v>21</v>
      </c>
      <c r="C304" t="s">
        <v>22</v>
      </c>
      <c r="D304" t="s">
        <v>22</v>
      </c>
      <c r="E304" t="s">
        <v>23</v>
      </c>
      <c r="F304" t="s">
        <v>24</v>
      </c>
      <c r="G304" t="s">
        <v>25</v>
      </c>
      <c r="H304" t="s">
        <v>23</v>
      </c>
      <c r="I304" t="s">
        <v>26</v>
      </c>
      <c r="J304" t="s">
        <v>722</v>
      </c>
      <c r="K304">
        <v>-12.317882000000001</v>
      </c>
      <c r="L304">
        <v>-76.822919999999996</v>
      </c>
      <c r="M304" t="str">
        <f>HYPERLINK("https://www.google.com/maps/search/?api=1&amp;query=-12.317882,-76.82292","Punta Hermosa, Lima")</f>
        <v>Punta Hermosa, Lima</v>
      </c>
      <c r="N304">
        <v>15.6</v>
      </c>
      <c r="O304">
        <v>100</v>
      </c>
      <c r="P304">
        <v>1654</v>
      </c>
      <c r="Q304" t="s">
        <v>720</v>
      </c>
      <c r="R304" t="s">
        <v>23</v>
      </c>
      <c r="S304" t="s">
        <v>23</v>
      </c>
      <c r="T304" t="s">
        <v>23</v>
      </c>
      <c r="U304" t="s">
        <v>23</v>
      </c>
    </row>
    <row r="305" spans="1:21" x14ac:dyDescent="0.25">
      <c r="A305" t="s">
        <v>723</v>
      </c>
      <c r="B305" t="s">
        <v>21</v>
      </c>
      <c r="C305" t="s">
        <v>22</v>
      </c>
      <c r="D305" t="s">
        <v>22</v>
      </c>
      <c r="E305" t="s">
        <v>23</v>
      </c>
      <c r="F305" t="s">
        <v>24</v>
      </c>
      <c r="G305" t="s">
        <v>25</v>
      </c>
      <c r="H305" t="s">
        <v>23</v>
      </c>
      <c r="I305" t="s">
        <v>26</v>
      </c>
      <c r="J305" t="s">
        <v>724</v>
      </c>
      <c r="K305">
        <v>-12.317353000000001</v>
      </c>
      <c r="L305">
        <v>-76.822913999999997</v>
      </c>
      <c r="M305" t="str">
        <f>HYPERLINK("https://www.google.com/maps/search/?api=1&amp;query=-12.317353,-76.822914","Punta Hermosa, Lima")</f>
        <v>Punta Hermosa, Lima</v>
      </c>
      <c r="N305">
        <v>10.5</v>
      </c>
      <c r="O305">
        <v>100</v>
      </c>
      <c r="P305">
        <v>1654</v>
      </c>
      <c r="Q305" t="s">
        <v>720</v>
      </c>
      <c r="R305" t="s">
        <v>23</v>
      </c>
      <c r="S305" t="s">
        <v>23</v>
      </c>
      <c r="T305" t="s">
        <v>23</v>
      </c>
      <c r="U305" t="s">
        <v>23</v>
      </c>
    </row>
    <row r="306" spans="1:21" x14ac:dyDescent="0.25">
      <c r="A306" t="s">
        <v>725</v>
      </c>
      <c r="B306" t="s">
        <v>21</v>
      </c>
      <c r="C306" t="s">
        <v>22</v>
      </c>
      <c r="D306" t="s">
        <v>22</v>
      </c>
      <c r="E306" t="s">
        <v>23</v>
      </c>
      <c r="F306" t="s">
        <v>24</v>
      </c>
      <c r="G306" t="s">
        <v>25</v>
      </c>
      <c r="H306" t="s">
        <v>23</v>
      </c>
      <c r="I306" t="s">
        <v>26</v>
      </c>
      <c r="J306" t="s">
        <v>726</v>
      </c>
      <c r="K306">
        <v>-12.317335999999999</v>
      </c>
      <c r="L306">
        <v>-76.822869999999995</v>
      </c>
      <c r="M306" t="str">
        <f>HYPERLINK("https://www.google.com/maps/search/?api=1&amp;query=-12.317336,-76.82287","Punta Hermosa, Lima")</f>
        <v>Punta Hermosa, Lima</v>
      </c>
      <c r="N306">
        <v>0</v>
      </c>
      <c r="O306">
        <v>100</v>
      </c>
      <c r="P306">
        <v>1654</v>
      </c>
      <c r="Q306" t="s">
        <v>720</v>
      </c>
      <c r="R306" t="s">
        <v>23</v>
      </c>
      <c r="S306" t="s">
        <v>23</v>
      </c>
      <c r="T306" t="s">
        <v>23</v>
      </c>
      <c r="U306" t="s">
        <v>23</v>
      </c>
    </row>
    <row r="307" spans="1:21" x14ac:dyDescent="0.25">
      <c r="A307" t="s">
        <v>727</v>
      </c>
      <c r="B307" t="s">
        <v>21</v>
      </c>
      <c r="C307" t="s">
        <v>22</v>
      </c>
      <c r="D307" t="s">
        <v>22</v>
      </c>
      <c r="E307" t="s">
        <v>23</v>
      </c>
      <c r="F307" t="s">
        <v>24</v>
      </c>
      <c r="G307" t="s">
        <v>25</v>
      </c>
      <c r="H307" t="s">
        <v>23</v>
      </c>
      <c r="I307" t="s">
        <v>26</v>
      </c>
      <c r="J307" t="s">
        <v>728</v>
      </c>
      <c r="K307">
        <v>-12.317335999999999</v>
      </c>
      <c r="L307">
        <v>-76.822869999999995</v>
      </c>
      <c r="M307" t="str">
        <f>HYPERLINK("https://www.google.com/maps/search/?api=1&amp;query=-12.317336,-76.82287","Punta Hermosa, Lima")</f>
        <v>Punta Hermosa, Lima</v>
      </c>
      <c r="N307">
        <v>0</v>
      </c>
      <c r="O307">
        <v>100</v>
      </c>
      <c r="P307">
        <v>1654</v>
      </c>
      <c r="Q307" t="s">
        <v>720</v>
      </c>
      <c r="R307" t="s">
        <v>252</v>
      </c>
      <c r="S307" t="s">
        <v>23</v>
      </c>
      <c r="T307" t="s">
        <v>23</v>
      </c>
      <c r="U307" t="s">
        <v>23</v>
      </c>
    </row>
    <row r="308" spans="1:21" x14ac:dyDescent="0.25">
      <c r="A308" t="s">
        <v>729</v>
      </c>
      <c r="B308" t="s">
        <v>21</v>
      </c>
      <c r="C308" t="s">
        <v>22</v>
      </c>
      <c r="D308" t="s">
        <v>22</v>
      </c>
      <c r="E308" t="s">
        <v>23</v>
      </c>
      <c r="F308" t="s">
        <v>24</v>
      </c>
      <c r="G308" t="s">
        <v>25</v>
      </c>
      <c r="H308" t="s">
        <v>23</v>
      </c>
      <c r="I308" t="s">
        <v>26</v>
      </c>
      <c r="J308" t="s">
        <v>730</v>
      </c>
      <c r="K308">
        <v>-12.317335999999999</v>
      </c>
      <c r="L308">
        <v>-76.822869999999995</v>
      </c>
      <c r="M308" t="str">
        <f>HYPERLINK("https://www.google.com/maps/search/?api=1&amp;query=-12.317336,-76.82287","Punta Hermosa, Lima")</f>
        <v>Punta Hermosa, Lima</v>
      </c>
      <c r="N308">
        <v>0</v>
      </c>
      <c r="O308">
        <v>100</v>
      </c>
      <c r="P308">
        <v>1654</v>
      </c>
      <c r="Q308" t="s">
        <v>720</v>
      </c>
      <c r="R308" t="s">
        <v>23</v>
      </c>
      <c r="S308" t="s">
        <v>23</v>
      </c>
      <c r="T308" t="s">
        <v>23</v>
      </c>
      <c r="U308" t="s">
        <v>23</v>
      </c>
    </row>
    <row r="309" spans="1:21" x14ac:dyDescent="0.25">
      <c r="A309" t="s">
        <v>731</v>
      </c>
      <c r="B309" t="s">
        <v>21</v>
      </c>
      <c r="C309" t="s">
        <v>22</v>
      </c>
      <c r="D309" t="s">
        <v>22</v>
      </c>
      <c r="E309" t="s">
        <v>23</v>
      </c>
      <c r="F309" t="s">
        <v>24</v>
      </c>
      <c r="G309" t="s">
        <v>25</v>
      </c>
      <c r="H309" t="s">
        <v>23</v>
      </c>
      <c r="I309" t="s">
        <v>26</v>
      </c>
      <c r="J309" t="s">
        <v>732</v>
      </c>
      <c r="K309">
        <v>-12.317335999999999</v>
      </c>
      <c r="L309">
        <v>-76.822869999999995</v>
      </c>
      <c r="M309" t="str">
        <f>HYPERLINK("https://www.google.com/maps/search/?api=1&amp;query=-12.317336,-76.82287","Punta Hermosa, Lima")</f>
        <v>Punta Hermosa, Lima</v>
      </c>
      <c r="N309">
        <v>0</v>
      </c>
      <c r="O309">
        <v>100</v>
      </c>
      <c r="P309">
        <v>1654.1</v>
      </c>
      <c r="Q309" t="s">
        <v>720</v>
      </c>
      <c r="R309" t="s">
        <v>63</v>
      </c>
      <c r="S309" t="s">
        <v>23</v>
      </c>
      <c r="T309" t="s">
        <v>23</v>
      </c>
      <c r="U309" t="s">
        <v>23</v>
      </c>
    </row>
    <row r="310" spans="1:21" x14ac:dyDescent="0.25">
      <c r="A310" t="s">
        <v>733</v>
      </c>
      <c r="B310" t="s">
        <v>21</v>
      </c>
      <c r="C310" t="s">
        <v>22</v>
      </c>
      <c r="D310" t="s">
        <v>22</v>
      </c>
      <c r="E310" t="s">
        <v>23</v>
      </c>
      <c r="F310" t="s">
        <v>24</v>
      </c>
      <c r="G310" t="s">
        <v>25</v>
      </c>
      <c r="H310" t="s">
        <v>23</v>
      </c>
      <c r="I310" t="s">
        <v>26</v>
      </c>
      <c r="J310" t="s">
        <v>734</v>
      </c>
      <c r="K310">
        <v>-12.317306</v>
      </c>
      <c r="L310">
        <v>-76.822730000000007</v>
      </c>
      <c r="M310" t="str">
        <f>HYPERLINK("https://www.google.com/maps/search/?api=1&amp;query=-12.317306,-76.82273","Punta Hermosa, Lima")</f>
        <v>Punta Hermosa, Lima</v>
      </c>
      <c r="N310">
        <v>0.3</v>
      </c>
      <c r="O310">
        <v>100</v>
      </c>
      <c r="P310">
        <v>1654.1</v>
      </c>
      <c r="Q310" t="s">
        <v>720</v>
      </c>
      <c r="R310" t="s">
        <v>23</v>
      </c>
      <c r="S310" t="s">
        <v>23</v>
      </c>
      <c r="T310" t="s">
        <v>23</v>
      </c>
      <c r="U310" t="s">
        <v>23</v>
      </c>
    </row>
    <row r="311" spans="1:21" x14ac:dyDescent="0.25">
      <c r="A311" t="s">
        <v>735</v>
      </c>
      <c r="B311" t="s">
        <v>21</v>
      </c>
      <c r="C311" t="s">
        <v>22</v>
      </c>
      <c r="D311" t="s">
        <v>22</v>
      </c>
      <c r="E311" t="s">
        <v>23</v>
      </c>
      <c r="F311" t="s">
        <v>24</v>
      </c>
      <c r="G311" t="s">
        <v>25</v>
      </c>
      <c r="H311" t="s">
        <v>23</v>
      </c>
      <c r="I311" t="s">
        <v>26</v>
      </c>
      <c r="J311" t="s">
        <v>736</v>
      </c>
      <c r="K311">
        <v>-12.317323999999999</v>
      </c>
      <c r="L311">
        <v>-76.822770000000006</v>
      </c>
      <c r="M311" t="str">
        <f>HYPERLINK("https://www.google.com/maps/search/?api=1&amp;query=-12.317324,-76.82277","Punta Hermosa, Lima")</f>
        <v>Punta Hermosa, Lima</v>
      </c>
      <c r="N311">
        <v>0</v>
      </c>
      <c r="O311">
        <v>100</v>
      </c>
      <c r="P311">
        <v>1654.1</v>
      </c>
      <c r="Q311" t="s">
        <v>720</v>
      </c>
      <c r="R311" t="s">
        <v>23</v>
      </c>
      <c r="S311" t="s">
        <v>23</v>
      </c>
      <c r="T311" t="s">
        <v>23</v>
      </c>
      <c r="U311" t="s">
        <v>23</v>
      </c>
    </row>
    <row r="312" spans="1:21" x14ac:dyDescent="0.25">
      <c r="A312" t="s">
        <v>737</v>
      </c>
      <c r="B312" t="s">
        <v>21</v>
      </c>
      <c r="C312" t="s">
        <v>22</v>
      </c>
      <c r="D312" t="s">
        <v>22</v>
      </c>
      <c r="E312" t="s">
        <v>23</v>
      </c>
      <c r="F312" t="s">
        <v>24</v>
      </c>
      <c r="G312" t="s">
        <v>25</v>
      </c>
      <c r="H312" t="s">
        <v>23</v>
      </c>
      <c r="I312" t="s">
        <v>26</v>
      </c>
      <c r="J312" t="s">
        <v>738</v>
      </c>
      <c r="K312">
        <v>-12.317361</v>
      </c>
      <c r="L312">
        <v>-76.822730000000007</v>
      </c>
      <c r="M312" t="str">
        <f>HYPERLINK("https://www.google.com/maps/search/?api=1&amp;query=-12.317361,-76.82273","Punta Hermosa, Lima")</f>
        <v>Punta Hermosa, Lima</v>
      </c>
      <c r="N312">
        <v>9.3000000000000007</v>
      </c>
      <c r="O312">
        <v>100</v>
      </c>
      <c r="P312">
        <v>1654.1</v>
      </c>
      <c r="Q312" t="s">
        <v>739</v>
      </c>
      <c r="R312" t="s">
        <v>23</v>
      </c>
      <c r="S312" t="s">
        <v>23</v>
      </c>
      <c r="T312" t="s">
        <v>23</v>
      </c>
      <c r="U312" t="s">
        <v>23</v>
      </c>
    </row>
    <row r="313" spans="1:21" x14ac:dyDescent="0.25">
      <c r="A313" t="s">
        <v>740</v>
      </c>
      <c r="B313" t="s">
        <v>21</v>
      </c>
      <c r="C313" t="s">
        <v>22</v>
      </c>
      <c r="D313" t="s">
        <v>22</v>
      </c>
      <c r="E313" t="s">
        <v>23</v>
      </c>
      <c r="F313" t="s">
        <v>24</v>
      </c>
      <c r="G313" t="s">
        <v>25</v>
      </c>
      <c r="H313" t="s">
        <v>23</v>
      </c>
      <c r="I313" t="s">
        <v>26</v>
      </c>
      <c r="J313" t="s">
        <v>741</v>
      </c>
      <c r="K313">
        <v>-12.317443000000001</v>
      </c>
      <c r="L313">
        <v>-76.822716</v>
      </c>
      <c r="M313" t="str">
        <f>HYPERLINK("https://www.google.com/maps/search/?api=1&amp;query=-12.317443,-76.822716","Punta Hermosa, Lima")</f>
        <v>Punta Hermosa, Lima</v>
      </c>
      <c r="N313">
        <v>10.7</v>
      </c>
      <c r="O313">
        <v>100</v>
      </c>
      <c r="P313">
        <v>1654.1</v>
      </c>
      <c r="Q313" t="s">
        <v>739</v>
      </c>
      <c r="R313" t="s">
        <v>23</v>
      </c>
      <c r="S313" t="s">
        <v>23</v>
      </c>
      <c r="T313" t="s">
        <v>23</v>
      </c>
      <c r="U313" t="s">
        <v>23</v>
      </c>
    </row>
    <row r="314" spans="1:21" x14ac:dyDescent="0.25">
      <c r="A314" t="s">
        <v>742</v>
      </c>
      <c r="B314" t="s">
        <v>21</v>
      </c>
      <c r="C314" t="s">
        <v>22</v>
      </c>
      <c r="D314" t="s">
        <v>22</v>
      </c>
      <c r="E314" t="s">
        <v>23</v>
      </c>
      <c r="F314" t="s">
        <v>24</v>
      </c>
      <c r="G314" t="s">
        <v>25</v>
      </c>
      <c r="H314" t="s">
        <v>23</v>
      </c>
      <c r="I314" t="s">
        <v>26</v>
      </c>
      <c r="J314" t="s">
        <v>743</v>
      </c>
      <c r="K314">
        <v>-12.318033</v>
      </c>
      <c r="L314">
        <v>-76.822940000000003</v>
      </c>
      <c r="M314" t="str">
        <f>HYPERLINK("https://www.google.com/maps/search/?api=1&amp;query=-12.318033,-76.82294","Punta Hermosa, Lima")</f>
        <v>Punta Hermosa, Lima</v>
      </c>
      <c r="N314">
        <v>19.8</v>
      </c>
      <c r="O314">
        <v>100</v>
      </c>
      <c r="P314">
        <v>1654.1</v>
      </c>
      <c r="Q314" t="s">
        <v>739</v>
      </c>
      <c r="R314" t="s">
        <v>23</v>
      </c>
      <c r="S314" t="s">
        <v>23</v>
      </c>
      <c r="T314" t="s">
        <v>23</v>
      </c>
      <c r="U314" t="s">
        <v>23</v>
      </c>
    </row>
    <row r="315" spans="1:21" x14ac:dyDescent="0.25">
      <c r="A315" t="s">
        <v>744</v>
      </c>
      <c r="B315" t="s">
        <v>21</v>
      </c>
      <c r="C315" t="s">
        <v>22</v>
      </c>
      <c r="D315" t="s">
        <v>22</v>
      </c>
      <c r="E315" t="s">
        <v>23</v>
      </c>
      <c r="F315" t="s">
        <v>24</v>
      </c>
      <c r="G315" t="s">
        <v>25</v>
      </c>
      <c r="H315" t="s">
        <v>23</v>
      </c>
      <c r="I315" t="s">
        <v>26</v>
      </c>
      <c r="J315" t="s">
        <v>745</v>
      </c>
      <c r="K315">
        <v>-12.318462</v>
      </c>
      <c r="L315">
        <v>-76.823779999999999</v>
      </c>
      <c r="M315" t="str">
        <f>HYPERLINK("https://www.google.com/maps/search/?api=1&amp;query=-12.318462,-76.82378","Punta Hermosa, Lima")</f>
        <v>Punta Hermosa, Lima</v>
      </c>
      <c r="N315">
        <v>13.6</v>
      </c>
      <c r="O315">
        <v>100</v>
      </c>
      <c r="P315">
        <v>1654.1</v>
      </c>
      <c r="Q315" t="s">
        <v>739</v>
      </c>
      <c r="R315" t="s">
        <v>23</v>
      </c>
      <c r="S315" t="s">
        <v>23</v>
      </c>
      <c r="T315" t="s">
        <v>23</v>
      </c>
      <c r="U315" t="s">
        <v>23</v>
      </c>
    </row>
    <row r="316" spans="1:21" x14ac:dyDescent="0.25">
      <c r="A316" t="s">
        <v>746</v>
      </c>
      <c r="B316" t="s">
        <v>21</v>
      </c>
      <c r="C316" t="s">
        <v>22</v>
      </c>
      <c r="D316" t="s">
        <v>22</v>
      </c>
      <c r="E316" t="s">
        <v>23</v>
      </c>
      <c r="F316" t="s">
        <v>24</v>
      </c>
      <c r="G316" t="s">
        <v>25</v>
      </c>
      <c r="H316" t="s">
        <v>23</v>
      </c>
      <c r="I316" t="s">
        <v>26</v>
      </c>
      <c r="J316" t="s">
        <v>747</v>
      </c>
      <c r="K316">
        <v>-12.318436</v>
      </c>
      <c r="L316">
        <v>-76.823869999999999</v>
      </c>
      <c r="M316" t="str">
        <f>HYPERLINK("https://www.google.com/maps/search/?api=1&amp;query=-12.318436,-76.82387","Punta Hermosa, Lima")</f>
        <v>Punta Hermosa, Lima</v>
      </c>
      <c r="N316">
        <v>12.3</v>
      </c>
      <c r="O316">
        <v>100</v>
      </c>
      <c r="P316">
        <v>1654.1</v>
      </c>
      <c r="Q316" t="s">
        <v>739</v>
      </c>
      <c r="R316" t="s">
        <v>23</v>
      </c>
      <c r="S316" t="s">
        <v>23</v>
      </c>
      <c r="T316" t="s">
        <v>23</v>
      </c>
      <c r="U316" t="s">
        <v>23</v>
      </c>
    </row>
    <row r="317" spans="1:21" x14ac:dyDescent="0.25">
      <c r="A317" t="s">
        <v>748</v>
      </c>
      <c r="B317" t="s">
        <v>21</v>
      </c>
      <c r="C317" t="s">
        <v>22</v>
      </c>
      <c r="D317" t="s">
        <v>22</v>
      </c>
      <c r="E317" t="s">
        <v>23</v>
      </c>
      <c r="F317" t="s">
        <v>24</v>
      </c>
      <c r="G317" t="s">
        <v>25</v>
      </c>
      <c r="H317" t="s">
        <v>23</v>
      </c>
      <c r="I317" t="s">
        <v>26</v>
      </c>
      <c r="J317" t="s">
        <v>747</v>
      </c>
      <c r="K317">
        <v>-12.318375</v>
      </c>
      <c r="L317">
        <v>-76.823943999999997</v>
      </c>
      <c r="M317" t="str">
        <f>HYPERLINK("https://www.google.com/maps/search/?api=1&amp;query=-12.318375,-76.823944","Punta Hermosa, Lima")</f>
        <v>Punta Hermosa, Lima</v>
      </c>
      <c r="N317">
        <v>13.5</v>
      </c>
      <c r="O317">
        <v>100</v>
      </c>
      <c r="P317">
        <v>1654.1</v>
      </c>
      <c r="Q317" t="s">
        <v>739</v>
      </c>
      <c r="R317" t="s">
        <v>23</v>
      </c>
      <c r="S317" t="s">
        <v>23</v>
      </c>
      <c r="T317" t="s">
        <v>23</v>
      </c>
      <c r="U317" t="s">
        <v>23</v>
      </c>
    </row>
    <row r="318" spans="1:21" x14ac:dyDescent="0.25">
      <c r="A318" t="s">
        <v>749</v>
      </c>
      <c r="B318" t="s">
        <v>21</v>
      </c>
      <c r="C318" t="s">
        <v>22</v>
      </c>
      <c r="D318" t="s">
        <v>22</v>
      </c>
      <c r="E318" t="s">
        <v>23</v>
      </c>
      <c r="F318" t="s">
        <v>24</v>
      </c>
      <c r="G318" t="s">
        <v>25</v>
      </c>
      <c r="H318" t="s">
        <v>23</v>
      </c>
      <c r="I318" t="s">
        <v>26</v>
      </c>
      <c r="J318" t="s">
        <v>750</v>
      </c>
      <c r="K318">
        <v>-12.317945</v>
      </c>
      <c r="L318">
        <v>-76.824190000000002</v>
      </c>
      <c r="M318" t="str">
        <f>HYPERLINK("https://www.google.com/maps/search/?api=1&amp;query=-12.317945,-76.82419","Punta Hermosa, Lima")</f>
        <v>Punta Hermosa, Lima</v>
      </c>
      <c r="N318">
        <v>7.9</v>
      </c>
      <c r="O318">
        <v>100</v>
      </c>
      <c r="P318">
        <v>1654.1</v>
      </c>
      <c r="Q318" t="s">
        <v>739</v>
      </c>
      <c r="R318" t="s">
        <v>23</v>
      </c>
      <c r="S318" t="s">
        <v>23</v>
      </c>
      <c r="T318" t="s">
        <v>23</v>
      </c>
      <c r="U318" t="s">
        <v>23</v>
      </c>
    </row>
    <row r="319" spans="1:21" x14ac:dyDescent="0.25">
      <c r="A319" t="s">
        <v>751</v>
      </c>
      <c r="B319" t="s">
        <v>21</v>
      </c>
      <c r="C319" t="s">
        <v>22</v>
      </c>
      <c r="D319" t="s">
        <v>22</v>
      </c>
      <c r="E319" t="s">
        <v>23</v>
      </c>
      <c r="F319" t="s">
        <v>24</v>
      </c>
      <c r="G319" t="s">
        <v>25</v>
      </c>
      <c r="H319" t="s">
        <v>23</v>
      </c>
      <c r="I319" t="s">
        <v>26</v>
      </c>
      <c r="J319" t="s">
        <v>752</v>
      </c>
      <c r="K319">
        <v>-12.317959999999999</v>
      </c>
      <c r="L319">
        <v>-76.824234000000004</v>
      </c>
      <c r="M319" t="str">
        <f>HYPERLINK("https://www.google.com/maps/search/?api=1&amp;query=-12.31796,-76.824234","Punta Hermosa, Lima")</f>
        <v>Punta Hermosa, Lima</v>
      </c>
      <c r="N319">
        <v>5.5</v>
      </c>
      <c r="O319">
        <v>100</v>
      </c>
      <c r="P319">
        <v>1654.1</v>
      </c>
      <c r="Q319" t="s">
        <v>739</v>
      </c>
      <c r="R319" t="s">
        <v>23</v>
      </c>
      <c r="S319" t="s">
        <v>23</v>
      </c>
      <c r="T319" t="s">
        <v>23</v>
      </c>
      <c r="U319" t="s">
        <v>23</v>
      </c>
    </row>
    <row r="320" spans="1:21" x14ac:dyDescent="0.25">
      <c r="A320" t="s">
        <v>753</v>
      </c>
      <c r="B320" t="s">
        <v>21</v>
      </c>
      <c r="C320" t="s">
        <v>22</v>
      </c>
      <c r="D320" t="s">
        <v>22</v>
      </c>
      <c r="E320" t="s">
        <v>23</v>
      </c>
      <c r="F320" t="s">
        <v>24</v>
      </c>
      <c r="G320" t="s">
        <v>25</v>
      </c>
      <c r="H320" t="s">
        <v>23</v>
      </c>
      <c r="I320" t="s">
        <v>26</v>
      </c>
      <c r="J320" t="s">
        <v>754</v>
      </c>
      <c r="K320">
        <v>-12.317959999999999</v>
      </c>
      <c r="L320">
        <v>-76.824234000000004</v>
      </c>
      <c r="M320" t="str">
        <f>HYPERLINK("https://www.google.com/maps/search/?api=1&amp;query=-12.31796,-76.824234","Punta Hermosa, Lima")</f>
        <v>Punta Hermosa, Lima</v>
      </c>
      <c r="N320">
        <v>5.5</v>
      </c>
      <c r="O320">
        <v>100</v>
      </c>
      <c r="P320">
        <v>1654.3</v>
      </c>
      <c r="Q320" t="s">
        <v>755</v>
      </c>
      <c r="R320" t="s">
        <v>23</v>
      </c>
      <c r="S320" t="s">
        <v>23</v>
      </c>
      <c r="T320" t="s">
        <v>23</v>
      </c>
      <c r="U320" t="s">
        <v>23</v>
      </c>
    </row>
    <row r="321" spans="1:21" x14ac:dyDescent="0.25">
      <c r="A321" t="s">
        <v>756</v>
      </c>
      <c r="B321" t="s">
        <v>21</v>
      </c>
      <c r="C321" t="s">
        <v>22</v>
      </c>
      <c r="D321" t="s">
        <v>22</v>
      </c>
      <c r="E321" t="s">
        <v>23</v>
      </c>
      <c r="F321" t="s">
        <v>24</v>
      </c>
      <c r="G321" t="s">
        <v>25</v>
      </c>
      <c r="H321" t="s">
        <v>23</v>
      </c>
      <c r="I321" t="s">
        <v>26</v>
      </c>
      <c r="J321" t="s">
        <v>757</v>
      </c>
      <c r="K321">
        <v>-12.317959999999999</v>
      </c>
      <c r="L321">
        <v>-76.824234000000004</v>
      </c>
      <c r="M321" t="str">
        <f>HYPERLINK("https://www.google.com/maps/search/?api=1&amp;query=-12.31796,-76.824234","Punta Hermosa, Lima")</f>
        <v>Punta Hermosa, Lima</v>
      </c>
      <c r="N321">
        <v>5.5</v>
      </c>
      <c r="O321">
        <v>100</v>
      </c>
      <c r="P321">
        <v>1654.3</v>
      </c>
      <c r="Q321" t="s">
        <v>755</v>
      </c>
      <c r="R321" t="s">
        <v>252</v>
      </c>
      <c r="S321" t="s">
        <v>23</v>
      </c>
      <c r="T321" t="s">
        <v>23</v>
      </c>
      <c r="U321" t="s">
        <v>23</v>
      </c>
    </row>
    <row r="322" spans="1:21" x14ac:dyDescent="0.25">
      <c r="A322" t="s">
        <v>758</v>
      </c>
      <c r="B322" t="s">
        <v>21</v>
      </c>
      <c r="C322" t="s">
        <v>22</v>
      </c>
      <c r="D322" t="s">
        <v>22</v>
      </c>
      <c r="E322" t="s">
        <v>23</v>
      </c>
      <c r="F322" t="s">
        <v>24</v>
      </c>
      <c r="G322" t="s">
        <v>25</v>
      </c>
      <c r="H322" t="s">
        <v>23</v>
      </c>
      <c r="I322" t="s">
        <v>26</v>
      </c>
      <c r="J322" t="s">
        <v>759</v>
      </c>
      <c r="K322">
        <v>-12.317963000000001</v>
      </c>
      <c r="L322">
        <v>-76.824240000000003</v>
      </c>
      <c r="M322" t="str">
        <f>HYPERLINK("https://www.google.com/maps/search/?api=1&amp;query=-12.317963,-76.82424","Punta Hermosa, Lima")</f>
        <v>Punta Hermosa, Lima</v>
      </c>
      <c r="N322">
        <v>0</v>
      </c>
      <c r="O322">
        <v>100</v>
      </c>
      <c r="P322">
        <v>1654.4</v>
      </c>
      <c r="Q322" t="s">
        <v>755</v>
      </c>
      <c r="R322" t="s">
        <v>23</v>
      </c>
      <c r="S322" t="s">
        <v>23</v>
      </c>
      <c r="T322" t="s">
        <v>23</v>
      </c>
      <c r="U322" t="s">
        <v>23</v>
      </c>
    </row>
    <row r="323" spans="1:21" x14ac:dyDescent="0.25">
      <c r="A323" t="s">
        <v>760</v>
      </c>
      <c r="B323" t="s">
        <v>21</v>
      </c>
      <c r="C323" t="s">
        <v>22</v>
      </c>
      <c r="D323" t="s">
        <v>22</v>
      </c>
      <c r="E323" t="s">
        <v>23</v>
      </c>
      <c r="F323" t="s">
        <v>24</v>
      </c>
      <c r="G323" t="s">
        <v>25</v>
      </c>
      <c r="H323" t="s">
        <v>23</v>
      </c>
      <c r="I323" t="s">
        <v>26</v>
      </c>
      <c r="J323" t="s">
        <v>761</v>
      </c>
      <c r="K323">
        <v>-12.317963000000001</v>
      </c>
      <c r="L323">
        <v>-76.824240000000003</v>
      </c>
      <c r="M323" t="str">
        <f>HYPERLINK("https://www.google.com/maps/search/?api=1&amp;query=-12.317963,-76.82424","Punta Hermosa, Lima")</f>
        <v>Punta Hermosa, Lima</v>
      </c>
      <c r="N323">
        <v>0</v>
      </c>
      <c r="O323">
        <v>100</v>
      </c>
      <c r="P323">
        <v>1654.4</v>
      </c>
      <c r="Q323" t="s">
        <v>755</v>
      </c>
      <c r="R323" t="s">
        <v>23</v>
      </c>
      <c r="S323" t="s">
        <v>23</v>
      </c>
      <c r="T323" t="s">
        <v>23</v>
      </c>
      <c r="U323" t="s">
        <v>23</v>
      </c>
    </row>
    <row r="324" spans="1:21" x14ac:dyDescent="0.25">
      <c r="A324" t="s">
        <v>762</v>
      </c>
      <c r="B324" t="s">
        <v>21</v>
      </c>
      <c r="C324" t="s">
        <v>22</v>
      </c>
      <c r="D324" t="s">
        <v>22</v>
      </c>
      <c r="E324" t="s">
        <v>23</v>
      </c>
      <c r="F324" t="s">
        <v>24</v>
      </c>
      <c r="G324" t="s">
        <v>25</v>
      </c>
      <c r="H324" t="s">
        <v>23</v>
      </c>
      <c r="I324" t="s">
        <v>26</v>
      </c>
      <c r="J324" t="s">
        <v>763</v>
      </c>
      <c r="K324">
        <v>-12.317963000000001</v>
      </c>
      <c r="L324">
        <v>-76.824240000000003</v>
      </c>
      <c r="M324" t="str">
        <f>HYPERLINK("https://www.google.com/maps/search/?api=1&amp;query=-12.317963,-76.82424","Punta Hermosa, Lima")</f>
        <v>Punta Hermosa, Lima</v>
      </c>
      <c r="N324">
        <v>0</v>
      </c>
      <c r="O324">
        <v>100</v>
      </c>
      <c r="P324">
        <v>1654.4</v>
      </c>
      <c r="Q324" t="s">
        <v>755</v>
      </c>
      <c r="R324" t="s">
        <v>23</v>
      </c>
      <c r="S324" t="s">
        <v>23</v>
      </c>
      <c r="T324" t="s">
        <v>23</v>
      </c>
      <c r="U324" t="s">
        <v>23</v>
      </c>
    </row>
    <row r="325" spans="1:21" x14ac:dyDescent="0.25">
      <c r="A325" t="s">
        <v>764</v>
      </c>
      <c r="B325" t="s">
        <v>21</v>
      </c>
      <c r="C325" t="s">
        <v>22</v>
      </c>
      <c r="D325" t="s">
        <v>22</v>
      </c>
      <c r="E325" t="s">
        <v>23</v>
      </c>
      <c r="F325" t="s">
        <v>24</v>
      </c>
      <c r="G325" t="s">
        <v>25</v>
      </c>
      <c r="H325" t="s">
        <v>23</v>
      </c>
      <c r="I325" t="s">
        <v>26</v>
      </c>
      <c r="J325" t="s">
        <v>765</v>
      </c>
      <c r="K325">
        <v>-12.317963000000001</v>
      </c>
      <c r="L325">
        <v>-76.824240000000003</v>
      </c>
      <c r="M325" t="str">
        <f>HYPERLINK("https://www.google.com/maps/search/?api=1&amp;query=-12.317963,-76.82424","Punta Hermosa, Lima")</f>
        <v>Punta Hermosa, Lima</v>
      </c>
      <c r="N325">
        <v>0</v>
      </c>
      <c r="O325">
        <v>100</v>
      </c>
      <c r="P325">
        <v>1654.4</v>
      </c>
      <c r="Q325" t="s">
        <v>755</v>
      </c>
      <c r="R325" t="s">
        <v>23</v>
      </c>
      <c r="S325" t="s">
        <v>23</v>
      </c>
      <c r="T325" t="s">
        <v>23</v>
      </c>
      <c r="U325" t="s">
        <v>23</v>
      </c>
    </row>
    <row r="326" spans="1:21" x14ac:dyDescent="0.25">
      <c r="A326" t="s">
        <v>766</v>
      </c>
      <c r="B326" t="s">
        <v>21</v>
      </c>
      <c r="C326" t="s">
        <v>22</v>
      </c>
      <c r="D326" t="s">
        <v>22</v>
      </c>
      <c r="E326" t="s">
        <v>23</v>
      </c>
      <c r="F326" t="s">
        <v>24</v>
      </c>
      <c r="G326" t="s">
        <v>25</v>
      </c>
      <c r="H326" t="s">
        <v>23</v>
      </c>
      <c r="I326" t="s">
        <v>26</v>
      </c>
      <c r="J326" t="s">
        <v>767</v>
      </c>
      <c r="K326">
        <v>-12.317963000000001</v>
      </c>
      <c r="L326">
        <v>-76.824240000000003</v>
      </c>
      <c r="M326" t="str">
        <f>HYPERLINK("https://www.google.com/maps/search/?api=1&amp;query=-12.317963,-76.82424","Punta Hermosa, Lima")</f>
        <v>Punta Hermosa, Lima</v>
      </c>
      <c r="N326">
        <v>0</v>
      </c>
      <c r="O326">
        <v>100</v>
      </c>
      <c r="P326">
        <v>1654.4</v>
      </c>
      <c r="Q326" t="s">
        <v>755</v>
      </c>
      <c r="R326" t="s">
        <v>63</v>
      </c>
      <c r="S326" t="s">
        <v>23</v>
      </c>
      <c r="T326" t="s">
        <v>23</v>
      </c>
      <c r="U326" t="s">
        <v>23</v>
      </c>
    </row>
    <row r="327" spans="1:21" x14ac:dyDescent="0.25">
      <c r="A327" t="s">
        <v>768</v>
      </c>
      <c r="B327" t="s">
        <v>21</v>
      </c>
      <c r="C327" t="s">
        <v>22</v>
      </c>
      <c r="D327" t="s">
        <v>22</v>
      </c>
      <c r="E327" t="s">
        <v>23</v>
      </c>
      <c r="F327" t="s">
        <v>24</v>
      </c>
      <c r="G327" t="s">
        <v>25</v>
      </c>
      <c r="H327" t="s">
        <v>23</v>
      </c>
      <c r="I327" t="s">
        <v>26</v>
      </c>
      <c r="J327" t="s">
        <v>769</v>
      </c>
      <c r="K327">
        <v>-12.318045</v>
      </c>
      <c r="L327">
        <v>-76.824164999999994</v>
      </c>
      <c r="M327" t="str">
        <f>HYPERLINK("https://www.google.com/maps/search/?api=1&amp;query=-12.318045,-76.824165","Punta Hermosa, Lima")</f>
        <v>Punta Hermosa, Lima</v>
      </c>
      <c r="N327">
        <v>0.1</v>
      </c>
      <c r="O327">
        <v>100</v>
      </c>
      <c r="P327">
        <v>1654.4</v>
      </c>
      <c r="Q327" t="s">
        <v>755</v>
      </c>
      <c r="R327" t="s">
        <v>23</v>
      </c>
      <c r="S327" t="s">
        <v>23</v>
      </c>
      <c r="T327" t="s">
        <v>23</v>
      </c>
      <c r="U327" t="s">
        <v>23</v>
      </c>
    </row>
    <row r="328" spans="1:21" x14ac:dyDescent="0.25">
      <c r="A328" t="s">
        <v>770</v>
      </c>
      <c r="B328" t="s">
        <v>21</v>
      </c>
      <c r="C328" t="s">
        <v>22</v>
      </c>
      <c r="D328" t="s">
        <v>22</v>
      </c>
      <c r="E328" t="s">
        <v>23</v>
      </c>
      <c r="F328" t="s">
        <v>24</v>
      </c>
      <c r="G328" t="s">
        <v>25</v>
      </c>
      <c r="H328" t="s">
        <v>23</v>
      </c>
      <c r="I328" t="s">
        <v>26</v>
      </c>
      <c r="J328" t="s">
        <v>771</v>
      </c>
      <c r="K328">
        <v>-12.318032000000001</v>
      </c>
      <c r="L328">
        <v>-76.824160000000006</v>
      </c>
      <c r="M328" t="str">
        <f>HYPERLINK("https://www.google.com/maps/search/?api=1&amp;query=-12.318032,-76.82416","Punta Hermosa, Lima")</f>
        <v>Punta Hermosa, Lima</v>
      </c>
      <c r="N328">
        <v>0</v>
      </c>
      <c r="O328">
        <v>100</v>
      </c>
      <c r="P328">
        <v>1654.4</v>
      </c>
      <c r="Q328" t="s">
        <v>755</v>
      </c>
      <c r="R328" t="s">
        <v>23</v>
      </c>
      <c r="S328" t="s">
        <v>23</v>
      </c>
      <c r="T328" t="s">
        <v>23</v>
      </c>
      <c r="U328" t="s">
        <v>23</v>
      </c>
    </row>
    <row r="329" spans="1:21" x14ac:dyDescent="0.25">
      <c r="A329" t="s">
        <v>772</v>
      </c>
      <c r="B329" t="s">
        <v>21</v>
      </c>
      <c r="C329" t="s">
        <v>22</v>
      </c>
      <c r="D329" t="s">
        <v>22</v>
      </c>
      <c r="E329" t="s">
        <v>23</v>
      </c>
      <c r="F329" t="s">
        <v>24</v>
      </c>
      <c r="G329" t="s">
        <v>25</v>
      </c>
      <c r="H329" t="s">
        <v>23</v>
      </c>
      <c r="I329" t="s">
        <v>26</v>
      </c>
      <c r="J329" t="s">
        <v>773</v>
      </c>
      <c r="K329">
        <v>-12.317823000000001</v>
      </c>
      <c r="L329">
        <v>-76.824290000000005</v>
      </c>
      <c r="M329" t="str">
        <f>HYPERLINK("https://www.google.com/maps/search/?api=1&amp;query=-12.317823,-76.82429","Punta Hermosa, Lima")</f>
        <v>Punta Hermosa, Lima</v>
      </c>
      <c r="N329">
        <v>0.2</v>
      </c>
      <c r="O329">
        <v>100</v>
      </c>
      <c r="P329">
        <v>1654.4</v>
      </c>
      <c r="Q329" t="s">
        <v>774</v>
      </c>
      <c r="R329" t="s">
        <v>252</v>
      </c>
      <c r="S329" t="s">
        <v>23</v>
      </c>
      <c r="T329" t="s">
        <v>23</v>
      </c>
      <c r="U329" t="s">
        <v>23</v>
      </c>
    </row>
    <row r="330" spans="1:21" x14ac:dyDescent="0.25">
      <c r="A330" t="s">
        <v>775</v>
      </c>
      <c r="B330" t="s">
        <v>21</v>
      </c>
      <c r="C330" t="s">
        <v>22</v>
      </c>
      <c r="D330" t="s">
        <v>22</v>
      </c>
      <c r="E330" t="s">
        <v>23</v>
      </c>
      <c r="F330" t="s">
        <v>24</v>
      </c>
      <c r="G330" t="s">
        <v>25</v>
      </c>
      <c r="H330" t="s">
        <v>23</v>
      </c>
      <c r="I330" t="s">
        <v>26</v>
      </c>
      <c r="J330" t="s">
        <v>776</v>
      </c>
      <c r="K330">
        <v>-12.317823000000001</v>
      </c>
      <c r="L330">
        <v>-76.824290000000005</v>
      </c>
      <c r="M330" t="str">
        <f>HYPERLINK("https://www.google.com/maps/search/?api=1&amp;query=-12.317823,-76.82429","Punta Hermosa, Lima")</f>
        <v>Punta Hermosa, Lima</v>
      </c>
      <c r="N330">
        <v>0.2</v>
      </c>
      <c r="O330">
        <v>100</v>
      </c>
      <c r="P330">
        <v>1654.4</v>
      </c>
      <c r="Q330" t="s">
        <v>774</v>
      </c>
      <c r="R330" t="s">
        <v>23</v>
      </c>
      <c r="S330" t="s">
        <v>23</v>
      </c>
      <c r="T330" t="s">
        <v>23</v>
      </c>
      <c r="U330" t="s">
        <v>23</v>
      </c>
    </row>
    <row r="331" spans="1:21" x14ac:dyDescent="0.25">
      <c r="A331" t="s">
        <v>777</v>
      </c>
      <c r="B331" t="s">
        <v>21</v>
      </c>
      <c r="C331" t="s">
        <v>22</v>
      </c>
      <c r="D331" t="s">
        <v>22</v>
      </c>
      <c r="E331" t="s">
        <v>23</v>
      </c>
      <c r="F331" t="s">
        <v>24</v>
      </c>
      <c r="G331" t="s">
        <v>25</v>
      </c>
      <c r="H331" t="s">
        <v>23</v>
      </c>
      <c r="I331" t="s">
        <v>26</v>
      </c>
      <c r="J331" t="s">
        <v>778</v>
      </c>
      <c r="K331">
        <v>-12.317895</v>
      </c>
      <c r="L331">
        <v>-76.824209999999994</v>
      </c>
      <c r="M331" t="str">
        <f>HYPERLINK("https://www.google.com/maps/search/?api=1&amp;query=-12.317895,-76.82421","Punta Hermosa, Lima")</f>
        <v>Punta Hermosa, Lima</v>
      </c>
      <c r="N331">
        <v>0</v>
      </c>
      <c r="O331">
        <v>100</v>
      </c>
      <c r="P331">
        <v>1654.4</v>
      </c>
      <c r="Q331" t="s">
        <v>774</v>
      </c>
      <c r="R331" t="s">
        <v>63</v>
      </c>
      <c r="S331" t="s">
        <v>23</v>
      </c>
      <c r="T331" t="s">
        <v>23</v>
      </c>
      <c r="U331" t="s">
        <v>23</v>
      </c>
    </row>
    <row r="332" spans="1:21" x14ac:dyDescent="0.25">
      <c r="A332" t="s">
        <v>779</v>
      </c>
      <c r="B332" t="s">
        <v>21</v>
      </c>
      <c r="C332" t="s">
        <v>22</v>
      </c>
      <c r="D332" t="s">
        <v>22</v>
      </c>
      <c r="E332" t="s">
        <v>23</v>
      </c>
      <c r="F332" t="s">
        <v>24</v>
      </c>
      <c r="G332" t="s">
        <v>25</v>
      </c>
      <c r="H332" t="s">
        <v>23</v>
      </c>
      <c r="I332" t="s">
        <v>26</v>
      </c>
      <c r="J332" t="s">
        <v>780</v>
      </c>
      <c r="K332">
        <v>-12.317895</v>
      </c>
      <c r="L332">
        <v>-76.824209999999994</v>
      </c>
      <c r="M332" t="str">
        <f>HYPERLINK("https://www.google.com/maps/search/?api=1&amp;query=-12.317895,-76.82421","Punta Hermosa, Lima")</f>
        <v>Punta Hermosa, Lima</v>
      </c>
      <c r="N332">
        <v>0.6</v>
      </c>
      <c r="O332">
        <v>100</v>
      </c>
      <c r="P332">
        <v>1654.4</v>
      </c>
      <c r="Q332" t="s">
        <v>774</v>
      </c>
      <c r="R332" t="s">
        <v>23</v>
      </c>
      <c r="S332" t="s">
        <v>23</v>
      </c>
      <c r="T332" t="s">
        <v>23</v>
      </c>
      <c r="U332" t="s">
        <v>23</v>
      </c>
    </row>
    <row r="333" spans="1:21" x14ac:dyDescent="0.25">
      <c r="A333" t="s">
        <v>781</v>
      </c>
      <c r="B333" t="s">
        <v>21</v>
      </c>
      <c r="C333" t="s">
        <v>22</v>
      </c>
      <c r="D333" t="s">
        <v>22</v>
      </c>
      <c r="E333" t="s">
        <v>23</v>
      </c>
      <c r="F333" t="s">
        <v>24</v>
      </c>
      <c r="G333" t="s">
        <v>25</v>
      </c>
      <c r="H333" t="s">
        <v>23</v>
      </c>
      <c r="I333" t="s">
        <v>26</v>
      </c>
      <c r="J333" t="s">
        <v>782</v>
      </c>
      <c r="K333">
        <v>-12.317867</v>
      </c>
      <c r="L333">
        <v>-76.824209999999994</v>
      </c>
      <c r="M333" t="str">
        <f t="shared" ref="M333:M339" si="3">HYPERLINK("https://www.google.com/maps/search/?api=1&amp;query=-12.317867,-76.82421","Punta Hermosa, Lima")</f>
        <v>Punta Hermosa, Lima</v>
      </c>
      <c r="N333">
        <v>0</v>
      </c>
      <c r="O333">
        <v>100</v>
      </c>
      <c r="P333">
        <v>1654.4</v>
      </c>
      <c r="Q333" t="s">
        <v>774</v>
      </c>
      <c r="R333" t="s">
        <v>23</v>
      </c>
      <c r="S333" t="s">
        <v>23</v>
      </c>
      <c r="T333" t="s">
        <v>23</v>
      </c>
      <c r="U333" t="s">
        <v>23</v>
      </c>
    </row>
    <row r="334" spans="1:21" x14ac:dyDescent="0.25">
      <c r="A334" t="s">
        <v>783</v>
      </c>
      <c r="B334" t="s">
        <v>21</v>
      </c>
      <c r="C334" t="s">
        <v>22</v>
      </c>
      <c r="D334" t="s">
        <v>22</v>
      </c>
      <c r="E334" t="s">
        <v>23</v>
      </c>
      <c r="F334" t="s">
        <v>24</v>
      </c>
      <c r="G334" t="s">
        <v>25</v>
      </c>
      <c r="H334" t="s">
        <v>23</v>
      </c>
      <c r="I334" t="s">
        <v>26</v>
      </c>
      <c r="J334" t="s">
        <v>784</v>
      </c>
      <c r="K334">
        <v>-12.317867</v>
      </c>
      <c r="L334">
        <v>-76.824209999999994</v>
      </c>
      <c r="M334" t="str">
        <f t="shared" si="3"/>
        <v>Punta Hermosa, Lima</v>
      </c>
      <c r="N334">
        <v>0</v>
      </c>
      <c r="O334">
        <v>100</v>
      </c>
      <c r="P334">
        <v>1654.5</v>
      </c>
      <c r="Q334" t="s">
        <v>774</v>
      </c>
      <c r="R334" t="s">
        <v>23</v>
      </c>
      <c r="S334" t="s">
        <v>23</v>
      </c>
      <c r="T334" t="s">
        <v>23</v>
      </c>
      <c r="U334" t="s">
        <v>23</v>
      </c>
    </row>
    <row r="335" spans="1:21" x14ac:dyDescent="0.25">
      <c r="A335" t="s">
        <v>785</v>
      </c>
      <c r="B335" t="s">
        <v>21</v>
      </c>
      <c r="C335" t="s">
        <v>22</v>
      </c>
      <c r="D335" t="s">
        <v>22</v>
      </c>
      <c r="E335" t="s">
        <v>23</v>
      </c>
      <c r="F335" t="s">
        <v>24</v>
      </c>
      <c r="G335" t="s">
        <v>25</v>
      </c>
      <c r="H335" t="s">
        <v>23</v>
      </c>
      <c r="I335" t="s">
        <v>26</v>
      </c>
      <c r="J335" t="s">
        <v>786</v>
      </c>
      <c r="K335">
        <v>-12.317867</v>
      </c>
      <c r="L335">
        <v>-76.824209999999994</v>
      </c>
      <c r="M335" t="str">
        <f t="shared" si="3"/>
        <v>Punta Hermosa, Lima</v>
      </c>
      <c r="N335">
        <v>0</v>
      </c>
      <c r="O335">
        <v>100</v>
      </c>
      <c r="P335">
        <v>1654.5</v>
      </c>
      <c r="Q335" t="s">
        <v>787</v>
      </c>
      <c r="R335" t="s">
        <v>23</v>
      </c>
      <c r="S335" t="s">
        <v>23</v>
      </c>
      <c r="T335" t="s">
        <v>23</v>
      </c>
      <c r="U335" t="s">
        <v>23</v>
      </c>
    </row>
    <row r="336" spans="1:21" x14ac:dyDescent="0.25">
      <c r="A336" t="s">
        <v>788</v>
      </c>
      <c r="B336" t="s">
        <v>21</v>
      </c>
      <c r="C336" t="s">
        <v>22</v>
      </c>
      <c r="D336" t="s">
        <v>22</v>
      </c>
      <c r="E336" t="s">
        <v>23</v>
      </c>
      <c r="F336" t="s">
        <v>24</v>
      </c>
      <c r="G336" t="s">
        <v>25</v>
      </c>
      <c r="H336" t="s">
        <v>23</v>
      </c>
      <c r="I336" t="s">
        <v>26</v>
      </c>
      <c r="J336" t="s">
        <v>789</v>
      </c>
      <c r="K336">
        <v>-12.317867</v>
      </c>
      <c r="L336">
        <v>-76.824209999999994</v>
      </c>
      <c r="M336" t="str">
        <f t="shared" si="3"/>
        <v>Punta Hermosa, Lima</v>
      </c>
      <c r="N336">
        <v>0</v>
      </c>
      <c r="O336">
        <v>100</v>
      </c>
      <c r="P336">
        <v>1654.5</v>
      </c>
      <c r="Q336" t="s">
        <v>787</v>
      </c>
      <c r="R336" t="s">
        <v>252</v>
      </c>
      <c r="S336" t="s">
        <v>23</v>
      </c>
      <c r="T336" t="s">
        <v>23</v>
      </c>
      <c r="U336" t="s">
        <v>23</v>
      </c>
    </row>
    <row r="337" spans="1:21" x14ac:dyDescent="0.25">
      <c r="A337" t="s">
        <v>790</v>
      </c>
      <c r="B337" t="s">
        <v>21</v>
      </c>
      <c r="C337" t="s">
        <v>22</v>
      </c>
      <c r="D337" t="s">
        <v>22</v>
      </c>
      <c r="E337" t="s">
        <v>23</v>
      </c>
      <c r="F337" t="s">
        <v>24</v>
      </c>
      <c r="G337" t="s">
        <v>25</v>
      </c>
      <c r="H337" t="s">
        <v>23</v>
      </c>
      <c r="I337" t="s">
        <v>26</v>
      </c>
      <c r="J337" t="s">
        <v>791</v>
      </c>
      <c r="K337">
        <v>-12.317867</v>
      </c>
      <c r="L337">
        <v>-76.824209999999994</v>
      </c>
      <c r="M337" t="str">
        <f t="shared" si="3"/>
        <v>Punta Hermosa, Lima</v>
      </c>
      <c r="N337">
        <v>0</v>
      </c>
      <c r="O337">
        <v>100</v>
      </c>
      <c r="P337">
        <v>1654.5</v>
      </c>
      <c r="Q337" t="s">
        <v>787</v>
      </c>
      <c r="R337" t="s">
        <v>23</v>
      </c>
      <c r="S337" t="s">
        <v>23</v>
      </c>
      <c r="T337" t="s">
        <v>23</v>
      </c>
      <c r="U337" t="s">
        <v>23</v>
      </c>
    </row>
    <row r="338" spans="1:21" x14ac:dyDescent="0.25">
      <c r="A338" t="s">
        <v>792</v>
      </c>
      <c r="B338" t="s">
        <v>21</v>
      </c>
      <c r="C338" t="s">
        <v>22</v>
      </c>
      <c r="D338" t="s">
        <v>22</v>
      </c>
      <c r="E338" t="s">
        <v>23</v>
      </c>
      <c r="F338" t="s">
        <v>24</v>
      </c>
      <c r="G338" t="s">
        <v>25</v>
      </c>
      <c r="H338" t="s">
        <v>23</v>
      </c>
      <c r="I338" t="s">
        <v>26</v>
      </c>
      <c r="J338" t="s">
        <v>793</v>
      </c>
      <c r="K338">
        <v>-12.317867</v>
      </c>
      <c r="L338">
        <v>-76.824209999999994</v>
      </c>
      <c r="M338" t="str">
        <f t="shared" si="3"/>
        <v>Punta Hermosa, Lima</v>
      </c>
      <c r="N338">
        <v>0.3</v>
      </c>
      <c r="O338">
        <v>100</v>
      </c>
      <c r="P338">
        <v>1654.5</v>
      </c>
      <c r="Q338" t="s">
        <v>787</v>
      </c>
      <c r="R338" t="s">
        <v>23</v>
      </c>
      <c r="S338" t="s">
        <v>23</v>
      </c>
      <c r="T338" t="s">
        <v>23</v>
      </c>
      <c r="U338" t="s">
        <v>23</v>
      </c>
    </row>
    <row r="339" spans="1:21" x14ac:dyDescent="0.25">
      <c r="A339" t="s">
        <v>794</v>
      </c>
      <c r="B339" t="s">
        <v>21</v>
      </c>
      <c r="C339" t="s">
        <v>22</v>
      </c>
      <c r="D339" t="s">
        <v>22</v>
      </c>
      <c r="E339" t="s">
        <v>23</v>
      </c>
      <c r="F339" t="s">
        <v>24</v>
      </c>
      <c r="G339" t="s">
        <v>25</v>
      </c>
      <c r="H339" t="s">
        <v>23</v>
      </c>
      <c r="I339" t="s">
        <v>26</v>
      </c>
      <c r="J339" t="s">
        <v>795</v>
      </c>
      <c r="K339">
        <v>-12.317867</v>
      </c>
      <c r="L339">
        <v>-76.824209999999994</v>
      </c>
      <c r="M339" t="str">
        <f t="shared" si="3"/>
        <v>Punta Hermosa, Lima</v>
      </c>
      <c r="N339">
        <v>0</v>
      </c>
      <c r="O339">
        <v>100</v>
      </c>
      <c r="P339">
        <v>1654.5</v>
      </c>
      <c r="Q339" t="s">
        <v>787</v>
      </c>
      <c r="R339" t="s">
        <v>63</v>
      </c>
      <c r="S339" t="s">
        <v>23</v>
      </c>
      <c r="T339" t="s">
        <v>23</v>
      </c>
      <c r="U339" t="s">
        <v>23</v>
      </c>
    </row>
    <row r="340" spans="1:21" x14ac:dyDescent="0.25">
      <c r="A340" t="s">
        <v>796</v>
      </c>
      <c r="B340" t="s">
        <v>21</v>
      </c>
      <c r="C340" t="s">
        <v>22</v>
      </c>
      <c r="D340" t="s">
        <v>22</v>
      </c>
      <c r="E340" t="s">
        <v>23</v>
      </c>
      <c r="F340" t="s">
        <v>24</v>
      </c>
      <c r="G340" t="s">
        <v>25</v>
      </c>
      <c r="H340" t="s">
        <v>23</v>
      </c>
      <c r="I340" t="s">
        <v>26</v>
      </c>
      <c r="J340" t="s">
        <v>797</v>
      </c>
      <c r="K340">
        <v>-12.317739</v>
      </c>
      <c r="L340">
        <v>-76.824234000000004</v>
      </c>
      <c r="M340" t="str">
        <f>HYPERLINK("https://www.google.com/maps/search/?api=1&amp;query=-12.317739,-76.824234","Punta Hermosa, Lima")</f>
        <v>Punta Hermosa, Lima</v>
      </c>
      <c r="N340">
        <v>6.9</v>
      </c>
      <c r="O340">
        <v>100</v>
      </c>
      <c r="P340">
        <v>1654.5</v>
      </c>
      <c r="Q340" t="s">
        <v>787</v>
      </c>
      <c r="R340" t="s">
        <v>23</v>
      </c>
      <c r="S340" t="s">
        <v>23</v>
      </c>
      <c r="T340" t="s">
        <v>23</v>
      </c>
      <c r="U340" t="s">
        <v>23</v>
      </c>
    </row>
    <row r="341" spans="1:21" x14ac:dyDescent="0.25">
      <c r="A341" t="s">
        <v>798</v>
      </c>
      <c r="B341" t="s">
        <v>21</v>
      </c>
      <c r="C341" t="s">
        <v>22</v>
      </c>
      <c r="D341" t="s">
        <v>22</v>
      </c>
      <c r="E341" t="s">
        <v>23</v>
      </c>
      <c r="F341" t="s">
        <v>24</v>
      </c>
      <c r="G341" t="s">
        <v>25</v>
      </c>
      <c r="H341" t="s">
        <v>23</v>
      </c>
      <c r="I341" t="s">
        <v>26</v>
      </c>
      <c r="J341" t="s">
        <v>799</v>
      </c>
      <c r="K341">
        <v>-12.317742000000001</v>
      </c>
      <c r="L341">
        <v>-76.824209999999994</v>
      </c>
      <c r="M341" t="str">
        <f>HYPERLINK("https://www.google.com/maps/search/?api=1&amp;query=-12.317742,-76.82421","Punta Hermosa, Lima")</f>
        <v>Punta Hermosa, Lima</v>
      </c>
      <c r="N341">
        <v>0</v>
      </c>
      <c r="O341">
        <v>100</v>
      </c>
      <c r="P341">
        <v>1654.5</v>
      </c>
      <c r="Q341" t="s">
        <v>787</v>
      </c>
      <c r="R341" t="s">
        <v>23</v>
      </c>
      <c r="S341" t="s">
        <v>23</v>
      </c>
      <c r="T341" t="s">
        <v>23</v>
      </c>
      <c r="U341" t="s">
        <v>23</v>
      </c>
    </row>
    <row r="342" spans="1:21" x14ac:dyDescent="0.25">
      <c r="A342" t="s">
        <v>800</v>
      </c>
      <c r="B342" t="s">
        <v>21</v>
      </c>
      <c r="C342" t="s">
        <v>22</v>
      </c>
      <c r="D342" t="s">
        <v>22</v>
      </c>
      <c r="E342" t="s">
        <v>23</v>
      </c>
      <c r="F342" t="s">
        <v>24</v>
      </c>
      <c r="G342" t="s">
        <v>25</v>
      </c>
      <c r="H342" t="s">
        <v>23</v>
      </c>
      <c r="I342" t="s">
        <v>26</v>
      </c>
      <c r="J342" t="s">
        <v>801</v>
      </c>
      <c r="K342">
        <v>-12.317742000000001</v>
      </c>
      <c r="L342">
        <v>-76.824209999999994</v>
      </c>
      <c r="M342" t="str">
        <f>HYPERLINK("https://www.google.com/maps/search/?api=1&amp;query=-12.317742,-76.82421","Punta Hermosa, Lima")</f>
        <v>Punta Hermosa, Lima</v>
      </c>
      <c r="N342">
        <v>0</v>
      </c>
      <c r="O342">
        <v>100</v>
      </c>
      <c r="P342">
        <v>1654.5</v>
      </c>
      <c r="Q342" t="s">
        <v>802</v>
      </c>
      <c r="R342" t="s">
        <v>23</v>
      </c>
      <c r="S342" t="s">
        <v>23</v>
      </c>
      <c r="T342" t="s">
        <v>23</v>
      </c>
      <c r="U342" t="s">
        <v>23</v>
      </c>
    </row>
    <row r="343" spans="1:21" x14ac:dyDescent="0.25">
      <c r="A343" t="s">
        <v>803</v>
      </c>
      <c r="B343" t="s">
        <v>21</v>
      </c>
      <c r="C343" t="s">
        <v>22</v>
      </c>
      <c r="D343" t="s">
        <v>22</v>
      </c>
      <c r="E343" t="s">
        <v>23</v>
      </c>
      <c r="F343" t="s">
        <v>24</v>
      </c>
      <c r="G343" t="s">
        <v>25</v>
      </c>
      <c r="H343" t="s">
        <v>23</v>
      </c>
      <c r="I343" t="s">
        <v>26</v>
      </c>
      <c r="J343" t="s">
        <v>804</v>
      </c>
      <c r="K343">
        <v>-12.317742000000001</v>
      </c>
      <c r="L343">
        <v>-76.824209999999994</v>
      </c>
      <c r="M343" t="str">
        <f>HYPERLINK("https://www.google.com/maps/search/?api=1&amp;query=-12.317742,-76.82421","Punta Hermosa, Lima")</f>
        <v>Punta Hermosa, Lima</v>
      </c>
      <c r="N343">
        <v>0</v>
      </c>
      <c r="O343">
        <v>100</v>
      </c>
      <c r="P343">
        <v>1654.5</v>
      </c>
      <c r="Q343" t="s">
        <v>805</v>
      </c>
      <c r="R343" t="s">
        <v>23</v>
      </c>
      <c r="S343" t="s">
        <v>23</v>
      </c>
      <c r="T343" t="s">
        <v>23</v>
      </c>
      <c r="U343" t="s">
        <v>23</v>
      </c>
    </row>
    <row r="344" spans="1:21" x14ac:dyDescent="0.25">
      <c r="A344" t="s">
        <v>806</v>
      </c>
      <c r="B344" t="s">
        <v>21</v>
      </c>
      <c r="C344" t="s">
        <v>22</v>
      </c>
      <c r="D344" t="s">
        <v>22</v>
      </c>
      <c r="E344" t="s">
        <v>23</v>
      </c>
      <c r="F344" t="s">
        <v>24</v>
      </c>
      <c r="G344" t="s">
        <v>25</v>
      </c>
      <c r="H344" t="s">
        <v>23</v>
      </c>
      <c r="I344" t="s">
        <v>26</v>
      </c>
      <c r="J344" t="s">
        <v>807</v>
      </c>
      <c r="K344">
        <v>-12.317731999999999</v>
      </c>
      <c r="L344">
        <v>-76.824250000000006</v>
      </c>
      <c r="M344" t="str">
        <f>HYPERLINK("https://www.google.com/maps/search/?api=1&amp;query=-12.317732,-76.82425","Punta Hermosa, Lima")</f>
        <v>Punta Hermosa, Lima</v>
      </c>
      <c r="N344">
        <v>9.6</v>
      </c>
      <c r="O344">
        <v>100</v>
      </c>
      <c r="P344">
        <v>1654.5</v>
      </c>
      <c r="Q344" t="s">
        <v>805</v>
      </c>
      <c r="R344" t="s">
        <v>23</v>
      </c>
      <c r="S344" t="s">
        <v>23</v>
      </c>
      <c r="T344" t="s">
        <v>23</v>
      </c>
      <c r="U344" t="s">
        <v>23</v>
      </c>
    </row>
    <row r="345" spans="1:21" x14ac:dyDescent="0.25">
      <c r="A345" t="s">
        <v>808</v>
      </c>
      <c r="B345" t="s">
        <v>21</v>
      </c>
      <c r="C345" t="s">
        <v>22</v>
      </c>
      <c r="D345" t="s">
        <v>22</v>
      </c>
      <c r="E345" t="s">
        <v>23</v>
      </c>
      <c r="F345" t="s">
        <v>24</v>
      </c>
      <c r="G345" t="s">
        <v>25</v>
      </c>
      <c r="H345" t="s">
        <v>23</v>
      </c>
      <c r="I345" t="s">
        <v>26</v>
      </c>
      <c r="J345" t="s">
        <v>809</v>
      </c>
      <c r="K345">
        <v>-12.316530999999999</v>
      </c>
      <c r="L345">
        <v>-76.825090000000003</v>
      </c>
      <c r="M345" t="str">
        <f>HYPERLINK("https://www.google.com/maps/search/?api=1&amp;query=-12.316531,-76.82509","Punta Hermosa, Lima")</f>
        <v>Punta Hermosa, Lima</v>
      </c>
      <c r="N345">
        <v>16.7</v>
      </c>
      <c r="O345">
        <v>100</v>
      </c>
      <c r="P345">
        <v>1654.5</v>
      </c>
      <c r="Q345" t="s">
        <v>810</v>
      </c>
      <c r="R345" t="s">
        <v>23</v>
      </c>
      <c r="S345" t="s">
        <v>23</v>
      </c>
      <c r="T345" t="s">
        <v>23</v>
      </c>
      <c r="U345" t="s">
        <v>23</v>
      </c>
    </row>
    <row r="346" spans="1:21" x14ac:dyDescent="0.25">
      <c r="A346" t="s">
        <v>811</v>
      </c>
      <c r="B346" t="s">
        <v>21</v>
      </c>
      <c r="C346" t="s">
        <v>22</v>
      </c>
      <c r="D346" t="s">
        <v>22</v>
      </c>
      <c r="E346" t="s">
        <v>23</v>
      </c>
      <c r="F346" t="s">
        <v>24</v>
      </c>
      <c r="G346" t="s">
        <v>25</v>
      </c>
      <c r="H346" t="s">
        <v>23</v>
      </c>
      <c r="I346" t="s">
        <v>26</v>
      </c>
      <c r="J346" t="s">
        <v>812</v>
      </c>
      <c r="K346">
        <v>-12.31537</v>
      </c>
      <c r="L346">
        <v>-76.825940000000003</v>
      </c>
      <c r="M346" t="str">
        <f>HYPERLINK("https://www.google.com/maps/search/?api=1&amp;query=-12.31537,-76.82594","Punta Hermosa, Lima")</f>
        <v>Punta Hermosa, Lima</v>
      </c>
      <c r="N346">
        <v>12.5</v>
      </c>
      <c r="O346">
        <v>100</v>
      </c>
      <c r="P346">
        <v>1654.6</v>
      </c>
      <c r="Q346" t="s">
        <v>810</v>
      </c>
      <c r="R346" t="s">
        <v>23</v>
      </c>
      <c r="S346" t="s">
        <v>23</v>
      </c>
      <c r="T346" t="s">
        <v>23</v>
      </c>
      <c r="U346" t="s">
        <v>23</v>
      </c>
    </row>
    <row r="347" spans="1:21" x14ac:dyDescent="0.25">
      <c r="A347" t="s">
        <v>813</v>
      </c>
      <c r="B347" t="s">
        <v>21</v>
      </c>
      <c r="C347" t="s">
        <v>22</v>
      </c>
      <c r="D347" t="s">
        <v>22</v>
      </c>
      <c r="E347" t="s">
        <v>23</v>
      </c>
      <c r="F347" t="s">
        <v>24</v>
      </c>
      <c r="G347" t="s">
        <v>25</v>
      </c>
      <c r="H347" t="s">
        <v>23</v>
      </c>
      <c r="I347" t="s">
        <v>26</v>
      </c>
      <c r="J347" t="s">
        <v>814</v>
      </c>
      <c r="K347">
        <v>-12.315390000000001</v>
      </c>
      <c r="L347">
        <v>-76.826130000000006</v>
      </c>
      <c r="M347" t="str">
        <f>HYPERLINK("https://www.google.com/maps/search/?api=1&amp;query=-12.31539,-76.82613","Punta Hermosa, Lima")</f>
        <v>Punta Hermosa, Lima</v>
      </c>
      <c r="N347">
        <v>12.1</v>
      </c>
      <c r="O347">
        <v>100</v>
      </c>
      <c r="P347">
        <v>1654.6</v>
      </c>
      <c r="Q347" t="s">
        <v>810</v>
      </c>
      <c r="R347" t="s">
        <v>23</v>
      </c>
      <c r="S347" t="s">
        <v>23</v>
      </c>
      <c r="T347" t="s">
        <v>23</v>
      </c>
      <c r="U347" t="s">
        <v>23</v>
      </c>
    </row>
    <row r="348" spans="1:21" x14ac:dyDescent="0.25">
      <c r="A348" t="s">
        <v>815</v>
      </c>
      <c r="B348" t="s">
        <v>21</v>
      </c>
      <c r="C348" t="s">
        <v>22</v>
      </c>
      <c r="D348" t="s">
        <v>22</v>
      </c>
      <c r="E348" t="s">
        <v>23</v>
      </c>
      <c r="F348" t="s">
        <v>24</v>
      </c>
      <c r="G348" t="s">
        <v>25</v>
      </c>
      <c r="H348" t="s">
        <v>23</v>
      </c>
      <c r="I348" t="s">
        <v>26</v>
      </c>
      <c r="J348" t="s">
        <v>816</v>
      </c>
      <c r="K348">
        <v>-12.315685999999999</v>
      </c>
      <c r="L348">
        <v>-76.826614000000006</v>
      </c>
      <c r="M348" t="str">
        <f>HYPERLINK("https://www.google.com/maps/search/?api=1&amp;query=-12.315686,-76.826614","Punta Hermosa, Lima")</f>
        <v>Punta Hermosa, Lima</v>
      </c>
      <c r="N348">
        <v>14.6</v>
      </c>
      <c r="O348">
        <v>100</v>
      </c>
      <c r="P348">
        <v>1654.6</v>
      </c>
      <c r="Q348" t="s">
        <v>810</v>
      </c>
      <c r="R348" t="s">
        <v>23</v>
      </c>
      <c r="S348" t="s">
        <v>23</v>
      </c>
      <c r="T348" t="s">
        <v>23</v>
      </c>
      <c r="U348" t="s">
        <v>23</v>
      </c>
    </row>
    <row r="349" spans="1:21" x14ac:dyDescent="0.25">
      <c r="A349" t="s">
        <v>817</v>
      </c>
      <c r="B349" t="s">
        <v>21</v>
      </c>
      <c r="C349" t="s">
        <v>22</v>
      </c>
      <c r="D349" t="s">
        <v>22</v>
      </c>
      <c r="E349" t="s">
        <v>23</v>
      </c>
      <c r="F349" t="s">
        <v>24</v>
      </c>
      <c r="G349" t="s">
        <v>25</v>
      </c>
      <c r="H349" t="s">
        <v>23</v>
      </c>
      <c r="I349" t="s">
        <v>26</v>
      </c>
      <c r="J349" t="s">
        <v>818</v>
      </c>
      <c r="K349">
        <v>-12.316534000000001</v>
      </c>
      <c r="L349">
        <v>-76.828010000000006</v>
      </c>
      <c r="M349" t="str">
        <f>HYPERLINK("https://www.google.com/maps/search/?api=1&amp;query=-12.316534,-76.82801","Punta Hermosa, Lima")</f>
        <v>Punta Hermosa, Lima</v>
      </c>
      <c r="N349">
        <v>6.9</v>
      </c>
      <c r="O349">
        <v>100</v>
      </c>
      <c r="P349">
        <v>1654.9</v>
      </c>
      <c r="Q349" t="s">
        <v>819</v>
      </c>
      <c r="R349" t="s">
        <v>23</v>
      </c>
      <c r="S349" t="s">
        <v>23</v>
      </c>
      <c r="T349" t="s">
        <v>23</v>
      </c>
      <c r="U349" t="s">
        <v>23</v>
      </c>
    </row>
    <row r="350" spans="1:21" x14ac:dyDescent="0.25">
      <c r="A350" t="s">
        <v>820</v>
      </c>
      <c r="B350" t="s">
        <v>21</v>
      </c>
      <c r="C350" t="s">
        <v>22</v>
      </c>
      <c r="D350" t="s">
        <v>22</v>
      </c>
      <c r="E350" t="s">
        <v>23</v>
      </c>
      <c r="F350" t="s">
        <v>24</v>
      </c>
      <c r="G350" t="s">
        <v>25</v>
      </c>
      <c r="H350" t="s">
        <v>23</v>
      </c>
      <c r="I350" t="s">
        <v>26</v>
      </c>
      <c r="J350" t="s">
        <v>821</v>
      </c>
      <c r="K350">
        <v>-12.317328</v>
      </c>
      <c r="L350">
        <v>-76.829449999999994</v>
      </c>
      <c r="M350" t="str">
        <f>HYPERLINK("https://www.google.com/maps/search/?api=1&amp;query=-12.317328,-76.82945","Punta Hermosa, Lima")</f>
        <v>Punta Hermosa, Lima</v>
      </c>
      <c r="N350">
        <v>9.1999999999999993</v>
      </c>
      <c r="O350">
        <v>100</v>
      </c>
      <c r="P350">
        <v>1655.1</v>
      </c>
      <c r="Q350" t="s">
        <v>822</v>
      </c>
      <c r="R350" t="s">
        <v>23</v>
      </c>
      <c r="S350" t="s">
        <v>23</v>
      </c>
      <c r="T350" t="s">
        <v>23</v>
      </c>
      <c r="U350" t="s">
        <v>23</v>
      </c>
    </row>
    <row r="351" spans="1:21" x14ac:dyDescent="0.25">
      <c r="A351" t="s">
        <v>823</v>
      </c>
      <c r="B351" t="s">
        <v>21</v>
      </c>
      <c r="C351" t="s">
        <v>22</v>
      </c>
      <c r="D351" t="s">
        <v>22</v>
      </c>
      <c r="E351" t="s">
        <v>23</v>
      </c>
      <c r="F351" t="s">
        <v>24</v>
      </c>
      <c r="G351" t="s">
        <v>25</v>
      </c>
      <c r="H351" t="s">
        <v>23</v>
      </c>
      <c r="I351" t="s">
        <v>26</v>
      </c>
      <c r="J351" t="s">
        <v>824</v>
      </c>
      <c r="K351">
        <v>-12.317494</v>
      </c>
      <c r="L351">
        <v>-76.830010000000001</v>
      </c>
      <c r="M351" t="str">
        <f>HYPERLINK("https://www.google.com/maps/search/?api=1&amp;query=-12.317494,-76.83001","Punta Hermosa, Lima")</f>
        <v>Punta Hermosa, Lima</v>
      </c>
      <c r="N351">
        <v>22.5</v>
      </c>
      <c r="O351">
        <v>100</v>
      </c>
      <c r="P351">
        <v>1655.3</v>
      </c>
      <c r="Q351" t="s">
        <v>825</v>
      </c>
      <c r="R351" t="s">
        <v>338</v>
      </c>
      <c r="S351" t="s">
        <v>222</v>
      </c>
      <c r="T351" t="s">
        <v>223</v>
      </c>
      <c r="U351" t="s">
        <v>23</v>
      </c>
    </row>
    <row r="352" spans="1:21" x14ac:dyDescent="0.25">
      <c r="A352" t="s">
        <v>826</v>
      </c>
      <c r="B352" t="s">
        <v>21</v>
      </c>
      <c r="C352" t="s">
        <v>22</v>
      </c>
      <c r="D352" t="s">
        <v>22</v>
      </c>
      <c r="E352" t="s">
        <v>23</v>
      </c>
      <c r="F352" t="s">
        <v>24</v>
      </c>
      <c r="G352" t="s">
        <v>25</v>
      </c>
      <c r="H352" t="s">
        <v>23</v>
      </c>
      <c r="I352" t="s">
        <v>26</v>
      </c>
      <c r="J352" t="s">
        <v>824</v>
      </c>
      <c r="K352">
        <v>-12.317494</v>
      </c>
      <c r="L352">
        <v>-76.830010000000001</v>
      </c>
      <c r="M352" t="str">
        <f>HYPERLINK("https://www.google.com/maps/search/?api=1&amp;query=-12.317494,-76.83001","Punta Hermosa, Lima")</f>
        <v>Punta Hermosa, Lima</v>
      </c>
      <c r="N352">
        <v>22.5</v>
      </c>
      <c r="O352">
        <v>100</v>
      </c>
      <c r="P352">
        <v>1655.3</v>
      </c>
      <c r="Q352" t="s">
        <v>822</v>
      </c>
      <c r="R352" t="s">
        <v>23</v>
      </c>
      <c r="S352" t="s">
        <v>23</v>
      </c>
      <c r="T352" t="s">
        <v>23</v>
      </c>
      <c r="U352" t="s">
        <v>23</v>
      </c>
    </row>
    <row r="353" spans="1:21" x14ac:dyDescent="0.25">
      <c r="A353" t="s">
        <v>827</v>
      </c>
      <c r="B353" t="s">
        <v>21</v>
      </c>
      <c r="C353" t="s">
        <v>22</v>
      </c>
      <c r="D353" t="s">
        <v>22</v>
      </c>
      <c r="E353" t="s">
        <v>23</v>
      </c>
      <c r="F353" t="s">
        <v>24</v>
      </c>
      <c r="G353" t="s">
        <v>25</v>
      </c>
      <c r="H353" t="s">
        <v>23</v>
      </c>
      <c r="I353" t="s">
        <v>26</v>
      </c>
      <c r="J353" t="s">
        <v>828</v>
      </c>
      <c r="K353">
        <v>-12.316722</v>
      </c>
      <c r="L353">
        <v>-76.830929999999995</v>
      </c>
      <c r="M353" t="str">
        <f>HYPERLINK("https://www.google.com/maps/search/?api=1&amp;query=-12.316722,-76.83093","Carretera Panamericana Sur, Punta Hermosa, Lima")</f>
        <v>Carretera Panamericana Sur, Punta Hermosa, Lima</v>
      </c>
      <c r="N353">
        <v>36.6</v>
      </c>
      <c r="O353">
        <v>100</v>
      </c>
      <c r="P353">
        <v>1655.3</v>
      </c>
      <c r="Q353" t="s">
        <v>822</v>
      </c>
      <c r="R353" t="s">
        <v>23</v>
      </c>
      <c r="S353" t="s">
        <v>23</v>
      </c>
      <c r="T353" t="s">
        <v>23</v>
      </c>
      <c r="U353" t="s">
        <v>23</v>
      </c>
    </row>
    <row r="354" spans="1:21" x14ac:dyDescent="0.25">
      <c r="A354" t="s">
        <v>829</v>
      </c>
      <c r="B354" t="s">
        <v>21</v>
      </c>
      <c r="C354" t="s">
        <v>22</v>
      </c>
      <c r="D354" t="s">
        <v>22</v>
      </c>
      <c r="E354" t="s">
        <v>23</v>
      </c>
      <c r="F354" t="s">
        <v>24</v>
      </c>
      <c r="G354" t="s">
        <v>25</v>
      </c>
      <c r="H354" t="s">
        <v>23</v>
      </c>
      <c r="I354" t="s">
        <v>26</v>
      </c>
      <c r="J354" t="s">
        <v>830</v>
      </c>
      <c r="K354">
        <v>-12.315317</v>
      </c>
      <c r="L354">
        <v>-76.831894000000005</v>
      </c>
      <c r="M354" t="str">
        <f>HYPERLINK("https://www.google.com/maps/search/?api=1&amp;query=-12.315317,-76.831894","Carretera Panamericana Sur, Punta Hermosa, Lima")</f>
        <v>Carretera Panamericana Sur, Punta Hermosa, Lima</v>
      </c>
      <c r="N354">
        <v>49.8</v>
      </c>
      <c r="O354">
        <v>100</v>
      </c>
      <c r="P354">
        <v>1655.3</v>
      </c>
      <c r="Q354" t="s">
        <v>822</v>
      </c>
      <c r="R354" t="s">
        <v>23</v>
      </c>
      <c r="S354" t="s">
        <v>23</v>
      </c>
      <c r="T354" t="s">
        <v>23</v>
      </c>
      <c r="U354" t="s">
        <v>23</v>
      </c>
    </row>
    <row r="355" spans="1:21" x14ac:dyDescent="0.25">
      <c r="A355" t="s">
        <v>831</v>
      </c>
      <c r="B355" t="s">
        <v>21</v>
      </c>
      <c r="C355" t="s">
        <v>22</v>
      </c>
      <c r="D355" t="s">
        <v>22</v>
      </c>
      <c r="E355" t="s">
        <v>23</v>
      </c>
      <c r="F355" t="s">
        <v>24</v>
      </c>
      <c r="G355" t="s">
        <v>25</v>
      </c>
      <c r="H355" t="s">
        <v>23</v>
      </c>
      <c r="I355" t="s">
        <v>26</v>
      </c>
      <c r="J355" t="s">
        <v>832</v>
      </c>
      <c r="K355">
        <v>-12.306762000000001</v>
      </c>
      <c r="L355">
        <v>-76.837819999999994</v>
      </c>
      <c r="M355" t="str">
        <f>HYPERLINK("https://www.google.com/maps/search/?api=1&amp;query=-12.306762,-76.83782","Carretera Panamericana Sur, Punta Hermosa, Lima")</f>
        <v>Carretera Panamericana Sur, Punta Hermosa, Lima</v>
      </c>
      <c r="N355">
        <v>73.400000000000006</v>
      </c>
      <c r="O355">
        <v>100</v>
      </c>
      <c r="P355">
        <v>1655.6</v>
      </c>
      <c r="Q355" t="s">
        <v>833</v>
      </c>
      <c r="R355" t="s">
        <v>23</v>
      </c>
      <c r="S355" t="s">
        <v>23</v>
      </c>
      <c r="T355" t="s">
        <v>23</v>
      </c>
      <c r="U355" t="s">
        <v>23</v>
      </c>
    </row>
    <row r="356" spans="1:21" x14ac:dyDescent="0.25">
      <c r="A356" t="s">
        <v>834</v>
      </c>
      <c r="B356" t="s">
        <v>21</v>
      </c>
      <c r="C356" t="s">
        <v>22</v>
      </c>
      <c r="D356" t="s">
        <v>22</v>
      </c>
      <c r="E356" t="s">
        <v>23</v>
      </c>
      <c r="F356" t="s">
        <v>24</v>
      </c>
      <c r="G356" t="s">
        <v>25</v>
      </c>
      <c r="H356" t="s">
        <v>23</v>
      </c>
      <c r="I356" t="s">
        <v>26</v>
      </c>
      <c r="J356" t="s">
        <v>835</v>
      </c>
      <c r="K356">
        <v>-12.300996</v>
      </c>
      <c r="L356">
        <v>-76.846720000000005</v>
      </c>
      <c r="M356" t="str">
        <f>HYPERLINK("https://www.google.com/maps/search/?api=1&amp;query=-12.300996,-76.84672","Carretera Panamericana Sur, Lurín, Lima")</f>
        <v>Carretera Panamericana Sur, Lurín, Lima</v>
      </c>
      <c r="N356">
        <v>77.2</v>
      </c>
      <c r="O356">
        <v>100</v>
      </c>
      <c r="P356">
        <v>1656.8</v>
      </c>
      <c r="Q356" t="s">
        <v>836</v>
      </c>
      <c r="R356" t="s">
        <v>23</v>
      </c>
      <c r="S356" t="s">
        <v>23</v>
      </c>
      <c r="T356" t="s">
        <v>23</v>
      </c>
      <c r="U356" t="s">
        <v>23</v>
      </c>
    </row>
    <row r="357" spans="1:21" x14ac:dyDescent="0.25">
      <c r="A357" t="s">
        <v>837</v>
      </c>
      <c r="B357" t="s">
        <v>21</v>
      </c>
      <c r="C357" t="s">
        <v>22</v>
      </c>
      <c r="D357" t="s">
        <v>22</v>
      </c>
      <c r="E357" t="s">
        <v>23</v>
      </c>
      <c r="F357" t="s">
        <v>24</v>
      </c>
      <c r="G357" t="s">
        <v>25</v>
      </c>
      <c r="H357" t="s">
        <v>23</v>
      </c>
      <c r="I357" t="s">
        <v>26</v>
      </c>
      <c r="J357" t="s">
        <v>838</v>
      </c>
      <c r="K357">
        <v>-12.296485000000001</v>
      </c>
      <c r="L357">
        <v>-76.856719999999996</v>
      </c>
      <c r="M357" t="str">
        <f>HYPERLINK("https://www.google.com/maps/search/?api=1&amp;query=-12.296485,-76.85672","Carretera Panamericana Sur, Lurín, Lima")</f>
        <v>Carretera Panamericana Sur, Lurín, Lima</v>
      </c>
      <c r="N357">
        <v>75.599999999999994</v>
      </c>
      <c r="O357">
        <v>100</v>
      </c>
      <c r="P357">
        <v>1658</v>
      </c>
      <c r="Q357" t="s">
        <v>839</v>
      </c>
      <c r="R357" t="s">
        <v>23</v>
      </c>
      <c r="S357" t="s">
        <v>23</v>
      </c>
      <c r="T357" t="s">
        <v>23</v>
      </c>
      <c r="U357" t="s">
        <v>23</v>
      </c>
    </row>
    <row r="358" spans="1:21" x14ac:dyDescent="0.25">
      <c r="A358" t="s">
        <v>840</v>
      </c>
      <c r="B358" t="s">
        <v>21</v>
      </c>
      <c r="C358" t="s">
        <v>22</v>
      </c>
      <c r="D358" t="s">
        <v>22</v>
      </c>
      <c r="E358" t="s">
        <v>23</v>
      </c>
      <c r="F358" t="s">
        <v>24</v>
      </c>
      <c r="G358" t="s">
        <v>25</v>
      </c>
      <c r="H358" t="s">
        <v>23</v>
      </c>
      <c r="I358" t="s">
        <v>26</v>
      </c>
      <c r="J358" t="s">
        <v>841</v>
      </c>
      <c r="K358">
        <v>-12.290639000000001</v>
      </c>
      <c r="L358">
        <v>-76.86645</v>
      </c>
      <c r="M358" t="str">
        <f>HYPERLINK("https://www.google.com/maps/search/?api=1&amp;query=-12.290639,-76.86645","Carretera Panamericana Sur, Lurín, Lima")</f>
        <v>Carretera Panamericana Sur, Lurín, Lima</v>
      </c>
      <c r="N358">
        <v>74.5</v>
      </c>
      <c r="O358">
        <v>100</v>
      </c>
      <c r="P358">
        <v>1659.1</v>
      </c>
      <c r="Q358" t="s">
        <v>842</v>
      </c>
      <c r="R358" t="s">
        <v>23</v>
      </c>
      <c r="S358" t="s">
        <v>23</v>
      </c>
      <c r="T358" t="s">
        <v>23</v>
      </c>
      <c r="U358" t="s">
        <v>23</v>
      </c>
    </row>
    <row r="359" spans="1:21" x14ac:dyDescent="0.25">
      <c r="A359" t="s">
        <v>843</v>
      </c>
      <c r="B359" t="s">
        <v>21</v>
      </c>
      <c r="C359" t="s">
        <v>22</v>
      </c>
      <c r="D359" t="s">
        <v>22</v>
      </c>
      <c r="E359" t="s">
        <v>23</v>
      </c>
      <c r="F359" t="s">
        <v>24</v>
      </c>
      <c r="G359" t="s">
        <v>25</v>
      </c>
      <c r="H359" t="s">
        <v>23</v>
      </c>
      <c r="I359" t="s">
        <v>26</v>
      </c>
      <c r="J359" t="s">
        <v>844</v>
      </c>
      <c r="K359">
        <v>-12.284977</v>
      </c>
      <c r="L359">
        <v>-76.875479999999996</v>
      </c>
      <c r="M359" t="str">
        <f>HYPERLINK("https://www.google.com/maps/search/?api=1&amp;query=-12.284977,-76.87548","Carretera Panamericana Sur, Lurín, Lima")</f>
        <v>Carretera Panamericana Sur, Lurín, Lima</v>
      </c>
      <c r="N359">
        <v>58.4</v>
      </c>
      <c r="O359">
        <v>100</v>
      </c>
      <c r="P359">
        <v>1660.4</v>
      </c>
      <c r="Q359" t="s">
        <v>845</v>
      </c>
      <c r="R359" t="s">
        <v>23</v>
      </c>
      <c r="S359" t="s">
        <v>23</v>
      </c>
      <c r="T359" t="s">
        <v>23</v>
      </c>
      <c r="U359" t="s">
        <v>23</v>
      </c>
    </row>
    <row r="360" spans="1:21" x14ac:dyDescent="0.25">
      <c r="A360" t="s">
        <v>846</v>
      </c>
      <c r="B360" t="s">
        <v>21</v>
      </c>
      <c r="C360" t="s">
        <v>22</v>
      </c>
      <c r="D360" t="s">
        <v>22</v>
      </c>
      <c r="E360" t="s">
        <v>23</v>
      </c>
      <c r="F360" t="s">
        <v>24</v>
      </c>
      <c r="G360" t="s">
        <v>25</v>
      </c>
      <c r="H360" t="s">
        <v>23</v>
      </c>
      <c r="I360" t="s">
        <v>26</v>
      </c>
      <c r="J360" t="s">
        <v>847</v>
      </c>
      <c r="K360">
        <v>-12.280602</v>
      </c>
      <c r="L360">
        <v>-76.882499999999993</v>
      </c>
      <c r="M360" t="str">
        <f>HYPERLINK("https://www.google.com/maps/search/?api=1&amp;query=-12.280602,-76.8825","Carretera Panamericana Sur, Lurín, Lima")</f>
        <v>Carretera Panamericana Sur, Lurín, Lima</v>
      </c>
      <c r="N360">
        <v>59.9</v>
      </c>
      <c r="O360">
        <v>100</v>
      </c>
      <c r="P360">
        <v>1661.6</v>
      </c>
      <c r="Q360" t="s">
        <v>845</v>
      </c>
      <c r="R360" t="s">
        <v>23</v>
      </c>
      <c r="S360" t="s">
        <v>23</v>
      </c>
      <c r="T360" t="s">
        <v>23</v>
      </c>
      <c r="U360" t="s">
        <v>23</v>
      </c>
    </row>
    <row r="361" spans="1:21" x14ac:dyDescent="0.25">
      <c r="A361" t="s">
        <v>848</v>
      </c>
      <c r="B361" t="s">
        <v>21</v>
      </c>
      <c r="C361" t="s">
        <v>22</v>
      </c>
      <c r="D361" t="s">
        <v>22</v>
      </c>
      <c r="E361" t="s">
        <v>23</v>
      </c>
      <c r="F361" t="s">
        <v>24</v>
      </c>
      <c r="G361" t="s">
        <v>25</v>
      </c>
      <c r="H361" t="s">
        <v>23</v>
      </c>
      <c r="I361" t="s">
        <v>26</v>
      </c>
      <c r="J361" t="s">
        <v>849</v>
      </c>
      <c r="K361">
        <v>-12.275188999999999</v>
      </c>
      <c r="L361">
        <v>-76.891139999999993</v>
      </c>
      <c r="M361" t="str">
        <f>HYPERLINK("https://www.google.com/maps/search/?api=1&amp;query=-12.275189,-76.89114","Carretera Panamericana Sur, Lurín, Lima")</f>
        <v>Carretera Panamericana Sur, Lurín, Lima</v>
      </c>
      <c r="N361">
        <v>63.9</v>
      </c>
      <c r="O361">
        <v>100</v>
      </c>
      <c r="P361">
        <v>1662.5</v>
      </c>
      <c r="Q361" t="s">
        <v>850</v>
      </c>
      <c r="R361" t="s">
        <v>23</v>
      </c>
      <c r="S361" t="s">
        <v>23</v>
      </c>
      <c r="T361" t="s">
        <v>23</v>
      </c>
      <c r="U361" t="s">
        <v>23</v>
      </c>
    </row>
    <row r="362" spans="1:21" x14ac:dyDescent="0.25">
      <c r="A362" t="s">
        <v>851</v>
      </c>
      <c r="B362" t="s">
        <v>21</v>
      </c>
      <c r="C362" t="s">
        <v>22</v>
      </c>
      <c r="D362" t="s">
        <v>22</v>
      </c>
      <c r="E362" t="s">
        <v>23</v>
      </c>
      <c r="F362" t="s">
        <v>24</v>
      </c>
      <c r="G362" t="s">
        <v>25</v>
      </c>
      <c r="H362" t="s">
        <v>23</v>
      </c>
      <c r="I362" t="s">
        <v>26</v>
      </c>
      <c r="J362" t="s">
        <v>852</v>
      </c>
      <c r="K362">
        <v>-12.269736999999999</v>
      </c>
      <c r="L362">
        <v>-76.899760000000001</v>
      </c>
      <c r="M362" t="str">
        <f>HYPERLINK("https://www.google.com/maps/search/?api=1&amp;query=-12.269737,-76.89976","Carretera Panamericana Sur, Lurín, Lima")</f>
        <v>Carretera Panamericana Sur, Lurín, Lima</v>
      </c>
      <c r="N362">
        <v>70.5</v>
      </c>
      <c r="O362">
        <v>100</v>
      </c>
      <c r="P362">
        <v>1663.6</v>
      </c>
      <c r="Q362" t="s">
        <v>853</v>
      </c>
      <c r="R362" t="s">
        <v>23</v>
      </c>
      <c r="S362" t="s">
        <v>23</v>
      </c>
      <c r="T362" t="s">
        <v>23</v>
      </c>
      <c r="U362" t="s">
        <v>23</v>
      </c>
    </row>
    <row r="363" spans="1:21" x14ac:dyDescent="0.25">
      <c r="A363" t="s">
        <v>854</v>
      </c>
      <c r="B363" t="s">
        <v>21</v>
      </c>
      <c r="C363" t="s">
        <v>22</v>
      </c>
      <c r="D363" t="s">
        <v>22</v>
      </c>
      <c r="E363" t="s">
        <v>23</v>
      </c>
      <c r="F363" t="s">
        <v>24</v>
      </c>
      <c r="G363" t="s">
        <v>25</v>
      </c>
      <c r="H363" t="s">
        <v>23</v>
      </c>
      <c r="I363" t="s">
        <v>26</v>
      </c>
      <c r="J363" t="s">
        <v>855</v>
      </c>
      <c r="K363">
        <v>-12.26394</v>
      </c>
      <c r="L363">
        <v>-76.90898</v>
      </c>
      <c r="M363" t="str">
        <f>HYPERLINK("https://www.google.com/maps/search/?api=1&amp;query=-12.26394,-76.90898","Carretera Panamericana Sur, Lurín, Lima")</f>
        <v>Carretera Panamericana Sur, Lurín, Lima</v>
      </c>
      <c r="N363">
        <v>72.599999999999994</v>
      </c>
      <c r="O363">
        <v>100</v>
      </c>
      <c r="P363">
        <v>1664.8</v>
      </c>
      <c r="Q363" t="s">
        <v>856</v>
      </c>
      <c r="R363" t="s">
        <v>23</v>
      </c>
      <c r="S363" t="s">
        <v>23</v>
      </c>
      <c r="T363" t="s">
        <v>23</v>
      </c>
      <c r="U363" t="s">
        <v>23</v>
      </c>
    </row>
    <row r="364" spans="1:21" x14ac:dyDescent="0.25">
      <c r="A364" t="s">
        <v>857</v>
      </c>
      <c r="B364" t="s">
        <v>21</v>
      </c>
      <c r="C364" t="s">
        <v>22</v>
      </c>
      <c r="D364" t="s">
        <v>22</v>
      </c>
      <c r="E364" t="s">
        <v>23</v>
      </c>
      <c r="F364" t="s">
        <v>24</v>
      </c>
      <c r="G364" t="s">
        <v>25</v>
      </c>
      <c r="H364" t="s">
        <v>23</v>
      </c>
      <c r="I364" t="s">
        <v>26</v>
      </c>
      <c r="J364" t="s">
        <v>858</v>
      </c>
      <c r="K364">
        <v>-12.258003</v>
      </c>
      <c r="L364">
        <v>-76.918419999999998</v>
      </c>
      <c r="M364" t="str">
        <f>HYPERLINK("https://www.google.com/maps/search/?api=1&amp;query=-12.258003,-76.91842","Carretera Panamericana Sur, Lurín, Lima")</f>
        <v>Carretera Panamericana Sur, Lurín, Lima</v>
      </c>
      <c r="N364">
        <v>69.7</v>
      </c>
      <c r="O364">
        <v>100</v>
      </c>
      <c r="P364">
        <v>1666</v>
      </c>
      <c r="Q364" t="s">
        <v>859</v>
      </c>
      <c r="R364" t="s">
        <v>23</v>
      </c>
      <c r="S364" t="s">
        <v>23</v>
      </c>
      <c r="T364" t="s">
        <v>23</v>
      </c>
      <c r="U364" t="s">
        <v>23</v>
      </c>
    </row>
    <row r="365" spans="1:21" x14ac:dyDescent="0.25">
      <c r="A365" t="s">
        <v>860</v>
      </c>
      <c r="B365" t="s">
        <v>21</v>
      </c>
      <c r="C365" t="s">
        <v>22</v>
      </c>
      <c r="D365" t="s">
        <v>22</v>
      </c>
      <c r="E365" t="s">
        <v>23</v>
      </c>
      <c r="F365" t="s">
        <v>24</v>
      </c>
      <c r="G365" t="s">
        <v>25</v>
      </c>
      <c r="H365" t="s">
        <v>23</v>
      </c>
      <c r="I365" t="s">
        <v>26</v>
      </c>
      <c r="J365" t="s">
        <v>861</v>
      </c>
      <c r="K365">
        <v>-12.255367</v>
      </c>
      <c r="L365">
        <v>-76.920860000000005</v>
      </c>
      <c r="M365" t="str">
        <f>HYPERLINK("https://www.google.com/maps/search/?api=1&amp;query=-12.255367,-76.92086","Lurín, Lima")</f>
        <v>Lurín, Lima</v>
      </c>
      <c r="N365">
        <v>24.9</v>
      </c>
      <c r="O365">
        <v>100</v>
      </c>
      <c r="P365">
        <v>1667.2</v>
      </c>
      <c r="Q365" t="s">
        <v>862</v>
      </c>
      <c r="R365" t="s">
        <v>23</v>
      </c>
      <c r="S365" t="s">
        <v>23</v>
      </c>
      <c r="T365" t="s">
        <v>23</v>
      </c>
      <c r="U365" t="s">
        <v>23</v>
      </c>
    </row>
    <row r="366" spans="1:21" x14ac:dyDescent="0.25">
      <c r="A366" t="s">
        <v>863</v>
      </c>
      <c r="B366" t="s">
        <v>21</v>
      </c>
      <c r="C366" t="s">
        <v>22</v>
      </c>
      <c r="D366" t="s">
        <v>22</v>
      </c>
      <c r="E366" t="s">
        <v>23</v>
      </c>
      <c r="F366" t="s">
        <v>24</v>
      </c>
      <c r="G366" t="s">
        <v>25</v>
      </c>
      <c r="H366" t="s">
        <v>23</v>
      </c>
      <c r="I366" t="s">
        <v>26</v>
      </c>
      <c r="J366" t="s">
        <v>864</v>
      </c>
      <c r="K366">
        <v>-12.254315999999999</v>
      </c>
      <c r="L366">
        <v>-76.920180000000002</v>
      </c>
      <c r="M366" t="str">
        <f>HYPERLINK("https://www.google.com/maps/search/?api=1&amp;query=-12.254316,-76.92018","Antigua Panamericana Sur, Lurín, Lima")</f>
        <v>Antigua Panamericana Sur, Lurín, Lima</v>
      </c>
      <c r="N366">
        <v>0</v>
      </c>
      <c r="O366">
        <v>100</v>
      </c>
      <c r="P366">
        <v>1667.2</v>
      </c>
      <c r="Q366" t="s">
        <v>862</v>
      </c>
      <c r="R366" t="s">
        <v>23</v>
      </c>
      <c r="S366" t="s">
        <v>23</v>
      </c>
      <c r="T366" t="s">
        <v>23</v>
      </c>
      <c r="U366" t="s">
        <v>23</v>
      </c>
    </row>
    <row r="367" spans="1:21" x14ac:dyDescent="0.25">
      <c r="A367" t="s">
        <v>865</v>
      </c>
      <c r="B367" t="s">
        <v>21</v>
      </c>
      <c r="C367" t="s">
        <v>22</v>
      </c>
      <c r="D367" t="s">
        <v>22</v>
      </c>
      <c r="E367" t="s">
        <v>23</v>
      </c>
      <c r="F367" t="s">
        <v>24</v>
      </c>
      <c r="G367" t="s">
        <v>25</v>
      </c>
      <c r="H367" t="s">
        <v>23</v>
      </c>
      <c r="I367" t="s">
        <v>26</v>
      </c>
      <c r="J367" t="s">
        <v>866</v>
      </c>
      <c r="K367">
        <v>-12.254308999999999</v>
      </c>
      <c r="L367">
        <v>-76.920190000000005</v>
      </c>
      <c r="M367" t="str">
        <f>HYPERLINK("https://www.google.com/maps/search/?api=1&amp;query=-12.254309,-76.92019","Antigua Panamericana Sur, Lurín, Lima")</f>
        <v>Antigua Panamericana Sur, Lurín, Lima</v>
      </c>
      <c r="N367">
        <v>9.6</v>
      </c>
      <c r="O367">
        <v>100</v>
      </c>
      <c r="P367">
        <v>1667.2</v>
      </c>
      <c r="Q367" t="s">
        <v>862</v>
      </c>
      <c r="R367" t="s">
        <v>23</v>
      </c>
      <c r="S367" t="s">
        <v>23</v>
      </c>
      <c r="T367" t="s">
        <v>23</v>
      </c>
      <c r="U367" t="s">
        <v>23</v>
      </c>
    </row>
    <row r="368" spans="1:21" x14ac:dyDescent="0.25">
      <c r="A368" t="s">
        <v>867</v>
      </c>
      <c r="B368" t="s">
        <v>21</v>
      </c>
      <c r="C368" t="s">
        <v>22</v>
      </c>
      <c r="D368" t="s">
        <v>22</v>
      </c>
      <c r="E368" t="s">
        <v>23</v>
      </c>
      <c r="F368" t="s">
        <v>24</v>
      </c>
      <c r="G368" t="s">
        <v>25</v>
      </c>
      <c r="H368" t="s">
        <v>23</v>
      </c>
      <c r="I368" t="s">
        <v>26</v>
      </c>
      <c r="J368" t="s">
        <v>868</v>
      </c>
      <c r="K368">
        <v>-12.254203</v>
      </c>
      <c r="L368">
        <v>-76.920519999999996</v>
      </c>
      <c r="M368" t="str">
        <f>HYPERLINK("https://www.google.com/maps/search/?api=1&amp;query=-12.254203,-76.92052","Antigua Panamericana Sur, Lurín, Lima")</f>
        <v>Antigua Panamericana Sur, Lurín, Lima</v>
      </c>
      <c r="N368">
        <v>20.399999999999999</v>
      </c>
      <c r="O368">
        <v>100</v>
      </c>
      <c r="P368">
        <v>1667.2</v>
      </c>
      <c r="Q368" t="s">
        <v>862</v>
      </c>
      <c r="R368" t="s">
        <v>23</v>
      </c>
      <c r="S368" t="s">
        <v>23</v>
      </c>
      <c r="T368" t="s">
        <v>23</v>
      </c>
      <c r="U368" t="s">
        <v>23</v>
      </c>
    </row>
    <row r="369" spans="1:21" x14ac:dyDescent="0.25">
      <c r="A369" t="s">
        <v>869</v>
      </c>
      <c r="B369" t="s">
        <v>21</v>
      </c>
      <c r="C369" t="s">
        <v>22</v>
      </c>
      <c r="D369" t="s">
        <v>22</v>
      </c>
      <c r="E369" t="s">
        <v>23</v>
      </c>
      <c r="F369" t="s">
        <v>24</v>
      </c>
      <c r="G369" t="s">
        <v>25</v>
      </c>
      <c r="H369" t="s">
        <v>23</v>
      </c>
      <c r="I369" t="s">
        <v>26</v>
      </c>
      <c r="J369" t="s">
        <v>870</v>
      </c>
      <c r="K369">
        <v>-12.253734</v>
      </c>
      <c r="L369">
        <v>-76.923873999999998</v>
      </c>
      <c r="M369" t="str">
        <f>HYPERLINK("https://www.google.com/maps/search/?api=1&amp;query=-12.253734,-76.923874","Antigua Panamericana Sur, Lurín, Lima")</f>
        <v>Antigua Panamericana Sur, Lurín, Lima</v>
      </c>
      <c r="N369">
        <v>32.9</v>
      </c>
      <c r="O369">
        <v>100</v>
      </c>
      <c r="P369">
        <v>1667.8</v>
      </c>
      <c r="Q369" t="s">
        <v>862</v>
      </c>
      <c r="R369" t="s">
        <v>23</v>
      </c>
      <c r="S369" t="s">
        <v>23</v>
      </c>
      <c r="T369" t="s">
        <v>23</v>
      </c>
      <c r="U369" t="s">
        <v>23</v>
      </c>
    </row>
    <row r="370" spans="1:21" x14ac:dyDescent="0.25">
      <c r="A370" t="s">
        <v>871</v>
      </c>
      <c r="B370" t="s">
        <v>21</v>
      </c>
      <c r="C370" t="s">
        <v>22</v>
      </c>
      <c r="D370" t="s">
        <v>22</v>
      </c>
      <c r="E370" t="s">
        <v>23</v>
      </c>
      <c r="F370" t="s">
        <v>24</v>
      </c>
      <c r="G370" t="s">
        <v>25</v>
      </c>
      <c r="H370" t="s">
        <v>23</v>
      </c>
      <c r="I370" t="s">
        <v>26</v>
      </c>
      <c r="J370" t="s">
        <v>872</v>
      </c>
      <c r="K370">
        <v>-12.250513</v>
      </c>
      <c r="L370">
        <v>-76.929910000000007</v>
      </c>
      <c r="M370" t="str">
        <f>HYPERLINK("https://www.google.com/maps/search/?api=1&amp;query=-12.250513,-76.92991","Antigua Panamericana Sur, Villa El Salvador, Lima")</f>
        <v>Antigua Panamericana Sur, Villa El Salvador, Lima</v>
      </c>
      <c r="N370">
        <v>30.2</v>
      </c>
      <c r="O370">
        <v>100</v>
      </c>
      <c r="P370">
        <v>1668.2</v>
      </c>
      <c r="Q370" t="s">
        <v>873</v>
      </c>
      <c r="R370" t="s">
        <v>23</v>
      </c>
      <c r="S370" t="s">
        <v>23</v>
      </c>
      <c r="T370" t="s">
        <v>23</v>
      </c>
      <c r="U370" t="s">
        <v>23</v>
      </c>
    </row>
    <row r="371" spans="1:21" x14ac:dyDescent="0.25">
      <c r="A371" t="s">
        <v>874</v>
      </c>
      <c r="B371" t="s">
        <v>21</v>
      </c>
      <c r="C371" t="s">
        <v>22</v>
      </c>
      <c r="D371" t="s">
        <v>22</v>
      </c>
      <c r="E371" t="s">
        <v>23</v>
      </c>
      <c r="F371" t="s">
        <v>24</v>
      </c>
      <c r="G371" t="s">
        <v>25</v>
      </c>
      <c r="H371" t="s">
        <v>23</v>
      </c>
      <c r="I371" t="s">
        <v>26</v>
      </c>
      <c r="J371" t="s">
        <v>875</v>
      </c>
      <c r="K371">
        <v>-12.248170999999999</v>
      </c>
      <c r="L371">
        <v>-76.932950000000005</v>
      </c>
      <c r="M371" t="str">
        <f>HYPERLINK("https://www.google.com/maps/search/?api=1&amp;query=-12.248171,-76.93295","Antigua Panamericana Sur, Villa El Salvador, Lima")</f>
        <v>Antigua Panamericana Sur, Villa El Salvador, Lima</v>
      </c>
      <c r="N371">
        <v>16.100000000000001</v>
      </c>
      <c r="O371">
        <v>100</v>
      </c>
      <c r="P371">
        <v>1669</v>
      </c>
      <c r="Q371" t="s">
        <v>876</v>
      </c>
      <c r="R371" t="s">
        <v>23</v>
      </c>
      <c r="S371" t="s">
        <v>23</v>
      </c>
      <c r="T371" t="s">
        <v>23</v>
      </c>
      <c r="U371" t="s">
        <v>23</v>
      </c>
    </row>
    <row r="372" spans="1:21" x14ac:dyDescent="0.25">
      <c r="A372" t="s">
        <v>877</v>
      </c>
      <c r="B372" t="s">
        <v>21</v>
      </c>
      <c r="C372" t="s">
        <v>22</v>
      </c>
      <c r="D372" t="s">
        <v>22</v>
      </c>
      <c r="E372" t="s">
        <v>23</v>
      </c>
      <c r="F372" t="s">
        <v>24</v>
      </c>
      <c r="G372" t="s">
        <v>25</v>
      </c>
      <c r="H372" t="s">
        <v>23</v>
      </c>
      <c r="I372" t="s">
        <v>26</v>
      </c>
      <c r="J372" t="s">
        <v>878</v>
      </c>
      <c r="K372">
        <v>-12.245699</v>
      </c>
      <c r="L372">
        <v>-76.937049999999999</v>
      </c>
      <c r="M372" t="str">
        <f>HYPERLINK("https://www.google.com/maps/search/?api=1&amp;query=-12.245699,-76.93705","Antigua Panamericana Sur, Villa El Salvador, Lima")</f>
        <v>Antigua Panamericana Sur, Villa El Salvador, Lima</v>
      </c>
      <c r="N372">
        <v>37.1</v>
      </c>
      <c r="O372">
        <v>100</v>
      </c>
      <c r="P372">
        <v>1669.4</v>
      </c>
      <c r="Q372" t="s">
        <v>876</v>
      </c>
      <c r="R372" t="s">
        <v>23</v>
      </c>
      <c r="S372" t="s">
        <v>23</v>
      </c>
      <c r="T372" t="s">
        <v>23</v>
      </c>
      <c r="U372" t="s">
        <v>23</v>
      </c>
    </row>
    <row r="373" spans="1:21" x14ac:dyDescent="0.25">
      <c r="A373" t="s">
        <v>879</v>
      </c>
      <c r="B373" t="s">
        <v>21</v>
      </c>
      <c r="C373" t="s">
        <v>22</v>
      </c>
      <c r="D373" t="s">
        <v>22</v>
      </c>
      <c r="E373" t="s">
        <v>23</v>
      </c>
      <c r="F373" t="s">
        <v>24</v>
      </c>
      <c r="G373" t="s">
        <v>25</v>
      </c>
      <c r="H373" t="s">
        <v>23</v>
      </c>
      <c r="I373" t="s">
        <v>26</v>
      </c>
      <c r="J373" t="s">
        <v>880</v>
      </c>
      <c r="K373">
        <v>-12.242891999999999</v>
      </c>
      <c r="L373">
        <v>-76.942480000000003</v>
      </c>
      <c r="M373" t="str">
        <f>HYPERLINK("https://www.google.com/maps/search/?api=1&amp;query=-12.242892,-76.94248","Antigua Panamericana Sur, Villa El Salvador, Lima")</f>
        <v>Antigua Panamericana Sur, Villa El Salvador, Lima</v>
      </c>
      <c r="N373">
        <v>31.3</v>
      </c>
      <c r="O373">
        <v>100</v>
      </c>
      <c r="P373">
        <v>1669.9</v>
      </c>
      <c r="Q373" t="s">
        <v>881</v>
      </c>
      <c r="R373" t="s">
        <v>23</v>
      </c>
      <c r="S373" t="s">
        <v>23</v>
      </c>
      <c r="T373" t="s">
        <v>23</v>
      </c>
      <c r="U373" t="s">
        <v>23</v>
      </c>
    </row>
    <row r="374" spans="1:21" x14ac:dyDescent="0.25">
      <c r="A374" t="s">
        <v>882</v>
      </c>
      <c r="B374" t="s">
        <v>21</v>
      </c>
      <c r="C374" t="s">
        <v>22</v>
      </c>
      <c r="D374" t="s">
        <v>22</v>
      </c>
      <c r="E374" t="s">
        <v>23</v>
      </c>
      <c r="F374" t="s">
        <v>24</v>
      </c>
      <c r="G374" t="s">
        <v>25</v>
      </c>
      <c r="H374" t="s">
        <v>23</v>
      </c>
      <c r="I374" t="s">
        <v>26</v>
      </c>
      <c r="J374" t="s">
        <v>883</v>
      </c>
      <c r="K374">
        <v>-12.240679</v>
      </c>
      <c r="L374">
        <v>-76.946749999999994</v>
      </c>
      <c r="M374" t="str">
        <f>HYPERLINK("https://www.google.com/maps/search/?api=1&amp;query=-12.240679,-76.94675","Antigua Panamericana Sur, Villa El Salvador, Lima")</f>
        <v>Antigua Panamericana Sur, Villa El Salvador, Lima</v>
      </c>
      <c r="N374">
        <v>46.9</v>
      </c>
      <c r="O374">
        <v>100</v>
      </c>
      <c r="P374">
        <v>1670.6</v>
      </c>
      <c r="Q374" t="s">
        <v>881</v>
      </c>
      <c r="R374" t="s">
        <v>23</v>
      </c>
      <c r="S374" t="s">
        <v>23</v>
      </c>
      <c r="T374" t="s">
        <v>23</v>
      </c>
      <c r="U374" t="s">
        <v>23</v>
      </c>
    </row>
    <row r="375" spans="1:21" x14ac:dyDescent="0.25">
      <c r="A375" t="s">
        <v>884</v>
      </c>
      <c r="B375" t="s">
        <v>21</v>
      </c>
      <c r="C375" t="s">
        <v>22</v>
      </c>
      <c r="D375" t="s">
        <v>22</v>
      </c>
      <c r="E375" t="s">
        <v>23</v>
      </c>
      <c r="F375" t="s">
        <v>24</v>
      </c>
      <c r="G375" t="s">
        <v>25</v>
      </c>
      <c r="H375" t="s">
        <v>23</v>
      </c>
      <c r="I375" t="s">
        <v>26</v>
      </c>
      <c r="J375" t="s">
        <v>885</v>
      </c>
      <c r="K375">
        <v>-12.237333</v>
      </c>
      <c r="L375">
        <v>-76.95335</v>
      </c>
      <c r="M375" t="str">
        <f>HYPERLINK("https://www.google.com/maps/search/?api=1&amp;query=-12.237333,-76.95335","Antigua Panamericana Sur, Villa El Salvador, Lima")</f>
        <v>Antigua Panamericana Sur, Villa El Salvador, Lima</v>
      </c>
      <c r="N375">
        <v>35.299999999999997</v>
      </c>
      <c r="O375">
        <v>100</v>
      </c>
      <c r="P375">
        <v>1671.1</v>
      </c>
      <c r="Q375" t="s">
        <v>886</v>
      </c>
      <c r="R375" t="s">
        <v>23</v>
      </c>
      <c r="S375" t="s">
        <v>23</v>
      </c>
      <c r="T375" t="s">
        <v>23</v>
      </c>
      <c r="U375" t="s">
        <v>23</v>
      </c>
    </row>
    <row r="376" spans="1:21" x14ac:dyDescent="0.25">
      <c r="A376" t="s">
        <v>887</v>
      </c>
      <c r="B376" t="s">
        <v>21</v>
      </c>
      <c r="C376" t="s">
        <v>22</v>
      </c>
      <c r="D376" t="s">
        <v>22</v>
      </c>
      <c r="E376" t="s">
        <v>23</v>
      </c>
      <c r="F376" t="s">
        <v>24</v>
      </c>
      <c r="G376" t="s">
        <v>25</v>
      </c>
      <c r="H376" t="s">
        <v>23</v>
      </c>
      <c r="I376" t="s">
        <v>26</v>
      </c>
      <c r="J376" t="s">
        <v>888</v>
      </c>
      <c r="K376">
        <v>-12.235075999999999</v>
      </c>
      <c r="L376">
        <v>-76.957560000000001</v>
      </c>
      <c r="M376" t="str">
        <f>HYPERLINK("https://www.google.com/maps/search/?api=1&amp;query=-12.235076,-76.95756","Antigua Panamericana Sur, Villa El Salvador, Lima")</f>
        <v>Antigua Panamericana Sur, Villa El Salvador, Lima</v>
      </c>
      <c r="N376">
        <v>38.6</v>
      </c>
      <c r="O376">
        <v>100</v>
      </c>
      <c r="P376">
        <v>1672</v>
      </c>
      <c r="Q376" t="s">
        <v>889</v>
      </c>
      <c r="R376" t="s">
        <v>23</v>
      </c>
      <c r="S376" t="s">
        <v>23</v>
      </c>
      <c r="T376" t="s">
        <v>23</v>
      </c>
      <c r="U376" t="s">
        <v>23</v>
      </c>
    </row>
    <row r="377" spans="1:21" x14ac:dyDescent="0.25">
      <c r="A377" t="s">
        <v>890</v>
      </c>
      <c r="B377" t="s">
        <v>21</v>
      </c>
      <c r="C377" t="s">
        <v>22</v>
      </c>
      <c r="D377" t="s">
        <v>22</v>
      </c>
      <c r="E377" t="s">
        <v>23</v>
      </c>
      <c r="F377" t="s">
        <v>24</v>
      </c>
      <c r="G377" t="s">
        <v>25</v>
      </c>
      <c r="H377" t="s">
        <v>23</v>
      </c>
      <c r="I377" t="s">
        <v>26</v>
      </c>
      <c r="J377" t="s">
        <v>891</v>
      </c>
      <c r="K377">
        <v>-12.232906</v>
      </c>
      <c r="L377">
        <v>-76.961780000000005</v>
      </c>
      <c r="M377" t="str">
        <f>HYPERLINK("https://www.google.com/maps/search/?api=1&amp;query=-12.232906,-76.96178","Antigua Panamericana Sur, Villa El Salvador, Lima")</f>
        <v>Antigua Panamericana Sur, Villa El Salvador, Lima</v>
      </c>
      <c r="N377">
        <v>39.200000000000003</v>
      </c>
      <c r="O377">
        <v>100</v>
      </c>
      <c r="P377">
        <v>1673</v>
      </c>
      <c r="Q377" t="s">
        <v>892</v>
      </c>
      <c r="R377" t="s">
        <v>23</v>
      </c>
      <c r="S377" t="s">
        <v>23</v>
      </c>
      <c r="T377" t="s">
        <v>23</v>
      </c>
      <c r="U377" t="s">
        <v>23</v>
      </c>
    </row>
    <row r="378" spans="1:21" x14ac:dyDescent="0.25">
      <c r="A378" t="s">
        <v>893</v>
      </c>
      <c r="B378" t="s">
        <v>21</v>
      </c>
      <c r="C378" t="s">
        <v>22</v>
      </c>
      <c r="D378" t="s">
        <v>22</v>
      </c>
      <c r="E378" t="s">
        <v>23</v>
      </c>
      <c r="F378" t="s">
        <v>24</v>
      </c>
      <c r="G378" t="s">
        <v>25</v>
      </c>
      <c r="H378" t="s">
        <v>23</v>
      </c>
      <c r="I378" t="s">
        <v>26</v>
      </c>
      <c r="J378" t="s">
        <v>894</v>
      </c>
      <c r="K378">
        <v>-12.229577000000001</v>
      </c>
      <c r="L378">
        <v>-76.967269999999999</v>
      </c>
      <c r="M378" t="str">
        <f>HYPERLINK("https://www.google.com/maps/search/?api=1&amp;query=-12.229577,-76.96727","Antigua Panamericana Sur, Villa El Salvador, Lima")</f>
        <v>Antigua Panamericana Sur, Villa El Salvador, Lima</v>
      </c>
      <c r="N378">
        <v>54.1</v>
      </c>
      <c r="O378">
        <v>100</v>
      </c>
      <c r="P378">
        <v>1673</v>
      </c>
      <c r="Q378" t="s">
        <v>892</v>
      </c>
      <c r="R378" t="s">
        <v>23</v>
      </c>
      <c r="S378" t="s">
        <v>23</v>
      </c>
      <c r="T378" t="s">
        <v>23</v>
      </c>
      <c r="U378" t="s">
        <v>23</v>
      </c>
    </row>
    <row r="379" spans="1:21" x14ac:dyDescent="0.25">
      <c r="A379" t="s">
        <v>895</v>
      </c>
      <c r="B379" t="s">
        <v>21</v>
      </c>
      <c r="C379" t="s">
        <v>22</v>
      </c>
      <c r="D379" t="s">
        <v>22</v>
      </c>
      <c r="E379" t="s">
        <v>23</v>
      </c>
      <c r="F379" t="s">
        <v>24</v>
      </c>
      <c r="G379" t="s">
        <v>25</v>
      </c>
      <c r="H379" t="s">
        <v>23</v>
      </c>
      <c r="I379" t="s">
        <v>26</v>
      </c>
      <c r="J379" t="s">
        <v>896</v>
      </c>
      <c r="K379">
        <v>-12.228795</v>
      </c>
      <c r="L379">
        <v>-76.967995000000002</v>
      </c>
      <c r="M379" t="str">
        <f>HYPERLINK("https://www.google.com/maps/search/?api=1&amp;query=-12.228795,-76.967995","Antigua Panamericana Sur, Villa El Salvador, Lima")</f>
        <v>Antigua Panamericana Sur, Villa El Salvador, Lima</v>
      </c>
      <c r="N379">
        <v>28.2</v>
      </c>
      <c r="O379">
        <v>100</v>
      </c>
      <c r="P379">
        <v>1673</v>
      </c>
      <c r="Q379" t="s">
        <v>892</v>
      </c>
      <c r="R379" t="s">
        <v>23</v>
      </c>
      <c r="S379" t="s">
        <v>23</v>
      </c>
      <c r="T379" t="s">
        <v>23</v>
      </c>
      <c r="U379" t="s">
        <v>23</v>
      </c>
    </row>
    <row r="380" spans="1:21" x14ac:dyDescent="0.25">
      <c r="A380" t="s">
        <v>897</v>
      </c>
      <c r="B380" t="s">
        <v>21</v>
      </c>
      <c r="C380" t="s">
        <v>22</v>
      </c>
      <c r="D380" t="s">
        <v>22</v>
      </c>
      <c r="E380" t="s">
        <v>23</v>
      </c>
      <c r="F380" t="s">
        <v>24</v>
      </c>
      <c r="G380" t="s">
        <v>25</v>
      </c>
      <c r="H380" t="s">
        <v>23</v>
      </c>
      <c r="I380" t="s">
        <v>26</v>
      </c>
      <c r="J380" t="s">
        <v>898</v>
      </c>
      <c r="K380">
        <v>-12.22528</v>
      </c>
      <c r="L380">
        <v>-76.971440000000001</v>
      </c>
      <c r="M380" t="str">
        <f>HYPERLINK("https://www.google.com/maps/search/?api=1&amp;query=-12.22528,-76.97144","Antigua Panamericana Sur, Villa El Salvador, Lima")</f>
        <v>Antigua Panamericana Sur, Villa El Salvador, Lima</v>
      </c>
      <c r="N380">
        <v>24.1</v>
      </c>
      <c r="O380">
        <v>100</v>
      </c>
      <c r="P380">
        <v>1673.8</v>
      </c>
      <c r="Q380" t="s">
        <v>899</v>
      </c>
      <c r="R380" t="s">
        <v>23</v>
      </c>
      <c r="S380" t="s">
        <v>23</v>
      </c>
      <c r="T380" t="s">
        <v>23</v>
      </c>
      <c r="U380" t="s">
        <v>23</v>
      </c>
    </row>
    <row r="381" spans="1:21" x14ac:dyDescent="0.25">
      <c r="A381" t="s">
        <v>900</v>
      </c>
      <c r="B381" t="s">
        <v>21</v>
      </c>
      <c r="C381" t="s">
        <v>22</v>
      </c>
      <c r="D381" t="s">
        <v>22</v>
      </c>
      <c r="E381" t="s">
        <v>23</v>
      </c>
      <c r="F381" t="s">
        <v>24</v>
      </c>
      <c r="G381" t="s">
        <v>25</v>
      </c>
      <c r="H381" t="s">
        <v>23</v>
      </c>
      <c r="I381" t="s">
        <v>26</v>
      </c>
      <c r="J381" t="s">
        <v>901</v>
      </c>
      <c r="K381">
        <v>-12.222246999999999</v>
      </c>
      <c r="L381">
        <v>-76.974320000000006</v>
      </c>
      <c r="M381" t="str">
        <f>HYPERLINK("https://www.google.com/maps/search/?api=1&amp;query=-12.222247,-76.97432","Avenida El Sol, Villa El Salvador, Lima")</f>
        <v>Avenida El Sol, Villa El Salvador, Lima</v>
      </c>
      <c r="N381">
        <v>9.1999999999999993</v>
      </c>
      <c r="O381">
        <v>100</v>
      </c>
      <c r="P381">
        <v>1674.4</v>
      </c>
      <c r="Q381" t="s">
        <v>902</v>
      </c>
      <c r="R381" t="s">
        <v>23</v>
      </c>
      <c r="S381" t="s">
        <v>23</v>
      </c>
      <c r="T381" t="s">
        <v>23</v>
      </c>
      <c r="U381" t="s">
        <v>23</v>
      </c>
    </row>
    <row r="382" spans="1:21" x14ac:dyDescent="0.25">
      <c r="A382" t="s">
        <v>903</v>
      </c>
      <c r="B382" t="s">
        <v>21</v>
      </c>
      <c r="C382" t="s">
        <v>22</v>
      </c>
      <c r="D382" t="s">
        <v>22</v>
      </c>
      <c r="E382" t="s">
        <v>23</v>
      </c>
      <c r="F382" t="s">
        <v>24</v>
      </c>
      <c r="G382" t="s">
        <v>25</v>
      </c>
      <c r="H382" t="s">
        <v>23</v>
      </c>
      <c r="I382" t="s">
        <v>26</v>
      </c>
      <c r="J382" t="s">
        <v>904</v>
      </c>
      <c r="K382">
        <v>-12.222170999999999</v>
      </c>
      <c r="L382">
        <v>-76.974260000000001</v>
      </c>
      <c r="M382" t="str">
        <f>HYPERLINK("https://www.google.com/maps/search/?api=1&amp;query=-12.222171,-76.97426","Avenida El Sol, Villa El Salvador, Lima")</f>
        <v>Avenida El Sol, Villa El Salvador, Lima</v>
      </c>
      <c r="N382">
        <v>15</v>
      </c>
      <c r="O382">
        <v>100</v>
      </c>
      <c r="P382">
        <v>1674.4</v>
      </c>
      <c r="Q382" t="s">
        <v>902</v>
      </c>
      <c r="R382" t="s">
        <v>23</v>
      </c>
      <c r="S382" t="s">
        <v>23</v>
      </c>
      <c r="T382" t="s">
        <v>23</v>
      </c>
      <c r="U382" t="s">
        <v>23</v>
      </c>
    </row>
    <row r="383" spans="1:21" x14ac:dyDescent="0.25">
      <c r="A383" t="s">
        <v>905</v>
      </c>
      <c r="B383" t="s">
        <v>21</v>
      </c>
      <c r="C383" t="s">
        <v>22</v>
      </c>
      <c r="D383" t="s">
        <v>22</v>
      </c>
      <c r="E383" t="s">
        <v>23</v>
      </c>
      <c r="F383" t="s">
        <v>24</v>
      </c>
      <c r="G383" t="s">
        <v>25</v>
      </c>
      <c r="H383" t="s">
        <v>23</v>
      </c>
      <c r="I383" t="s">
        <v>26</v>
      </c>
      <c r="J383" t="s">
        <v>906</v>
      </c>
      <c r="K383">
        <v>-12.222102</v>
      </c>
      <c r="L383">
        <v>-76.974159999999998</v>
      </c>
      <c r="M383" t="str">
        <f>HYPERLINK("https://www.google.com/maps/search/?api=1&amp;query=-12.222102,-76.97416","Avenida El Sol, Villa El Salvador, Lima")</f>
        <v>Avenida El Sol, Villa El Salvador, Lima</v>
      </c>
      <c r="N383">
        <v>14.4</v>
      </c>
      <c r="O383">
        <v>100</v>
      </c>
      <c r="P383">
        <v>1674.4</v>
      </c>
      <c r="Q383" t="s">
        <v>902</v>
      </c>
      <c r="R383" t="s">
        <v>23</v>
      </c>
      <c r="S383" t="s">
        <v>23</v>
      </c>
      <c r="T383" t="s">
        <v>23</v>
      </c>
      <c r="U383" t="s">
        <v>23</v>
      </c>
    </row>
    <row r="384" spans="1:21" x14ac:dyDescent="0.25">
      <c r="A384" t="s">
        <v>907</v>
      </c>
      <c r="B384" t="s">
        <v>21</v>
      </c>
      <c r="C384" t="s">
        <v>22</v>
      </c>
      <c r="D384" t="s">
        <v>22</v>
      </c>
      <c r="E384" t="s">
        <v>23</v>
      </c>
      <c r="F384" t="s">
        <v>24</v>
      </c>
      <c r="G384" t="s">
        <v>25</v>
      </c>
      <c r="H384" t="s">
        <v>23</v>
      </c>
      <c r="I384" t="s">
        <v>26</v>
      </c>
      <c r="J384" t="s">
        <v>908</v>
      </c>
      <c r="K384">
        <v>-12.220357999999999</v>
      </c>
      <c r="L384">
        <v>-76.972369999999998</v>
      </c>
      <c r="M384" t="str">
        <f>HYPERLINK("https://www.google.com/maps/search/?api=1&amp;query=-12.220358,-76.97237","Avenida El Sol, Villa El Salvador, Lima")</f>
        <v>Avenida El Sol, Villa El Salvador, Lima</v>
      </c>
      <c r="N384">
        <v>12.9</v>
      </c>
      <c r="O384">
        <v>100</v>
      </c>
      <c r="P384">
        <v>1674.9</v>
      </c>
      <c r="Q384" t="s">
        <v>902</v>
      </c>
      <c r="R384" t="s">
        <v>23</v>
      </c>
      <c r="S384" t="s">
        <v>23</v>
      </c>
      <c r="T384" t="s">
        <v>23</v>
      </c>
      <c r="U384" t="s">
        <v>23</v>
      </c>
    </row>
    <row r="385" spans="1:21" x14ac:dyDescent="0.25">
      <c r="A385" t="s">
        <v>909</v>
      </c>
      <c r="B385" t="s">
        <v>21</v>
      </c>
      <c r="C385" t="s">
        <v>22</v>
      </c>
      <c r="D385" t="s">
        <v>22</v>
      </c>
      <c r="E385" t="s">
        <v>23</v>
      </c>
      <c r="F385" t="s">
        <v>24</v>
      </c>
      <c r="G385" t="s">
        <v>25</v>
      </c>
      <c r="H385" t="s">
        <v>23</v>
      </c>
      <c r="I385" t="s">
        <v>26</v>
      </c>
      <c r="J385" t="s">
        <v>910</v>
      </c>
      <c r="K385">
        <v>-12.218812</v>
      </c>
      <c r="L385">
        <v>-76.970759999999999</v>
      </c>
      <c r="M385" t="str">
        <f>HYPERLINK("https://www.google.com/maps/search/?api=1&amp;query=-12.218812,-76.97076","Avenida El Sol, Villa El Salvador, Lima")</f>
        <v>Avenida El Sol, Villa El Salvador, Lima</v>
      </c>
      <c r="N385">
        <v>15</v>
      </c>
      <c r="O385">
        <v>100</v>
      </c>
      <c r="P385">
        <v>1675.2</v>
      </c>
      <c r="Q385" t="s">
        <v>902</v>
      </c>
      <c r="R385" t="s">
        <v>23</v>
      </c>
      <c r="S385" t="s">
        <v>23</v>
      </c>
      <c r="T385" t="s">
        <v>23</v>
      </c>
      <c r="U385" t="s">
        <v>23</v>
      </c>
    </row>
    <row r="386" spans="1:21" x14ac:dyDescent="0.25">
      <c r="A386" t="s">
        <v>911</v>
      </c>
      <c r="B386" t="s">
        <v>21</v>
      </c>
      <c r="C386" t="s">
        <v>22</v>
      </c>
      <c r="D386" t="s">
        <v>22</v>
      </c>
      <c r="E386" t="s">
        <v>23</v>
      </c>
      <c r="F386" t="s">
        <v>24</v>
      </c>
      <c r="G386" t="s">
        <v>25</v>
      </c>
      <c r="H386" t="s">
        <v>23</v>
      </c>
      <c r="I386" t="s">
        <v>26</v>
      </c>
      <c r="J386" t="s">
        <v>912</v>
      </c>
      <c r="K386">
        <v>-12.216956</v>
      </c>
      <c r="L386">
        <v>-76.968795999999998</v>
      </c>
      <c r="M386" t="str">
        <f>HYPERLINK("https://www.google.com/maps/search/?api=1&amp;query=-12.216956,-76.968796","Avenida El Sol, Villa El Salvador, Lima")</f>
        <v>Avenida El Sol, Villa El Salvador, Lima</v>
      </c>
      <c r="N386">
        <v>9.1999999999999993</v>
      </c>
      <c r="O386">
        <v>100</v>
      </c>
      <c r="P386">
        <v>1675.4</v>
      </c>
      <c r="Q386" t="s">
        <v>913</v>
      </c>
      <c r="R386" t="s">
        <v>23</v>
      </c>
      <c r="S386" t="s">
        <v>23</v>
      </c>
      <c r="T386" t="s">
        <v>23</v>
      </c>
      <c r="U386" t="s">
        <v>23</v>
      </c>
    </row>
    <row r="387" spans="1:21" x14ac:dyDescent="0.25">
      <c r="A387" t="s">
        <v>914</v>
      </c>
      <c r="B387" t="s">
        <v>21</v>
      </c>
      <c r="C387" t="s">
        <v>22</v>
      </c>
      <c r="D387" t="s">
        <v>22</v>
      </c>
      <c r="E387" t="s">
        <v>23</v>
      </c>
      <c r="F387" t="s">
        <v>24</v>
      </c>
      <c r="G387" t="s">
        <v>25</v>
      </c>
      <c r="H387" t="s">
        <v>23</v>
      </c>
      <c r="I387" t="s">
        <v>26</v>
      </c>
      <c r="J387" t="s">
        <v>915</v>
      </c>
      <c r="K387">
        <v>-12.213198</v>
      </c>
      <c r="L387">
        <v>-76.965410000000006</v>
      </c>
      <c r="M387" t="str">
        <f>HYPERLINK("https://www.google.com/maps/search/?api=1&amp;query=-12.213198,-76.96541","Avenida El Sol, Villa El Salvador, Lima")</f>
        <v>Avenida El Sol, Villa El Salvador, Lima</v>
      </c>
      <c r="N387">
        <v>30.7</v>
      </c>
      <c r="O387">
        <v>100</v>
      </c>
      <c r="P387">
        <v>1675.7</v>
      </c>
      <c r="Q387" t="s">
        <v>916</v>
      </c>
      <c r="R387" t="s">
        <v>23</v>
      </c>
      <c r="S387" t="s">
        <v>23</v>
      </c>
      <c r="T387" t="s">
        <v>23</v>
      </c>
      <c r="U387" t="s">
        <v>23</v>
      </c>
    </row>
    <row r="388" spans="1:21" x14ac:dyDescent="0.25">
      <c r="A388" t="s">
        <v>917</v>
      </c>
      <c r="B388" t="s">
        <v>21</v>
      </c>
      <c r="C388" t="s">
        <v>22</v>
      </c>
      <c r="D388" t="s">
        <v>22</v>
      </c>
      <c r="E388" t="s">
        <v>23</v>
      </c>
      <c r="F388" t="s">
        <v>24</v>
      </c>
      <c r="G388" t="s">
        <v>25</v>
      </c>
      <c r="H388" t="s">
        <v>23</v>
      </c>
      <c r="I388" t="s">
        <v>26</v>
      </c>
      <c r="J388" t="s">
        <v>918</v>
      </c>
      <c r="K388">
        <v>-12.211276</v>
      </c>
      <c r="L388">
        <v>-76.961950000000002</v>
      </c>
      <c r="M388" t="str">
        <f>HYPERLINK("https://www.google.com/maps/search/?api=1&amp;query=-12.211276,-76.96195","Calle 1, Villa El Salvador, Lima")</f>
        <v>Calle 1, Villa El Salvador, Lima</v>
      </c>
      <c r="N388">
        <v>4.3</v>
      </c>
      <c r="O388">
        <v>100</v>
      </c>
      <c r="P388">
        <v>1676.3</v>
      </c>
      <c r="Q388" t="s">
        <v>919</v>
      </c>
      <c r="R388" t="s">
        <v>23</v>
      </c>
      <c r="S388" t="s">
        <v>23</v>
      </c>
      <c r="T388" t="s">
        <v>23</v>
      </c>
      <c r="U388" t="s">
        <v>23</v>
      </c>
    </row>
    <row r="389" spans="1:21" x14ac:dyDescent="0.25">
      <c r="A389" t="s">
        <v>920</v>
      </c>
      <c r="B389" t="s">
        <v>21</v>
      </c>
      <c r="C389" t="s">
        <v>22</v>
      </c>
      <c r="D389" t="s">
        <v>22</v>
      </c>
      <c r="E389" t="s">
        <v>23</v>
      </c>
      <c r="F389" t="s">
        <v>24</v>
      </c>
      <c r="G389" t="s">
        <v>25</v>
      </c>
      <c r="H389" t="s">
        <v>23</v>
      </c>
      <c r="I389" t="s">
        <v>26</v>
      </c>
      <c r="J389" t="s">
        <v>921</v>
      </c>
      <c r="K389">
        <v>-12.211290999999999</v>
      </c>
      <c r="L389">
        <v>-76.961929999999995</v>
      </c>
      <c r="M389" t="str">
        <f>HYPERLINK("https://www.google.com/maps/search/?api=1&amp;query=-12.211291,-76.96193","Calle 1, Villa El Salvador, Lima")</f>
        <v>Calle 1, Villa El Salvador, Lima</v>
      </c>
      <c r="N389">
        <v>4.7</v>
      </c>
      <c r="O389">
        <v>100</v>
      </c>
      <c r="P389">
        <v>1676.7</v>
      </c>
      <c r="Q389" t="s">
        <v>919</v>
      </c>
      <c r="R389" t="s">
        <v>23</v>
      </c>
      <c r="S389" t="s">
        <v>23</v>
      </c>
      <c r="T389" t="s">
        <v>23</v>
      </c>
      <c r="U389" t="s">
        <v>23</v>
      </c>
    </row>
    <row r="390" spans="1:21" x14ac:dyDescent="0.25">
      <c r="A390" t="s">
        <v>922</v>
      </c>
      <c r="B390" t="s">
        <v>21</v>
      </c>
      <c r="C390" t="s">
        <v>22</v>
      </c>
      <c r="D390" t="s">
        <v>22</v>
      </c>
      <c r="E390" t="s">
        <v>23</v>
      </c>
      <c r="F390" t="s">
        <v>24</v>
      </c>
      <c r="G390" t="s">
        <v>25</v>
      </c>
      <c r="H390" t="s">
        <v>23</v>
      </c>
      <c r="I390" t="s">
        <v>26</v>
      </c>
      <c r="J390" t="s">
        <v>923</v>
      </c>
      <c r="K390">
        <v>-12.211392999999999</v>
      </c>
      <c r="L390">
        <v>-76.961820000000003</v>
      </c>
      <c r="M390" t="str">
        <f>HYPERLINK("https://www.google.com/maps/search/?api=1&amp;query=-12.211393,-76.96182","Calle 1, Villa El Salvador, Lima")</f>
        <v>Calle 1, Villa El Salvador, Lima</v>
      </c>
      <c r="N390">
        <v>6.5</v>
      </c>
      <c r="O390">
        <v>100</v>
      </c>
      <c r="P390">
        <v>1676.7</v>
      </c>
      <c r="Q390" t="s">
        <v>919</v>
      </c>
      <c r="R390" t="s">
        <v>23</v>
      </c>
      <c r="S390" t="s">
        <v>23</v>
      </c>
      <c r="T390" t="s">
        <v>23</v>
      </c>
      <c r="U390" t="s">
        <v>23</v>
      </c>
    </row>
    <row r="391" spans="1:21" x14ac:dyDescent="0.25">
      <c r="A391" t="s">
        <v>924</v>
      </c>
      <c r="B391" t="s">
        <v>21</v>
      </c>
      <c r="C391" t="s">
        <v>22</v>
      </c>
      <c r="D391" t="s">
        <v>22</v>
      </c>
      <c r="E391" t="s">
        <v>23</v>
      </c>
      <c r="F391" t="s">
        <v>24</v>
      </c>
      <c r="G391" t="s">
        <v>25</v>
      </c>
      <c r="H391" t="s">
        <v>23</v>
      </c>
      <c r="I391" t="s">
        <v>26</v>
      </c>
      <c r="J391" t="s">
        <v>925</v>
      </c>
      <c r="K391">
        <v>-12.212097</v>
      </c>
      <c r="L391">
        <v>-76.961394999999996</v>
      </c>
      <c r="M391" t="str">
        <f>HYPERLINK("https://www.google.com/maps/search/?api=1&amp;query=-12.212097,-76.961395","Calle 1, Villa El Salvador, Lima")</f>
        <v>Calle 1, Villa El Salvador, Lima</v>
      </c>
      <c r="N391">
        <v>6.9</v>
      </c>
      <c r="O391">
        <v>100</v>
      </c>
      <c r="P391">
        <v>1676.7</v>
      </c>
      <c r="Q391" t="s">
        <v>919</v>
      </c>
      <c r="R391" t="s">
        <v>23</v>
      </c>
      <c r="S391" t="s">
        <v>23</v>
      </c>
      <c r="T391" t="s">
        <v>23</v>
      </c>
      <c r="U391" t="s">
        <v>23</v>
      </c>
    </row>
    <row r="392" spans="1:21" x14ac:dyDescent="0.25">
      <c r="A392" t="s">
        <v>926</v>
      </c>
      <c r="B392" t="s">
        <v>21</v>
      </c>
      <c r="C392" t="s">
        <v>22</v>
      </c>
      <c r="D392" t="s">
        <v>22</v>
      </c>
      <c r="E392" t="s">
        <v>23</v>
      </c>
      <c r="F392" t="s">
        <v>24</v>
      </c>
      <c r="G392" t="s">
        <v>25</v>
      </c>
      <c r="H392" t="s">
        <v>23</v>
      </c>
      <c r="I392" t="s">
        <v>26</v>
      </c>
      <c r="J392" t="s">
        <v>927</v>
      </c>
      <c r="K392">
        <v>-12.212854999999999</v>
      </c>
      <c r="L392">
        <v>-76.96096</v>
      </c>
      <c r="M392" t="str">
        <f>HYPERLINK("https://www.google.com/maps/search/?api=1&amp;query=-12.212855,-76.96096","Calle 1, Villa El Salvador, Lima")</f>
        <v>Calle 1, Villa El Salvador, Lima</v>
      </c>
      <c r="N392">
        <v>6.8</v>
      </c>
      <c r="O392">
        <v>100</v>
      </c>
      <c r="P392">
        <v>1676.9</v>
      </c>
      <c r="Q392" t="s">
        <v>928</v>
      </c>
      <c r="R392" t="s">
        <v>23</v>
      </c>
      <c r="S392" t="s">
        <v>23</v>
      </c>
      <c r="T392" t="s">
        <v>23</v>
      </c>
      <c r="U392" t="s">
        <v>23</v>
      </c>
    </row>
    <row r="393" spans="1:21" x14ac:dyDescent="0.25">
      <c r="A393" t="s">
        <v>929</v>
      </c>
      <c r="B393" t="s">
        <v>21</v>
      </c>
      <c r="C393" t="s">
        <v>22</v>
      </c>
      <c r="D393" t="s">
        <v>22</v>
      </c>
      <c r="E393" t="s">
        <v>23</v>
      </c>
      <c r="F393" t="s">
        <v>24</v>
      </c>
      <c r="G393" t="s">
        <v>25</v>
      </c>
      <c r="H393" t="s">
        <v>23</v>
      </c>
      <c r="I393" t="s">
        <v>26</v>
      </c>
      <c r="J393" t="s">
        <v>930</v>
      </c>
      <c r="K393">
        <v>-12.213557</v>
      </c>
      <c r="L393">
        <v>-76.960480000000004</v>
      </c>
      <c r="M393" t="str">
        <f>HYPERLINK("https://www.google.com/maps/search/?api=1&amp;query=-12.213557,-76.96048","Avenida Villa del Mar, Villa El Salvador, Lima")</f>
        <v>Avenida Villa del Mar, Villa El Salvador, Lima</v>
      </c>
      <c r="N393">
        <v>7</v>
      </c>
      <c r="O393">
        <v>100</v>
      </c>
      <c r="P393">
        <v>1676.9</v>
      </c>
      <c r="Q393" t="s">
        <v>928</v>
      </c>
      <c r="R393" t="s">
        <v>23</v>
      </c>
      <c r="S393" t="s">
        <v>23</v>
      </c>
      <c r="T393" t="s">
        <v>23</v>
      </c>
      <c r="U393" t="s">
        <v>23</v>
      </c>
    </row>
    <row r="394" spans="1:21" x14ac:dyDescent="0.25">
      <c r="A394" t="s">
        <v>931</v>
      </c>
      <c r="B394" t="s">
        <v>21</v>
      </c>
      <c r="C394" t="s">
        <v>22</v>
      </c>
      <c r="D394" t="s">
        <v>22</v>
      </c>
      <c r="E394" t="s">
        <v>23</v>
      </c>
      <c r="F394" t="s">
        <v>24</v>
      </c>
      <c r="G394" t="s">
        <v>25</v>
      </c>
      <c r="H394" t="s">
        <v>23</v>
      </c>
      <c r="I394" t="s">
        <v>26</v>
      </c>
      <c r="J394" t="s">
        <v>932</v>
      </c>
      <c r="K394">
        <v>-12.213456000000001</v>
      </c>
      <c r="L394">
        <v>-76.960239999999999</v>
      </c>
      <c r="M394" t="str">
        <f>HYPERLINK("https://www.google.com/maps/search/?api=1&amp;query=-12.213456,-76.96024","Avenida Villa del Mar, Villa El Salvador, Lima")</f>
        <v>Avenida Villa del Mar, Villa El Salvador, Lima</v>
      </c>
      <c r="N394">
        <v>7.2</v>
      </c>
      <c r="O394">
        <v>100</v>
      </c>
      <c r="P394">
        <v>1676.9</v>
      </c>
      <c r="Q394" t="s">
        <v>928</v>
      </c>
      <c r="R394" t="s">
        <v>23</v>
      </c>
      <c r="S394" t="s">
        <v>23</v>
      </c>
      <c r="T394" t="s">
        <v>23</v>
      </c>
      <c r="U394" t="s">
        <v>23</v>
      </c>
    </row>
    <row r="395" spans="1:21" x14ac:dyDescent="0.25">
      <c r="A395" t="s">
        <v>933</v>
      </c>
      <c r="B395" t="s">
        <v>21</v>
      </c>
      <c r="C395" t="s">
        <v>22</v>
      </c>
      <c r="D395" t="s">
        <v>22</v>
      </c>
      <c r="E395" t="s">
        <v>23</v>
      </c>
      <c r="F395" t="s">
        <v>24</v>
      </c>
      <c r="G395" t="s">
        <v>25</v>
      </c>
      <c r="H395" t="s">
        <v>23</v>
      </c>
      <c r="I395" t="s">
        <v>26</v>
      </c>
      <c r="J395" t="s">
        <v>934</v>
      </c>
      <c r="K395">
        <v>-12.213329</v>
      </c>
      <c r="L395">
        <v>-76.960089999999994</v>
      </c>
      <c r="M395" t="str">
        <f>HYPERLINK("https://www.google.com/maps/search/?api=1&amp;query=-12.213329,-76.96009","Avenida Villa del Mar, Villa El Salvador, Lima")</f>
        <v>Avenida Villa del Mar, Villa El Salvador, Lima</v>
      </c>
      <c r="N395">
        <v>10.1</v>
      </c>
      <c r="O395">
        <v>100</v>
      </c>
      <c r="P395">
        <v>1677.1</v>
      </c>
      <c r="Q395" t="s">
        <v>935</v>
      </c>
      <c r="R395" t="s">
        <v>23</v>
      </c>
      <c r="S395" t="s">
        <v>23</v>
      </c>
      <c r="T395" t="s">
        <v>23</v>
      </c>
      <c r="U395" t="s">
        <v>23</v>
      </c>
    </row>
    <row r="396" spans="1:21" x14ac:dyDescent="0.25">
      <c r="A396" t="s">
        <v>936</v>
      </c>
      <c r="B396" t="s">
        <v>21</v>
      </c>
      <c r="C396" t="s">
        <v>22</v>
      </c>
      <c r="D396" t="s">
        <v>22</v>
      </c>
      <c r="E396" t="s">
        <v>23</v>
      </c>
      <c r="F396" t="s">
        <v>24</v>
      </c>
      <c r="G396" t="s">
        <v>25</v>
      </c>
      <c r="H396" t="s">
        <v>23</v>
      </c>
      <c r="I396" t="s">
        <v>26</v>
      </c>
      <c r="J396" t="s">
        <v>934</v>
      </c>
      <c r="K396">
        <v>-12.213329</v>
      </c>
      <c r="L396">
        <v>-76.960089999999994</v>
      </c>
      <c r="M396" t="str">
        <f>HYPERLINK("https://www.google.com/maps/search/?api=1&amp;query=-12.213329,-76.96009","Avenida Villa del Mar, Villa El Salvador, Lima")</f>
        <v>Avenida Villa del Mar, Villa El Salvador, Lima</v>
      </c>
      <c r="N396">
        <v>10.1</v>
      </c>
      <c r="O396">
        <v>100</v>
      </c>
      <c r="P396">
        <v>1677.1</v>
      </c>
      <c r="Q396" t="s">
        <v>935</v>
      </c>
      <c r="R396" t="s">
        <v>221</v>
      </c>
      <c r="S396" t="s">
        <v>937</v>
      </c>
      <c r="T396" t="s">
        <v>223</v>
      </c>
      <c r="U396" t="s">
        <v>23</v>
      </c>
    </row>
    <row r="397" spans="1:21" x14ac:dyDescent="0.25">
      <c r="A397" t="s">
        <v>938</v>
      </c>
      <c r="B397" t="s">
        <v>21</v>
      </c>
      <c r="C397" t="s">
        <v>22</v>
      </c>
      <c r="D397" t="s">
        <v>22</v>
      </c>
      <c r="E397" t="s">
        <v>23</v>
      </c>
      <c r="F397" t="s">
        <v>24</v>
      </c>
      <c r="G397" t="s">
        <v>25</v>
      </c>
      <c r="H397" t="s">
        <v>23</v>
      </c>
      <c r="I397" t="s">
        <v>26</v>
      </c>
      <c r="J397" t="s">
        <v>939</v>
      </c>
      <c r="K397">
        <v>-12.212872000000001</v>
      </c>
      <c r="L397">
        <v>-76.95926</v>
      </c>
      <c r="M397" t="str">
        <f>HYPERLINK("https://www.google.com/maps/search/?api=1&amp;query=-12.212872,-76.95926","Avenida Villa del Mar, Villa El Salvador, Lima")</f>
        <v>Avenida Villa del Mar, Villa El Salvador, Lima</v>
      </c>
      <c r="N397">
        <v>7.3</v>
      </c>
      <c r="O397">
        <v>100</v>
      </c>
      <c r="P397">
        <v>1677.1</v>
      </c>
      <c r="Q397" t="s">
        <v>935</v>
      </c>
      <c r="R397" t="s">
        <v>23</v>
      </c>
      <c r="S397" t="s">
        <v>23</v>
      </c>
      <c r="T397" t="s">
        <v>23</v>
      </c>
      <c r="U397" t="s">
        <v>23</v>
      </c>
    </row>
    <row r="398" spans="1:21" x14ac:dyDescent="0.25">
      <c r="A398" t="s">
        <v>940</v>
      </c>
      <c r="B398" t="s">
        <v>21</v>
      </c>
      <c r="C398" t="s">
        <v>22</v>
      </c>
      <c r="D398" t="s">
        <v>22</v>
      </c>
      <c r="E398" t="s">
        <v>23</v>
      </c>
      <c r="F398" t="s">
        <v>24</v>
      </c>
      <c r="G398" t="s">
        <v>25</v>
      </c>
      <c r="H398" t="s">
        <v>23</v>
      </c>
      <c r="I398" t="s">
        <v>26</v>
      </c>
      <c r="J398" t="s">
        <v>941</v>
      </c>
      <c r="K398">
        <v>-12.212897999999999</v>
      </c>
      <c r="L398">
        <v>-76.959236000000004</v>
      </c>
      <c r="M398" t="str">
        <f>HYPERLINK("https://www.google.com/maps/search/?api=1&amp;query=-12.212898,-76.959236","Avenida Villa del Mar, Villa El Salvador, Lima")</f>
        <v>Avenida Villa del Mar, Villa El Salvador, Lima</v>
      </c>
      <c r="N398">
        <v>0</v>
      </c>
      <c r="O398">
        <v>100</v>
      </c>
      <c r="P398">
        <v>1677.2</v>
      </c>
      <c r="Q398" t="s">
        <v>935</v>
      </c>
      <c r="R398" t="s">
        <v>23</v>
      </c>
      <c r="S398" t="s">
        <v>23</v>
      </c>
      <c r="T398" t="s">
        <v>23</v>
      </c>
      <c r="U398" t="s">
        <v>23</v>
      </c>
    </row>
    <row r="399" spans="1:21" x14ac:dyDescent="0.25">
      <c r="A399" t="s">
        <v>942</v>
      </c>
      <c r="B399" t="s">
        <v>21</v>
      </c>
      <c r="C399" t="s">
        <v>22</v>
      </c>
      <c r="D399" t="s">
        <v>22</v>
      </c>
      <c r="E399" t="s">
        <v>23</v>
      </c>
      <c r="F399" t="s">
        <v>24</v>
      </c>
      <c r="G399" t="s">
        <v>25</v>
      </c>
      <c r="H399" t="s">
        <v>23</v>
      </c>
      <c r="I399" t="s">
        <v>26</v>
      </c>
      <c r="J399" t="s">
        <v>943</v>
      </c>
      <c r="K399">
        <v>-12.212968</v>
      </c>
      <c r="L399">
        <v>-76.959145000000007</v>
      </c>
      <c r="M399" t="str">
        <f>HYPERLINK("https://www.google.com/maps/search/?api=1&amp;query=-12.212968,-76.959145","Avenida Villa del Mar, Villa El Salvador, Lima")</f>
        <v>Avenida Villa del Mar, Villa El Salvador, Lima</v>
      </c>
      <c r="N399">
        <v>6.3</v>
      </c>
      <c r="O399">
        <v>100</v>
      </c>
      <c r="P399">
        <v>1677.2</v>
      </c>
      <c r="Q399" t="s">
        <v>935</v>
      </c>
      <c r="R399" t="s">
        <v>23</v>
      </c>
      <c r="S399" t="s">
        <v>23</v>
      </c>
      <c r="T399" t="s">
        <v>23</v>
      </c>
      <c r="U399" t="s">
        <v>23</v>
      </c>
    </row>
    <row r="400" spans="1:21" x14ac:dyDescent="0.25">
      <c r="A400" t="s">
        <v>944</v>
      </c>
      <c r="B400" t="s">
        <v>21</v>
      </c>
      <c r="C400" t="s">
        <v>22</v>
      </c>
      <c r="D400" t="s">
        <v>22</v>
      </c>
      <c r="E400" t="s">
        <v>23</v>
      </c>
      <c r="F400" t="s">
        <v>24</v>
      </c>
      <c r="G400" t="s">
        <v>25</v>
      </c>
      <c r="H400" t="s">
        <v>23</v>
      </c>
      <c r="I400" t="s">
        <v>26</v>
      </c>
      <c r="J400" t="s">
        <v>945</v>
      </c>
      <c r="K400">
        <v>-12.21299</v>
      </c>
      <c r="L400">
        <v>-76.95899</v>
      </c>
      <c r="M400" t="str">
        <f>HYPERLINK("https://www.google.com/maps/search/?api=1&amp;query=-12.21299,-76.95899","Avenida Villa del Mar, Villa El Salvador, Lima")</f>
        <v>Avenida Villa del Mar, Villa El Salvador, Lima</v>
      </c>
      <c r="N400">
        <v>4.0999999999999996</v>
      </c>
      <c r="O400">
        <v>100</v>
      </c>
      <c r="P400">
        <v>1677.2</v>
      </c>
      <c r="Q400" t="s">
        <v>935</v>
      </c>
      <c r="R400" t="s">
        <v>23</v>
      </c>
      <c r="S400" t="s">
        <v>23</v>
      </c>
      <c r="T400" t="s">
        <v>23</v>
      </c>
      <c r="U400" t="s">
        <v>23</v>
      </c>
    </row>
    <row r="401" spans="1:21" x14ac:dyDescent="0.25">
      <c r="A401" t="s">
        <v>946</v>
      </c>
      <c r="B401" t="s">
        <v>21</v>
      </c>
      <c r="C401" t="s">
        <v>22</v>
      </c>
      <c r="D401" t="s">
        <v>22</v>
      </c>
      <c r="E401" t="s">
        <v>23</v>
      </c>
      <c r="F401" t="s">
        <v>24</v>
      </c>
      <c r="G401" t="s">
        <v>25</v>
      </c>
      <c r="H401" t="s">
        <v>23</v>
      </c>
      <c r="I401" t="s">
        <v>26</v>
      </c>
      <c r="J401" t="s">
        <v>947</v>
      </c>
      <c r="K401">
        <v>-12.213025999999999</v>
      </c>
      <c r="L401">
        <v>-76.958984000000001</v>
      </c>
      <c r="M401" t="str">
        <f>HYPERLINK("https://www.google.com/maps/search/?api=1&amp;query=-12.213026,-76.958984","Avenida Villa del Mar, Villa El Salvador, Lima")</f>
        <v>Avenida Villa del Mar, Villa El Salvador, Lima</v>
      </c>
      <c r="N401">
        <v>4.3</v>
      </c>
      <c r="O401">
        <v>100</v>
      </c>
      <c r="P401">
        <v>1677.2</v>
      </c>
      <c r="Q401" t="s">
        <v>935</v>
      </c>
      <c r="R401" t="s">
        <v>23</v>
      </c>
      <c r="S401" t="s">
        <v>23</v>
      </c>
      <c r="T401" t="s">
        <v>23</v>
      </c>
      <c r="U401" t="s">
        <v>23</v>
      </c>
    </row>
    <row r="402" spans="1:21" x14ac:dyDescent="0.25">
      <c r="A402" t="s">
        <v>948</v>
      </c>
      <c r="B402" t="s">
        <v>21</v>
      </c>
      <c r="C402" t="s">
        <v>22</v>
      </c>
      <c r="D402" t="s">
        <v>22</v>
      </c>
      <c r="E402" t="s">
        <v>23</v>
      </c>
      <c r="F402" t="s">
        <v>24</v>
      </c>
      <c r="G402" t="s">
        <v>25</v>
      </c>
      <c r="H402" t="s">
        <v>23</v>
      </c>
      <c r="I402" t="s">
        <v>26</v>
      </c>
      <c r="J402" t="s">
        <v>949</v>
      </c>
      <c r="K402">
        <v>-12.21306</v>
      </c>
      <c r="L402">
        <v>-76.958979999999997</v>
      </c>
      <c r="M402" t="str">
        <f>HYPERLINK("https://www.google.com/maps/search/?api=1&amp;query=-12.21306,-76.95898","Villa El Salvador, Lima")</f>
        <v>Villa El Salvador, Lima</v>
      </c>
      <c r="N402">
        <v>0</v>
      </c>
      <c r="O402">
        <v>100</v>
      </c>
      <c r="P402">
        <v>1677.2</v>
      </c>
      <c r="Q402" t="s">
        <v>935</v>
      </c>
      <c r="R402" t="s">
        <v>23</v>
      </c>
      <c r="S402" t="s">
        <v>23</v>
      </c>
      <c r="T402" t="s">
        <v>23</v>
      </c>
      <c r="U402" t="s">
        <v>23</v>
      </c>
    </row>
    <row r="403" spans="1:21" x14ac:dyDescent="0.25">
      <c r="A403" t="s">
        <v>950</v>
      </c>
      <c r="B403" t="s">
        <v>21</v>
      </c>
      <c r="C403" t="s">
        <v>22</v>
      </c>
      <c r="D403" t="s">
        <v>22</v>
      </c>
      <c r="E403" t="s">
        <v>23</v>
      </c>
      <c r="F403" t="s">
        <v>24</v>
      </c>
      <c r="G403" t="s">
        <v>25</v>
      </c>
      <c r="H403" t="s">
        <v>23</v>
      </c>
      <c r="I403" t="s">
        <v>26</v>
      </c>
      <c r="J403" t="s">
        <v>951</v>
      </c>
      <c r="K403">
        <v>-12.21306</v>
      </c>
      <c r="L403">
        <v>-76.958979999999997</v>
      </c>
      <c r="M403" t="str">
        <f>HYPERLINK("https://www.google.com/maps/search/?api=1&amp;query=-12.21306,-76.95898","Villa El Salvador, Lima")</f>
        <v>Villa El Salvador, Lima</v>
      </c>
      <c r="N403">
        <v>0</v>
      </c>
      <c r="O403">
        <v>100</v>
      </c>
      <c r="P403">
        <v>1677.2</v>
      </c>
      <c r="Q403" t="s">
        <v>952</v>
      </c>
      <c r="R403" t="s">
        <v>252</v>
      </c>
      <c r="S403" t="s">
        <v>23</v>
      </c>
      <c r="T403" t="s">
        <v>23</v>
      </c>
      <c r="U403" t="s">
        <v>23</v>
      </c>
    </row>
    <row r="404" spans="1:21" x14ac:dyDescent="0.25">
      <c r="A404" t="s">
        <v>953</v>
      </c>
      <c r="B404" t="s">
        <v>21</v>
      </c>
      <c r="C404" t="s">
        <v>22</v>
      </c>
      <c r="D404" t="s">
        <v>22</v>
      </c>
      <c r="E404" t="s">
        <v>23</v>
      </c>
      <c r="F404" t="s">
        <v>24</v>
      </c>
      <c r="G404" t="s">
        <v>25</v>
      </c>
      <c r="H404" t="s">
        <v>23</v>
      </c>
      <c r="I404" t="s">
        <v>26</v>
      </c>
      <c r="J404" t="s">
        <v>954</v>
      </c>
      <c r="K404">
        <v>-12.21306</v>
      </c>
      <c r="L404">
        <v>-76.958979999999997</v>
      </c>
      <c r="M404" t="str">
        <f>HYPERLINK("https://www.google.com/maps/search/?api=1&amp;query=-12.21306,-76.95898","Villa El Salvador, Lima")</f>
        <v>Villa El Salvador, Lima</v>
      </c>
      <c r="N404">
        <v>0</v>
      </c>
      <c r="O404">
        <v>100</v>
      </c>
      <c r="P404">
        <v>1677.2</v>
      </c>
      <c r="Q404" t="s">
        <v>952</v>
      </c>
      <c r="R404" t="s">
        <v>23</v>
      </c>
      <c r="S404" t="s">
        <v>23</v>
      </c>
      <c r="T404" t="s">
        <v>23</v>
      </c>
      <c r="U404" t="s">
        <v>23</v>
      </c>
    </row>
    <row r="405" spans="1:21" x14ac:dyDescent="0.25">
      <c r="A405" t="s">
        <v>955</v>
      </c>
      <c r="B405" t="s">
        <v>21</v>
      </c>
      <c r="C405" t="s">
        <v>22</v>
      </c>
      <c r="D405" t="s">
        <v>22</v>
      </c>
      <c r="E405" t="s">
        <v>23</v>
      </c>
      <c r="F405" t="s">
        <v>24</v>
      </c>
      <c r="G405" t="s">
        <v>25</v>
      </c>
      <c r="H405" t="s">
        <v>23</v>
      </c>
      <c r="I405" t="s">
        <v>26</v>
      </c>
      <c r="J405" t="s">
        <v>956</v>
      </c>
      <c r="K405">
        <v>-12.21306</v>
      </c>
      <c r="L405">
        <v>-76.958979999999997</v>
      </c>
      <c r="M405" t="str">
        <f>HYPERLINK("https://www.google.com/maps/search/?api=1&amp;query=-12.21306,-76.95898","Villa El Salvador, Lima")</f>
        <v>Villa El Salvador, Lima</v>
      </c>
      <c r="N405">
        <v>0</v>
      </c>
      <c r="O405">
        <v>100</v>
      </c>
      <c r="P405">
        <v>1677.2</v>
      </c>
      <c r="Q405" t="s">
        <v>952</v>
      </c>
      <c r="R405" t="s">
        <v>63</v>
      </c>
      <c r="S405" t="s">
        <v>23</v>
      </c>
      <c r="T405" t="s">
        <v>23</v>
      </c>
      <c r="U405" t="s">
        <v>23</v>
      </c>
    </row>
    <row r="406" spans="1:21" x14ac:dyDescent="0.25">
      <c r="A406" t="s">
        <v>957</v>
      </c>
      <c r="B406" t="s">
        <v>21</v>
      </c>
      <c r="C406" t="s">
        <v>22</v>
      </c>
      <c r="D406" t="s">
        <v>22</v>
      </c>
      <c r="E406" t="s">
        <v>23</v>
      </c>
      <c r="F406" t="s">
        <v>24</v>
      </c>
      <c r="G406" t="s">
        <v>25</v>
      </c>
      <c r="H406" t="s">
        <v>23</v>
      </c>
      <c r="I406" t="s">
        <v>26</v>
      </c>
      <c r="J406" t="s">
        <v>958</v>
      </c>
      <c r="K406">
        <v>-12.212949</v>
      </c>
      <c r="L406">
        <v>-76.958889999999997</v>
      </c>
      <c r="M406" t="str">
        <f t="shared" ref="M406:M413" si="4">HYPERLINK("https://www.google.com/maps/search/?api=1&amp;query=-12.212949,-76.95889","Avenida Villa del Mar, Villa El Salvador, Lima")</f>
        <v>Avenida Villa del Mar, Villa El Salvador, Lima</v>
      </c>
      <c r="N406">
        <v>0</v>
      </c>
      <c r="O406">
        <v>100</v>
      </c>
      <c r="P406">
        <v>1677.2</v>
      </c>
      <c r="Q406" t="s">
        <v>952</v>
      </c>
      <c r="R406" t="s">
        <v>23</v>
      </c>
      <c r="S406" t="s">
        <v>23</v>
      </c>
      <c r="T406" t="s">
        <v>23</v>
      </c>
      <c r="U406" t="s">
        <v>23</v>
      </c>
    </row>
    <row r="407" spans="1:21" x14ac:dyDescent="0.25">
      <c r="A407" t="s">
        <v>959</v>
      </c>
      <c r="B407" t="s">
        <v>21</v>
      </c>
      <c r="C407" t="s">
        <v>22</v>
      </c>
      <c r="D407" t="s">
        <v>22</v>
      </c>
      <c r="E407" t="s">
        <v>23</v>
      </c>
      <c r="F407" t="s">
        <v>24</v>
      </c>
      <c r="G407" t="s">
        <v>25</v>
      </c>
      <c r="H407" t="s">
        <v>23</v>
      </c>
      <c r="I407" t="s">
        <v>26</v>
      </c>
      <c r="J407" t="s">
        <v>960</v>
      </c>
      <c r="K407">
        <v>-12.212949</v>
      </c>
      <c r="L407">
        <v>-76.958889999999997</v>
      </c>
      <c r="M407" t="str">
        <f t="shared" si="4"/>
        <v>Avenida Villa del Mar, Villa El Salvador, Lima</v>
      </c>
      <c r="N407">
        <v>0</v>
      </c>
      <c r="O407">
        <v>100</v>
      </c>
      <c r="P407">
        <v>1677.2</v>
      </c>
      <c r="Q407" t="s">
        <v>952</v>
      </c>
      <c r="R407" t="s">
        <v>252</v>
      </c>
      <c r="S407" t="s">
        <v>23</v>
      </c>
      <c r="T407" t="s">
        <v>23</v>
      </c>
      <c r="U407" t="s">
        <v>23</v>
      </c>
    </row>
    <row r="408" spans="1:21" x14ac:dyDescent="0.25">
      <c r="A408" t="s">
        <v>961</v>
      </c>
      <c r="B408" t="s">
        <v>21</v>
      </c>
      <c r="C408" t="s">
        <v>22</v>
      </c>
      <c r="D408" t="s">
        <v>22</v>
      </c>
      <c r="E408" t="s">
        <v>23</v>
      </c>
      <c r="F408" t="s">
        <v>24</v>
      </c>
      <c r="G408" t="s">
        <v>25</v>
      </c>
      <c r="H408" t="s">
        <v>23</v>
      </c>
      <c r="I408" t="s">
        <v>26</v>
      </c>
      <c r="J408" t="s">
        <v>962</v>
      </c>
      <c r="K408">
        <v>-12.212949</v>
      </c>
      <c r="L408">
        <v>-76.958889999999997</v>
      </c>
      <c r="M408" t="str">
        <f t="shared" si="4"/>
        <v>Avenida Villa del Mar, Villa El Salvador, Lima</v>
      </c>
      <c r="N408">
        <v>0</v>
      </c>
      <c r="O408">
        <v>100</v>
      </c>
      <c r="P408">
        <v>1677.2</v>
      </c>
      <c r="Q408" t="s">
        <v>952</v>
      </c>
      <c r="R408" t="s">
        <v>23</v>
      </c>
      <c r="S408" t="s">
        <v>23</v>
      </c>
      <c r="T408" t="s">
        <v>23</v>
      </c>
      <c r="U408" t="s">
        <v>23</v>
      </c>
    </row>
    <row r="409" spans="1:21" x14ac:dyDescent="0.25">
      <c r="A409" t="s">
        <v>963</v>
      </c>
      <c r="B409" t="s">
        <v>21</v>
      </c>
      <c r="C409" t="s">
        <v>22</v>
      </c>
      <c r="D409" t="s">
        <v>22</v>
      </c>
      <c r="E409" t="s">
        <v>23</v>
      </c>
      <c r="F409" t="s">
        <v>24</v>
      </c>
      <c r="G409" t="s">
        <v>25</v>
      </c>
      <c r="H409" t="s">
        <v>23</v>
      </c>
      <c r="I409" t="s">
        <v>26</v>
      </c>
      <c r="J409" t="s">
        <v>964</v>
      </c>
      <c r="K409">
        <v>-12.212949</v>
      </c>
      <c r="L409">
        <v>-76.958889999999997</v>
      </c>
      <c r="M409" t="str">
        <f t="shared" si="4"/>
        <v>Avenida Villa del Mar, Villa El Salvador, Lima</v>
      </c>
      <c r="N409">
        <v>0</v>
      </c>
      <c r="O409">
        <v>100</v>
      </c>
      <c r="P409">
        <v>1677.2</v>
      </c>
      <c r="Q409" t="s">
        <v>952</v>
      </c>
      <c r="R409" t="s">
        <v>23</v>
      </c>
      <c r="S409" t="s">
        <v>23</v>
      </c>
      <c r="T409" t="s">
        <v>23</v>
      </c>
      <c r="U409" t="s">
        <v>23</v>
      </c>
    </row>
    <row r="410" spans="1:21" x14ac:dyDescent="0.25">
      <c r="A410" t="s">
        <v>965</v>
      </c>
      <c r="B410" t="s">
        <v>21</v>
      </c>
      <c r="C410" t="s">
        <v>22</v>
      </c>
      <c r="D410" t="s">
        <v>22</v>
      </c>
      <c r="E410" t="s">
        <v>23</v>
      </c>
      <c r="F410" t="s">
        <v>24</v>
      </c>
      <c r="G410" t="s">
        <v>25</v>
      </c>
      <c r="H410" t="s">
        <v>23</v>
      </c>
      <c r="I410" t="s">
        <v>26</v>
      </c>
      <c r="J410" t="s">
        <v>966</v>
      </c>
      <c r="K410">
        <v>-12.212949</v>
      </c>
      <c r="L410">
        <v>-76.958889999999997</v>
      </c>
      <c r="M410" t="str">
        <f t="shared" si="4"/>
        <v>Avenida Villa del Mar, Villa El Salvador, Lima</v>
      </c>
      <c r="N410">
        <v>0</v>
      </c>
      <c r="O410">
        <v>100</v>
      </c>
      <c r="P410">
        <v>1677.2</v>
      </c>
      <c r="Q410" t="s">
        <v>952</v>
      </c>
      <c r="R410" t="s">
        <v>23</v>
      </c>
      <c r="S410" t="s">
        <v>23</v>
      </c>
      <c r="T410" t="s">
        <v>23</v>
      </c>
      <c r="U410" t="s">
        <v>23</v>
      </c>
    </row>
    <row r="411" spans="1:21" x14ac:dyDescent="0.25">
      <c r="A411" t="s">
        <v>967</v>
      </c>
      <c r="B411" t="s">
        <v>21</v>
      </c>
      <c r="C411" t="s">
        <v>22</v>
      </c>
      <c r="D411" t="s">
        <v>22</v>
      </c>
      <c r="E411" t="s">
        <v>23</v>
      </c>
      <c r="F411" t="s">
        <v>24</v>
      </c>
      <c r="G411" t="s">
        <v>25</v>
      </c>
      <c r="H411" t="s">
        <v>23</v>
      </c>
      <c r="I411" t="s">
        <v>26</v>
      </c>
      <c r="J411" t="s">
        <v>968</v>
      </c>
      <c r="K411">
        <v>-12.212949</v>
      </c>
      <c r="L411">
        <v>-76.958889999999997</v>
      </c>
      <c r="M411" t="str">
        <f t="shared" si="4"/>
        <v>Avenida Villa del Mar, Villa El Salvador, Lima</v>
      </c>
      <c r="N411">
        <v>0</v>
      </c>
      <c r="O411">
        <v>100</v>
      </c>
      <c r="P411">
        <v>1677.2</v>
      </c>
      <c r="Q411" t="s">
        <v>952</v>
      </c>
      <c r="R411" t="s">
        <v>23</v>
      </c>
      <c r="S411" t="s">
        <v>23</v>
      </c>
      <c r="T411" t="s">
        <v>23</v>
      </c>
      <c r="U411" t="s">
        <v>23</v>
      </c>
    </row>
    <row r="412" spans="1:21" x14ac:dyDescent="0.25">
      <c r="A412" t="s">
        <v>969</v>
      </c>
      <c r="B412" t="s">
        <v>21</v>
      </c>
      <c r="C412" t="s">
        <v>22</v>
      </c>
      <c r="D412" t="s">
        <v>22</v>
      </c>
      <c r="E412" t="s">
        <v>23</v>
      </c>
      <c r="F412" t="s">
        <v>24</v>
      </c>
      <c r="G412" t="s">
        <v>25</v>
      </c>
      <c r="H412" t="s">
        <v>23</v>
      </c>
      <c r="I412" t="s">
        <v>26</v>
      </c>
      <c r="J412" t="s">
        <v>970</v>
      </c>
      <c r="K412">
        <v>-12.212949</v>
      </c>
      <c r="L412">
        <v>-76.958889999999997</v>
      </c>
      <c r="M412" t="str">
        <f t="shared" si="4"/>
        <v>Avenida Villa del Mar, Villa El Salvador, Lima</v>
      </c>
      <c r="N412">
        <v>0</v>
      </c>
      <c r="O412">
        <v>100</v>
      </c>
      <c r="P412">
        <v>1677.2</v>
      </c>
      <c r="Q412" t="s">
        <v>952</v>
      </c>
      <c r="R412" t="s">
        <v>23</v>
      </c>
      <c r="S412" t="s">
        <v>23</v>
      </c>
      <c r="T412" t="s">
        <v>23</v>
      </c>
      <c r="U412" t="s">
        <v>23</v>
      </c>
    </row>
    <row r="413" spans="1:21" x14ac:dyDescent="0.25">
      <c r="A413" t="s">
        <v>971</v>
      </c>
      <c r="B413" t="s">
        <v>21</v>
      </c>
      <c r="C413" t="s">
        <v>22</v>
      </c>
      <c r="D413" t="s">
        <v>22</v>
      </c>
      <c r="E413" t="s">
        <v>23</v>
      </c>
      <c r="F413" t="s">
        <v>24</v>
      </c>
      <c r="G413" t="s">
        <v>25</v>
      </c>
      <c r="H413" t="s">
        <v>23</v>
      </c>
      <c r="I413" t="s">
        <v>26</v>
      </c>
      <c r="J413" t="s">
        <v>972</v>
      </c>
      <c r="K413">
        <v>-12.212949</v>
      </c>
      <c r="L413">
        <v>-76.958889999999997</v>
      </c>
      <c r="M413" t="str">
        <f t="shared" si="4"/>
        <v>Avenida Villa del Mar, Villa El Salvador, Lima</v>
      </c>
      <c r="N413">
        <v>0</v>
      </c>
      <c r="O413">
        <v>100</v>
      </c>
      <c r="P413">
        <v>1677.2</v>
      </c>
      <c r="Q413" t="s">
        <v>952</v>
      </c>
      <c r="R413" t="s">
        <v>23</v>
      </c>
      <c r="S413" t="s">
        <v>23</v>
      </c>
      <c r="T413" t="s">
        <v>23</v>
      </c>
      <c r="U413" t="s">
        <v>23</v>
      </c>
    </row>
    <row r="414" spans="1:21" x14ac:dyDescent="0.25">
      <c r="A414" t="s">
        <v>973</v>
      </c>
      <c r="B414" t="s">
        <v>21</v>
      </c>
      <c r="C414" t="s">
        <v>22</v>
      </c>
      <c r="D414" t="s">
        <v>22</v>
      </c>
      <c r="E414" t="s">
        <v>23</v>
      </c>
      <c r="F414" t="s">
        <v>24</v>
      </c>
      <c r="G414" t="s">
        <v>25</v>
      </c>
      <c r="H414" t="s">
        <v>23</v>
      </c>
      <c r="I414" t="s">
        <v>26</v>
      </c>
      <c r="J414" t="s">
        <v>974</v>
      </c>
      <c r="K414">
        <v>-12.212643999999999</v>
      </c>
      <c r="L414">
        <v>-76.958950000000002</v>
      </c>
      <c r="M414" t="str">
        <f t="shared" ref="M414:M420" si="5">HYPERLINK("https://www.google.com/maps/search/?api=1&amp;query=-12.212644,-76.95895","Avenida Villa del Mar, Villa El Salvador, Lima")</f>
        <v>Avenida Villa del Mar, Villa El Salvador, Lima</v>
      </c>
      <c r="N414">
        <v>0.2</v>
      </c>
      <c r="O414">
        <v>100</v>
      </c>
      <c r="P414">
        <v>1677.2</v>
      </c>
      <c r="Q414" t="s">
        <v>952</v>
      </c>
      <c r="R414" t="s">
        <v>23</v>
      </c>
      <c r="S414" t="s">
        <v>23</v>
      </c>
      <c r="T414" t="s">
        <v>23</v>
      </c>
      <c r="U414" t="s">
        <v>23</v>
      </c>
    </row>
    <row r="415" spans="1:21" x14ac:dyDescent="0.25">
      <c r="A415" t="s">
        <v>975</v>
      </c>
      <c r="B415" t="s">
        <v>21</v>
      </c>
      <c r="C415" t="s">
        <v>22</v>
      </c>
      <c r="D415" t="s">
        <v>22</v>
      </c>
      <c r="E415" t="s">
        <v>23</v>
      </c>
      <c r="F415" t="s">
        <v>24</v>
      </c>
      <c r="G415" t="s">
        <v>25</v>
      </c>
      <c r="H415" t="s">
        <v>23</v>
      </c>
      <c r="I415" t="s">
        <v>26</v>
      </c>
      <c r="J415" t="s">
        <v>974</v>
      </c>
      <c r="K415">
        <v>-12.212643999999999</v>
      </c>
      <c r="L415">
        <v>-76.958950000000002</v>
      </c>
      <c r="M415" t="str">
        <f t="shared" si="5"/>
        <v>Avenida Villa del Mar, Villa El Salvador, Lima</v>
      </c>
      <c r="N415">
        <v>0.2</v>
      </c>
      <c r="O415">
        <v>100</v>
      </c>
      <c r="P415">
        <v>1677.2</v>
      </c>
      <c r="Q415" t="s">
        <v>952</v>
      </c>
      <c r="R415" t="s">
        <v>23</v>
      </c>
      <c r="S415" t="s">
        <v>23</v>
      </c>
      <c r="T415" t="s">
        <v>23</v>
      </c>
      <c r="U415" t="s">
        <v>23</v>
      </c>
    </row>
    <row r="416" spans="1:21" x14ac:dyDescent="0.25">
      <c r="A416" t="s">
        <v>976</v>
      </c>
      <c r="B416" t="s">
        <v>21</v>
      </c>
      <c r="C416" t="s">
        <v>22</v>
      </c>
      <c r="D416" t="s">
        <v>22</v>
      </c>
      <c r="E416" t="s">
        <v>23</v>
      </c>
      <c r="F416" t="s">
        <v>24</v>
      </c>
      <c r="G416" t="s">
        <v>25</v>
      </c>
      <c r="H416" t="s">
        <v>23</v>
      </c>
      <c r="I416" t="s">
        <v>26</v>
      </c>
      <c r="J416" t="s">
        <v>977</v>
      </c>
      <c r="K416">
        <v>-12.212643999999999</v>
      </c>
      <c r="L416">
        <v>-76.958950000000002</v>
      </c>
      <c r="M416" t="str">
        <f t="shared" si="5"/>
        <v>Avenida Villa del Mar, Villa El Salvador, Lima</v>
      </c>
      <c r="N416">
        <v>0</v>
      </c>
      <c r="O416">
        <v>100</v>
      </c>
      <c r="P416">
        <v>1677.2</v>
      </c>
      <c r="Q416" t="s">
        <v>952</v>
      </c>
      <c r="R416" t="s">
        <v>23</v>
      </c>
      <c r="S416" t="s">
        <v>23</v>
      </c>
      <c r="T416" t="s">
        <v>23</v>
      </c>
      <c r="U416" t="s">
        <v>23</v>
      </c>
    </row>
    <row r="417" spans="1:21" x14ac:dyDescent="0.25">
      <c r="A417" t="s">
        <v>978</v>
      </c>
      <c r="B417" t="s">
        <v>21</v>
      </c>
      <c r="C417" t="s">
        <v>22</v>
      </c>
      <c r="D417" t="s">
        <v>22</v>
      </c>
      <c r="E417" t="s">
        <v>23</v>
      </c>
      <c r="F417" t="s">
        <v>24</v>
      </c>
      <c r="G417" t="s">
        <v>25</v>
      </c>
      <c r="H417" t="s">
        <v>23</v>
      </c>
      <c r="I417" t="s">
        <v>26</v>
      </c>
      <c r="J417" t="s">
        <v>979</v>
      </c>
      <c r="K417">
        <v>-12.212643999999999</v>
      </c>
      <c r="L417">
        <v>-76.958950000000002</v>
      </c>
      <c r="M417" t="str">
        <f t="shared" si="5"/>
        <v>Avenida Villa del Mar, Villa El Salvador, Lima</v>
      </c>
      <c r="N417">
        <v>0</v>
      </c>
      <c r="O417">
        <v>100</v>
      </c>
      <c r="P417">
        <v>1677.2</v>
      </c>
      <c r="Q417" t="s">
        <v>952</v>
      </c>
      <c r="R417" t="s">
        <v>23</v>
      </c>
      <c r="S417" t="s">
        <v>23</v>
      </c>
      <c r="T417" t="s">
        <v>23</v>
      </c>
      <c r="U417" t="s">
        <v>23</v>
      </c>
    </row>
    <row r="418" spans="1:21" x14ac:dyDescent="0.25">
      <c r="A418" t="s">
        <v>980</v>
      </c>
      <c r="B418" t="s">
        <v>21</v>
      </c>
      <c r="C418" t="s">
        <v>22</v>
      </c>
      <c r="D418" t="s">
        <v>22</v>
      </c>
      <c r="E418" t="s">
        <v>23</v>
      </c>
      <c r="F418" t="s">
        <v>24</v>
      </c>
      <c r="G418" t="s">
        <v>25</v>
      </c>
      <c r="H418" t="s">
        <v>23</v>
      </c>
      <c r="I418" t="s">
        <v>26</v>
      </c>
      <c r="J418" t="s">
        <v>981</v>
      </c>
      <c r="K418">
        <v>-12.212643999999999</v>
      </c>
      <c r="L418">
        <v>-76.958950000000002</v>
      </c>
      <c r="M418" t="str">
        <f t="shared" si="5"/>
        <v>Avenida Villa del Mar, Villa El Salvador, Lima</v>
      </c>
      <c r="N418">
        <v>0</v>
      </c>
      <c r="O418">
        <v>100</v>
      </c>
      <c r="P418">
        <v>1677.2</v>
      </c>
      <c r="Q418" t="s">
        <v>952</v>
      </c>
      <c r="R418" t="s">
        <v>23</v>
      </c>
      <c r="S418" t="s">
        <v>23</v>
      </c>
      <c r="T418" t="s">
        <v>23</v>
      </c>
      <c r="U418" t="s">
        <v>23</v>
      </c>
    </row>
    <row r="419" spans="1:21" x14ac:dyDescent="0.25">
      <c r="A419" t="s">
        <v>982</v>
      </c>
      <c r="B419" t="s">
        <v>21</v>
      </c>
      <c r="C419" t="s">
        <v>22</v>
      </c>
      <c r="D419" t="s">
        <v>22</v>
      </c>
      <c r="E419" t="s">
        <v>23</v>
      </c>
      <c r="F419" t="s">
        <v>24</v>
      </c>
      <c r="G419" t="s">
        <v>25</v>
      </c>
      <c r="H419" t="s">
        <v>23</v>
      </c>
      <c r="I419" t="s">
        <v>26</v>
      </c>
      <c r="J419" t="s">
        <v>983</v>
      </c>
      <c r="K419">
        <v>-12.212643999999999</v>
      </c>
      <c r="L419">
        <v>-76.958950000000002</v>
      </c>
      <c r="M419" t="str">
        <f t="shared" si="5"/>
        <v>Avenida Villa del Mar, Villa El Salvador, Lima</v>
      </c>
      <c r="N419">
        <v>0</v>
      </c>
      <c r="O419">
        <v>100</v>
      </c>
      <c r="P419">
        <v>1677.2</v>
      </c>
      <c r="Q419" t="s">
        <v>952</v>
      </c>
      <c r="R419" t="s">
        <v>23</v>
      </c>
      <c r="S419" t="s">
        <v>23</v>
      </c>
      <c r="T419" t="s">
        <v>23</v>
      </c>
      <c r="U419" t="s">
        <v>23</v>
      </c>
    </row>
    <row r="420" spans="1:21" x14ac:dyDescent="0.25">
      <c r="A420" t="s">
        <v>984</v>
      </c>
      <c r="B420" t="s">
        <v>21</v>
      </c>
      <c r="C420" t="s">
        <v>22</v>
      </c>
      <c r="D420" t="s">
        <v>22</v>
      </c>
      <c r="E420" t="s">
        <v>23</v>
      </c>
      <c r="F420" t="s">
        <v>24</v>
      </c>
      <c r="G420" t="s">
        <v>25</v>
      </c>
      <c r="H420" t="s">
        <v>23</v>
      </c>
      <c r="I420" t="s">
        <v>26</v>
      </c>
      <c r="J420" t="s">
        <v>985</v>
      </c>
      <c r="K420">
        <v>-12.212643999999999</v>
      </c>
      <c r="L420">
        <v>-76.958950000000002</v>
      </c>
      <c r="M420" t="str">
        <f t="shared" si="5"/>
        <v>Avenida Villa del Mar, Villa El Salvador, Lima</v>
      </c>
      <c r="N420">
        <v>0</v>
      </c>
      <c r="O420">
        <v>100</v>
      </c>
      <c r="P420">
        <v>1677.2</v>
      </c>
      <c r="Q420" t="s">
        <v>952</v>
      </c>
      <c r="R420" t="s">
        <v>23</v>
      </c>
      <c r="S420" t="s">
        <v>23</v>
      </c>
      <c r="T420" t="s">
        <v>23</v>
      </c>
      <c r="U420" t="s">
        <v>23</v>
      </c>
    </row>
  </sheetData>
  <phoneticPr fontId="1" type="noConversion"/>
  <pageMargins left="0.7" right="0.7" top="0.75" bottom="0.75" header="0.3" footer="0.3"/>
  <ignoredErrors>
    <ignoredError sqref="A1:C1 E1:U420 A3:C420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History</dc:title>
  <dc:subject>Report History</dc:subject>
  <dc:creator>Location World</dc:creator>
  <cp:lastModifiedBy>Operaciones 4 SLI Perú</cp:lastModifiedBy>
  <dcterms:modified xsi:type="dcterms:W3CDTF">2026-09-29T21:26:16Z</dcterms:modified>
</cp:coreProperties>
</file>